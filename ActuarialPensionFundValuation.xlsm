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O:\NinaPrins\CV\"/>
    </mc:Choice>
  </mc:AlternateContent>
  <bookViews>
    <workbookView xWindow="0" yWindow="0" windowWidth="20490" windowHeight="7155" activeTab="1"/>
  </bookViews>
  <sheets>
    <sheet name="Inputs" sheetId="2" r:id="rId1"/>
    <sheet name="PV of CF" sheetId="3" r:id="rId2"/>
    <sheet name="Data" sheetId="4" r:id="rId3"/>
  </sheets>
  <definedNames>
    <definedName name="_xlnm._FilterDatabase" localSheetId="2" hidden="1">Data!$G$3:$G$1002</definedName>
    <definedName name="Age">'PV of CF'!#REF!</definedName>
    <definedName name="BirthMon">Inputs!#REF!</definedName>
    <definedName name="Date_of_Birth">Inputs!$B$16</definedName>
    <definedName name="EffDate">Inputs!$B$2</definedName>
    <definedName name="Fees">Inputs!$B$3</definedName>
    <definedName name="FirstIncrDate">Inputs!$B$5</definedName>
    <definedName name="Foci">Inputs!$B$3</definedName>
    <definedName name="Gender">Inputs!$B$17</definedName>
    <definedName name="id">Inputs!$B$11</definedName>
    <definedName name="Increase">Inputs!$B$4</definedName>
    <definedName name="NextBirth">Data!$AD$3</definedName>
    <definedName name="NPV">Inputs!$B$19</definedName>
    <definedName name="Pension">Inputs!$B$18</definedName>
    <definedName name="StartAge">Data!$AD$1</definedName>
    <definedName name="TotalPV">'PV of CF'!$Q$1443</definedName>
  </definedNames>
  <calcPr calcId="152511" calcOnSave="0"/>
</workbook>
</file>

<file path=xl/calcChain.xml><?xml version="1.0" encoding="utf-8"?>
<calcChain xmlns="http://schemas.openxmlformats.org/spreadsheetml/2006/main">
  <c r="B8" i="2" l="1"/>
  <c r="C14" i="2" l="1"/>
  <c r="B14" i="2"/>
  <c r="B18" i="2"/>
  <c r="B17" i="2"/>
  <c r="B16" i="2"/>
  <c r="AD1" i="4" l="1"/>
  <c r="AD3" i="4"/>
  <c r="AD2" i="4"/>
  <c r="A3" i="3" l="1"/>
  <c r="D3" i="3" s="1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3" i="4"/>
  <c r="L3" i="4"/>
  <c r="L4" i="4" s="1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L98" i="4" s="1"/>
  <c r="L99" i="4" s="1"/>
  <c r="L100" i="4" s="1"/>
  <c r="L101" i="4" s="1"/>
  <c r="L102" i="4" s="1"/>
  <c r="L103" i="4" s="1"/>
  <c r="L104" i="4" s="1"/>
  <c r="L105" i="4" s="1"/>
  <c r="L106" i="4" s="1"/>
  <c r="L107" i="4" s="1"/>
  <c r="L108" i="4" s="1"/>
  <c r="L109" i="4" s="1"/>
  <c r="L110" i="4" s="1"/>
  <c r="L111" i="4" s="1"/>
  <c r="L112" i="4" s="1"/>
  <c r="L113" i="4" s="1"/>
  <c r="L114" i="4" s="1"/>
  <c r="L115" i="4" s="1"/>
  <c r="L116" i="4" s="1"/>
  <c r="L117" i="4" s="1"/>
  <c r="L118" i="4" s="1"/>
  <c r="L119" i="4" s="1"/>
  <c r="L120" i="4" s="1"/>
  <c r="L121" i="4" s="1"/>
  <c r="L122" i="4" s="1"/>
  <c r="L123" i="4" s="1"/>
  <c r="U4" i="4"/>
  <c r="V4" i="4" s="1"/>
  <c r="U5" i="4"/>
  <c r="V5" i="4" s="1"/>
  <c r="U6" i="4"/>
  <c r="V6" i="4" s="1"/>
  <c r="U7" i="4"/>
  <c r="V7" i="4" s="1"/>
  <c r="U8" i="4"/>
  <c r="V8" i="4" s="1"/>
  <c r="U9" i="4"/>
  <c r="V9" i="4" s="1"/>
  <c r="U10" i="4"/>
  <c r="V10" i="4" s="1"/>
  <c r="U11" i="4"/>
  <c r="V11" i="4" s="1"/>
  <c r="U12" i="4"/>
  <c r="V12" i="4" s="1"/>
  <c r="U13" i="4"/>
  <c r="V13" i="4" s="1"/>
  <c r="U14" i="4"/>
  <c r="V14" i="4" s="1"/>
  <c r="U15" i="4"/>
  <c r="V15" i="4" s="1"/>
  <c r="U16" i="4"/>
  <c r="V16" i="4" s="1"/>
  <c r="U17" i="4"/>
  <c r="V17" i="4" s="1"/>
  <c r="U18" i="4"/>
  <c r="V18" i="4" s="1"/>
  <c r="U19" i="4"/>
  <c r="V19" i="4" s="1"/>
  <c r="U20" i="4"/>
  <c r="V20" i="4" s="1"/>
  <c r="U21" i="4"/>
  <c r="V21" i="4" s="1"/>
  <c r="U22" i="4"/>
  <c r="V22" i="4" s="1"/>
  <c r="U23" i="4"/>
  <c r="V23" i="4" s="1"/>
  <c r="U24" i="4"/>
  <c r="V24" i="4" s="1"/>
  <c r="U25" i="4"/>
  <c r="V25" i="4" s="1"/>
  <c r="U26" i="4"/>
  <c r="V26" i="4" s="1"/>
  <c r="U27" i="4"/>
  <c r="V27" i="4" s="1"/>
  <c r="U28" i="4"/>
  <c r="V28" i="4" s="1"/>
  <c r="U29" i="4"/>
  <c r="V29" i="4" s="1"/>
  <c r="U30" i="4"/>
  <c r="V30" i="4" s="1"/>
  <c r="U31" i="4"/>
  <c r="V31" i="4" s="1"/>
  <c r="U32" i="4"/>
  <c r="V32" i="4" s="1"/>
  <c r="U33" i="4"/>
  <c r="V33" i="4" s="1"/>
  <c r="U34" i="4"/>
  <c r="V34" i="4" s="1"/>
  <c r="U35" i="4"/>
  <c r="V35" i="4" s="1"/>
  <c r="U36" i="4"/>
  <c r="V36" i="4" s="1"/>
  <c r="U37" i="4"/>
  <c r="V37" i="4" s="1"/>
  <c r="U38" i="4"/>
  <c r="V38" i="4" s="1"/>
  <c r="U39" i="4"/>
  <c r="V39" i="4" s="1"/>
  <c r="U40" i="4"/>
  <c r="V40" i="4" s="1"/>
  <c r="U41" i="4"/>
  <c r="V41" i="4" s="1"/>
  <c r="U42" i="4"/>
  <c r="V42" i="4" s="1"/>
  <c r="U43" i="4"/>
  <c r="V43" i="4" s="1"/>
  <c r="U44" i="4"/>
  <c r="V44" i="4" s="1"/>
  <c r="U45" i="4"/>
  <c r="V45" i="4" s="1"/>
  <c r="U46" i="4"/>
  <c r="V46" i="4" s="1"/>
  <c r="U47" i="4"/>
  <c r="V47" i="4" s="1"/>
  <c r="U48" i="4"/>
  <c r="V48" i="4" s="1"/>
  <c r="U49" i="4"/>
  <c r="V49" i="4" s="1"/>
  <c r="U50" i="4"/>
  <c r="V50" i="4" s="1"/>
  <c r="U51" i="4"/>
  <c r="V51" i="4" s="1"/>
  <c r="U52" i="4"/>
  <c r="V52" i="4" s="1"/>
  <c r="U53" i="4"/>
  <c r="V53" i="4" s="1"/>
  <c r="U54" i="4"/>
  <c r="V54" i="4" s="1"/>
  <c r="U55" i="4"/>
  <c r="V55" i="4" s="1"/>
  <c r="U56" i="4"/>
  <c r="V56" i="4" s="1"/>
  <c r="U57" i="4"/>
  <c r="V57" i="4" s="1"/>
  <c r="U58" i="4"/>
  <c r="V58" i="4" s="1"/>
  <c r="U59" i="4"/>
  <c r="V59" i="4" s="1"/>
  <c r="U60" i="4"/>
  <c r="V60" i="4" s="1"/>
  <c r="U61" i="4"/>
  <c r="V61" i="4" s="1"/>
  <c r="U62" i="4"/>
  <c r="V62" i="4" s="1"/>
  <c r="U63" i="4"/>
  <c r="V63" i="4" s="1"/>
  <c r="U64" i="4"/>
  <c r="V64" i="4" s="1"/>
  <c r="U65" i="4"/>
  <c r="V65" i="4" s="1"/>
  <c r="U66" i="4"/>
  <c r="V66" i="4" s="1"/>
  <c r="U67" i="4"/>
  <c r="V67" i="4" s="1"/>
  <c r="U68" i="4"/>
  <c r="V68" i="4" s="1"/>
  <c r="U69" i="4"/>
  <c r="V69" i="4" s="1"/>
  <c r="U70" i="4"/>
  <c r="V70" i="4" s="1"/>
  <c r="U71" i="4"/>
  <c r="V71" i="4" s="1"/>
  <c r="U72" i="4"/>
  <c r="V72" i="4" s="1"/>
  <c r="U73" i="4"/>
  <c r="V73" i="4" s="1"/>
  <c r="U74" i="4"/>
  <c r="V74" i="4" s="1"/>
  <c r="U75" i="4"/>
  <c r="V75" i="4" s="1"/>
  <c r="U76" i="4"/>
  <c r="V76" i="4" s="1"/>
  <c r="U77" i="4"/>
  <c r="V77" i="4" s="1"/>
  <c r="U78" i="4"/>
  <c r="V78" i="4" s="1"/>
  <c r="U79" i="4"/>
  <c r="V79" i="4" s="1"/>
  <c r="U80" i="4"/>
  <c r="V80" i="4" s="1"/>
  <c r="U81" i="4"/>
  <c r="V81" i="4" s="1"/>
  <c r="U82" i="4"/>
  <c r="V82" i="4" s="1"/>
  <c r="U83" i="4"/>
  <c r="V83" i="4" s="1"/>
  <c r="U84" i="4"/>
  <c r="V84" i="4" s="1"/>
  <c r="U85" i="4"/>
  <c r="V85" i="4" s="1"/>
  <c r="U86" i="4"/>
  <c r="V86" i="4" s="1"/>
  <c r="U87" i="4"/>
  <c r="V87" i="4" s="1"/>
  <c r="U88" i="4"/>
  <c r="V88" i="4" s="1"/>
  <c r="U89" i="4"/>
  <c r="V89" i="4" s="1"/>
  <c r="U90" i="4"/>
  <c r="V90" i="4" s="1"/>
  <c r="U91" i="4"/>
  <c r="V91" i="4" s="1"/>
  <c r="U92" i="4"/>
  <c r="V92" i="4" s="1"/>
  <c r="U93" i="4"/>
  <c r="V93" i="4" s="1"/>
  <c r="U94" i="4"/>
  <c r="V94" i="4" s="1"/>
  <c r="U95" i="4"/>
  <c r="V95" i="4" s="1"/>
  <c r="U96" i="4"/>
  <c r="V96" i="4" s="1"/>
  <c r="U97" i="4"/>
  <c r="V97" i="4" s="1"/>
  <c r="U98" i="4"/>
  <c r="V98" i="4" s="1"/>
  <c r="U99" i="4"/>
  <c r="V99" i="4" s="1"/>
  <c r="U100" i="4"/>
  <c r="V100" i="4" s="1"/>
  <c r="U101" i="4"/>
  <c r="V101" i="4" s="1"/>
  <c r="U102" i="4"/>
  <c r="V102" i="4" s="1"/>
  <c r="U103" i="4"/>
  <c r="V103" i="4" s="1"/>
  <c r="U3" i="4"/>
  <c r="V3" i="4" s="1"/>
  <c r="R4" i="4"/>
  <c r="S4" i="4" s="1"/>
  <c r="R5" i="4"/>
  <c r="S5" i="4" s="1"/>
  <c r="R6" i="4"/>
  <c r="S6" i="4" s="1"/>
  <c r="R7" i="4"/>
  <c r="S7" i="4" s="1"/>
  <c r="R8" i="4"/>
  <c r="S8" i="4" s="1"/>
  <c r="R9" i="4"/>
  <c r="S9" i="4" s="1"/>
  <c r="R10" i="4"/>
  <c r="S10" i="4" s="1"/>
  <c r="R11" i="4"/>
  <c r="S11" i="4" s="1"/>
  <c r="R12" i="4"/>
  <c r="S12" i="4" s="1"/>
  <c r="R13" i="4"/>
  <c r="S13" i="4" s="1"/>
  <c r="R14" i="4"/>
  <c r="S14" i="4" s="1"/>
  <c r="R15" i="4"/>
  <c r="S15" i="4" s="1"/>
  <c r="R16" i="4"/>
  <c r="S16" i="4" s="1"/>
  <c r="R17" i="4"/>
  <c r="S17" i="4" s="1"/>
  <c r="R18" i="4"/>
  <c r="S18" i="4" s="1"/>
  <c r="R19" i="4"/>
  <c r="S19" i="4" s="1"/>
  <c r="R20" i="4"/>
  <c r="S20" i="4" s="1"/>
  <c r="R21" i="4"/>
  <c r="S21" i="4" s="1"/>
  <c r="R22" i="4"/>
  <c r="S22" i="4" s="1"/>
  <c r="R23" i="4"/>
  <c r="S23" i="4" s="1"/>
  <c r="R24" i="4"/>
  <c r="S24" i="4" s="1"/>
  <c r="R25" i="4"/>
  <c r="S25" i="4" s="1"/>
  <c r="R26" i="4"/>
  <c r="S26" i="4" s="1"/>
  <c r="R27" i="4"/>
  <c r="S27" i="4" s="1"/>
  <c r="R28" i="4"/>
  <c r="S28" i="4" s="1"/>
  <c r="R29" i="4"/>
  <c r="S29" i="4" s="1"/>
  <c r="R30" i="4"/>
  <c r="S30" i="4" s="1"/>
  <c r="R31" i="4"/>
  <c r="S31" i="4" s="1"/>
  <c r="R32" i="4"/>
  <c r="S32" i="4" s="1"/>
  <c r="R33" i="4"/>
  <c r="S33" i="4" s="1"/>
  <c r="R34" i="4"/>
  <c r="S34" i="4" s="1"/>
  <c r="R35" i="4"/>
  <c r="S35" i="4" s="1"/>
  <c r="R36" i="4"/>
  <c r="S36" i="4" s="1"/>
  <c r="R37" i="4"/>
  <c r="S37" i="4" s="1"/>
  <c r="R38" i="4"/>
  <c r="S38" i="4" s="1"/>
  <c r="R39" i="4"/>
  <c r="S39" i="4" s="1"/>
  <c r="R40" i="4"/>
  <c r="S40" i="4" s="1"/>
  <c r="R41" i="4"/>
  <c r="S41" i="4" s="1"/>
  <c r="R42" i="4"/>
  <c r="S42" i="4" s="1"/>
  <c r="R43" i="4"/>
  <c r="S43" i="4" s="1"/>
  <c r="R44" i="4"/>
  <c r="S44" i="4" s="1"/>
  <c r="R45" i="4"/>
  <c r="S45" i="4" s="1"/>
  <c r="R46" i="4"/>
  <c r="S46" i="4" s="1"/>
  <c r="R47" i="4"/>
  <c r="S47" i="4" s="1"/>
  <c r="R48" i="4"/>
  <c r="S48" i="4" s="1"/>
  <c r="R49" i="4"/>
  <c r="S49" i="4" s="1"/>
  <c r="R50" i="4"/>
  <c r="S50" i="4" s="1"/>
  <c r="R51" i="4"/>
  <c r="S51" i="4" s="1"/>
  <c r="R52" i="4"/>
  <c r="S52" i="4" s="1"/>
  <c r="R53" i="4"/>
  <c r="S53" i="4" s="1"/>
  <c r="R54" i="4"/>
  <c r="S54" i="4" s="1"/>
  <c r="R55" i="4"/>
  <c r="S55" i="4" s="1"/>
  <c r="R56" i="4"/>
  <c r="S56" i="4" s="1"/>
  <c r="R57" i="4"/>
  <c r="S57" i="4" s="1"/>
  <c r="R58" i="4"/>
  <c r="S58" i="4" s="1"/>
  <c r="R59" i="4"/>
  <c r="S59" i="4" s="1"/>
  <c r="R60" i="4"/>
  <c r="S60" i="4" s="1"/>
  <c r="R61" i="4"/>
  <c r="S61" i="4" s="1"/>
  <c r="R62" i="4"/>
  <c r="S62" i="4" s="1"/>
  <c r="R63" i="4"/>
  <c r="S63" i="4" s="1"/>
  <c r="R64" i="4"/>
  <c r="S64" i="4" s="1"/>
  <c r="R65" i="4"/>
  <c r="S65" i="4" s="1"/>
  <c r="R66" i="4"/>
  <c r="S66" i="4" s="1"/>
  <c r="R67" i="4"/>
  <c r="S67" i="4" s="1"/>
  <c r="R68" i="4"/>
  <c r="S68" i="4" s="1"/>
  <c r="R69" i="4"/>
  <c r="S69" i="4" s="1"/>
  <c r="R70" i="4"/>
  <c r="S70" i="4" s="1"/>
  <c r="R71" i="4"/>
  <c r="S71" i="4" s="1"/>
  <c r="R72" i="4"/>
  <c r="S72" i="4" s="1"/>
  <c r="R73" i="4"/>
  <c r="S73" i="4" s="1"/>
  <c r="R74" i="4"/>
  <c r="S74" i="4" s="1"/>
  <c r="R75" i="4"/>
  <c r="S75" i="4" s="1"/>
  <c r="R76" i="4"/>
  <c r="S76" i="4" s="1"/>
  <c r="R77" i="4"/>
  <c r="S77" i="4" s="1"/>
  <c r="R78" i="4"/>
  <c r="S78" i="4" s="1"/>
  <c r="R79" i="4"/>
  <c r="S79" i="4" s="1"/>
  <c r="R80" i="4"/>
  <c r="S80" i="4" s="1"/>
  <c r="R81" i="4"/>
  <c r="S81" i="4" s="1"/>
  <c r="R82" i="4"/>
  <c r="S82" i="4" s="1"/>
  <c r="R83" i="4"/>
  <c r="S83" i="4" s="1"/>
  <c r="R84" i="4"/>
  <c r="S84" i="4" s="1"/>
  <c r="R85" i="4"/>
  <c r="S85" i="4" s="1"/>
  <c r="R86" i="4"/>
  <c r="S86" i="4" s="1"/>
  <c r="R87" i="4"/>
  <c r="S87" i="4" s="1"/>
  <c r="R88" i="4"/>
  <c r="S88" i="4" s="1"/>
  <c r="R89" i="4"/>
  <c r="S89" i="4" s="1"/>
  <c r="R90" i="4"/>
  <c r="S90" i="4" s="1"/>
  <c r="R91" i="4"/>
  <c r="S91" i="4" s="1"/>
  <c r="R92" i="4"/>
  <c r="S92" i="4" s="1"/>
  <c r="R93" i="4"/>
  <c r="S93" i="4" s="1"/>
  <c r="R94" i="4"/>
  <c r="S94" i="4" s="1"/>
  <c r="R95" i="4"/>
  <c r="S95" i="4" s="1"/>
  <c r="R96" i="4"/>
  <c r="S96" i="4" s="1"/>
  <c r="R97" i="4"/>
  <c r="S97" i="4" s="1"/>
  <c r="R98" i="4"/>
  <c r="S98" i="4" s="1"/>
  <c r="R99" i="4"/>
  <c r="S99" i="4" s="1"/>
  <c r="R100" i="4"/>
  <c r="S100" i="4" s="1"/>
  <c r="R101" i="4"/>
  <c r="S101" i="4" s="1"/>
  <c r="R102" i="4"/>
  <c r="S102" i="4" s="1"/>
  <c r="R103" i="4"/>
  <c r="S103" i="4" s="1"/>
  <c r="R3" i="4"/>
  <c r="S3" i="4" s="1"/>
  <c r="H3" i="3" l="1"/>
  <c r="J3" i="3" s="1"/>
  <c r="I3" i="3"/>
  <c r="L3" i="3"/>
  <c r="C3" i="3"/>
  <c r="E3" i="3"/>
  <c r="A4" i="3"/>
  <c r="D4" i="3" s="1"/>
  <c r="B3" i="3"/>
  <c r="I4" i="3" l="1"/>
  <c r="H4" i="3"/>
  <c r="J4" i="3" s="1"/>
  <c r="F3" i="3"/>
  <c r="G3" i="3" s="1"/>
  <c r="C4" i="3"/>
  <c r="B15" i="2"/>
  <c r="A5" i="3"/>
  <c r="D5" i="3" s="1"/>
  <c r="W7" i="4"/>
  <c r="W11" i="4"/>
  <c r="W15" i="4"/>
  <c r="W19" i="4"/>
  <c r="W23" i="4"/>
  <c r="W27" i="4"/>
  <c r="W31" i="4"/>
  <c r="W35" i="4"/>
  <c r="W39" i="4"/>
  <c r="W43" i="4"/>
  <c r="W47" i="4"/>
  <c r="W51" i="4"/>
  <c r="W55" i="4"/>
  <c r="W59" i="4"/>
  <c r="W63" i="4"/>
  <c r="W67" i="4"/>
  <c r="W71" i="4"/>
  <c r="W75" i="4"/>
  <c r="W79" i="4"/>
  <c r="W83" i="4"/>
  <c r="W87" i="4"/>
  <c r="W91" i="4"/>
  <c r="W95" i="4"/>
  <c r="W99" i="4"/>
  <c r="W103" i="4"/>
  <c r="W3" i="4"/>
  <c r="X7" i="4"/>
  <c r="X11" i="4"/>
  <c r="X15" i="4"/>
  <c r="X19" i="4"/>
  <c r="X23" i="4"/>
  <c r="X27" i="4"/>
  <c r="X31" i="4"/>
  <c r="X35" i="4"/>
  <c r="X39" i="4"/>
  <c r="X43" i="4"/>
  <c r="X47" i="4"/>
  <c r="X51" i="4"/>
  <c r="X55" i="4"/>
  <c r="X59" i="4"/>
  <c r="X63" i="4"/>
  <c r="X67" i="4"/>
  <c r="X71" i="4"/>
  <c r="X75" i="4"/>
  <c r="X79" i="4"/>
  <c r="X83" i="4"/>
  <c r="X87" i="4"/>
  <c r="X91" i="4"/>
  <c r="X95" i="4"/>
  <c r="X99" i="4"/>
  <c r="X103" i="4"/>
  <c r="X3" i="4"/>
  <c r="W5" i="4"/>
  <c r="W9" i="4"/>
  <c r="W13" i="4"/>
  <c r="W17" i="4"/>
  <c r="W21" i="4"/>
  <c r="W25" i="4"/>
  <c r="W29" i="4"/>
  <c r="W33" i="4"/>
  <c r="W37" i="4"/>
  <c r="W41" i="4"/>
  <c r="W45" i="4"/>
  <c r="W49" i="4"/>
  <c r="W53" i="4"/>
  <c r="W57" i="4"/>
  <c r="W61" i="4"/>
  <c r="W65" i="4"/>
  <c r="W69" i="4"/>
  <c r="W73" i="4"/>
  <c r="W77" i="4"/>
  <c r="W81" i="4"/>
  <c r="W85" i="4"/>
  <c r="W89" i="4"/>
  <c r="W93" i="4"/>
  <c r="W97" i="4"/>
  <c r="W101" i="4"/>
  <c r="X5" i="4"/>
  <c r="X9" i="4"/>
  <c r="X13" i="4"/>
  <c r="X17" i="4"/>
  <c r="X21" i="4"/>
  <c r="X25" i="4"/>
  <c r="X29" i="4"/>
  <c r="X33" i="4"/>
  <c r="X37" i="4"/>
  <c r="X41" i="4"/>
  <c r="X45" i="4"/>
  <c r="X49" i="4"/>
  <c r="X53" i="4"/>
  <c r="X57" i="4"/>
  <c r="X61" i="4"/>
  <c r="X65" i="4"/>
  <c r="X69" i="4"/>
  <c r="X73" i="4"/>
  <c r="X77" i="4"/>
  <c r="X81" i="4"/>
  <c r="X85" i="4"/>
  <c r="X89" i="4"/>
  <c r="X93" i="4"/>
  <c r="X97" i="4"/>
  <c r="X101" i="4"/>
  <c r="W6" i="4"/>
  <c r="W10" i="4"/>
  <c r="W14" i="4"/>
  <c r="W18" i="4"/>
  <c r="W22" i="4"/>
  <c r="W26" i="4"/>
  <c r="W30" i="4"/>
  <c r="W34" i="4"/>
  <c r="W38" i="4"/>
  <c r="W42" i="4"/>
  <c r="W46" i="4"/>
  <c r="W50" i="4"/>
  <c r="W54" i="4"/>
  <c r="W58" i="4"/>
  <c r="W62" i="4"/>
  <c r="W66" i="4"/>
  <c r="W70" i="4"/>
  <c r="W74" i="4"/>
  <c r="W78" i="4"/>
  <c r="W82" i="4"/>
  <c r="W86" i="4"/>
  <c r="W90" i="4"/>
  <c r="W94" i="4"/>
  <c r="W98" i="4"/>
  <c r="W102" i="4"/>
  <c r="W16" i="4"/>
  <c r="W32" i="4"/>
  <c r="W48" i="4"/>
  <c r="W64" i="4"/>
  <c r="W80" i="4"/>
  <c r="W96" i="4"/>
  <c r="X4" i="4"/>
  <c r="X12" i="4"/>
  <c r="X20" i="4"/>
  <c r="X28" i="4"/>
  <c r="X36" i="4"/>
  <c r="X44" i="4"/>
  <c r="X52" i="4"/>
  <c r="X60" i="4"/>
  <c r="X68" i="4"/>
  <c r="X76" i="4"/>
  <c r="X84" i="4"/>
  <c r="X92" i="4"/>
  <c r="X100" i="4"/>
  <c r="W4" i="4"/>
  <c r="W20" i="4"/>
  <c r="W36" i="4"/>
  <c r="W52" i="4"/>
  <c r="W68" i="4"/>
  <c r="W84" i="4"/>
  <c r="W100" i="4"/>
  <c r="X6" i="4"/>
  <c r="X14" i="4"/>
  <c r="X22" i="4"/>
  <c r="X30" i="4"/>
  <c r="X38" i="4"/>
  <c r="X46" i="4"/>
  <c r="X54" i="4"/>
  <c r="X62" i="4"/>
  <c r="X70" i="4"/>
  <c r="X78" i="4"/>
  <c r="X86" i="4"/>
  <c r="X94" i="4"/>
  <c r="X102" i="4"/>
  <c r="W8" i="4"/>
  <c r="W24" i="4"/>
  <c r="W40" i="4"/>
  <c r="W56" i="4"/>
  <c r="W72" i="4"/>
  <c r="W88" i="4"/>
  <c r="X8" i="4"/>
  <c r="X16" i="4"/>
  <c r="X24" i="4"/>
  <c r="X32" i="4"/>
  <c r="X40" i="4"/>
  <c r="X48" i="4"/>
  <c r="X56" i="4"/>
  <c r="X64" i="4"/>
  <c r="X72" i="4"/>
  <c r="X80" i="4"/>
  <c r="X88" i="4"/>
  <c r="X96" i="4"/>
  <c r="W12" i="4"/>
  <c r="W28" i="4"/>
  <c r="W44" i="4"/>
  <c r="W60" i="4"/>
  <c r="W76" i="4"/>
  <c r="W92" i="4"/>
  <c r="X10" i="4"/>
  <c r="X18" i="4"/>
  <c r="X26" i="4"/>
  <c r="X34" i="4"/>
  <c r="X42" i="4"/>
  <c r="X50" i="4"/>
  <c r="X58" i="4"/>
  <c r="X66" i="4"/>
  <c r="X74" i="4"/>
  <c r="X82" i="4"/>
  <c r="X90" i="4"/>
  <c r="X98" i="4"/>
  <c r="B4" i="3"/>
  <c r="E4" i="3"/>
  <c r="H5" i="3" l="1"/>
  <c r="J5" i="3" s="1"/>
  <c r="I5" i="3"/>
  <c r="M3" i="3"/>
  <c r="N3" i="3" s="1"/>
  <c r="F4" i="3"/>
  <c r="G4" i="3" s="1"/>
  <c r="L4" i="3"/>
  <c r="M4" i="3"/>
  <c r="C5" i="3"/>
  <c r="E5" i="3"/>
  <c r="B5" i="3"/>
  <c r="A6" i="3"/>
  <c r="D6" i="3" s="1"/>
  <c r="AA2" i="4"/>
  <c r="AA4" i="4" s="1"/>
  <c r="M5" i="3" l="1"/>
  <c r="H6" i="3"/>
  <c r="J6" i="3" s="1"/>
  <c r="I6" i="3"/>
  <c r="N4" i="3"/>
  <c r="L5" i="3"/>
  <c r="F5" i="3"/>
  <c r="G5" i="3" s="1"/>
  <c r="C6" i="3"/>
  <c r="B6" i="3"/>
  <c r="E6" i="3"/>
  <c r="A7" i="3"/>
  <c r="D7" i="3" s="1"/>
  <c r="Z4" i="4"/>
  <c r="Z5" i="4" s="1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Z24" i="4" s="1"/>
  <c r="Z25" i="4" s="1"/>
  <c r="Z26" i="4" s="1"/>
  <c r="Z27" i="4" s="1"/>
  <c r="Z28" i="4" s="1"/>
  <c r="Z29" i="4" s="1"/>
  <c r="Z30" i="4" s="1"/>
  <c r="Z31" i="4" s="1"/>
  <c r="Z32" i="4" s="1"/>
  <c r="Z33" i="4" s="1"/>
  <c r="Z34" i="4" s="1"/>
  <c r="Z35" i="4" s="1"/>
  <c r="Z36" i="4" s="1"/>
  <c r="Z37" i="4" s="1"/>
  <c r="Z38" i="4" s="1"/>
  <c r="Z39" i="4" s="1"/>
  <c r="Z40" i="4" s="1"/>
  <c r="Z41" i="4" s="1"/>
  <c r="Z42" i="4" s="1"/>
  <c r="Z43" i="4" s="1"/>
  <c r="Z44" i="4" s="1"/>
  <c r="Z45" i="4" s="1"/>
  <c r="Z46" i="4" s="1"/>
  <c r="Z47" i="4" s="1"/>
  <c r="Z48" i="4" s="1"/>
  <c r="Z49" i="4" s="1"/>
  <c r="Z50" i="4" s="1"/>
  <c r="Z51" i="4" s="1"/>
  <c r="Z52" i="4" s="1"/>
  <c r="Z53" i="4" s="1"/>
  <c r="Z54" i="4" s="1"/>
  <c r="Z55" i="4" s="1"/>
  <c r="Z56" i="4" s="1"/>
  <c r="Z57" i="4" s="1"/>
  <c r="Z58" i="4" s="1"/>
  <c r="Z59" i="4" s="1"/>
  <c r="Z60" i="4" s="1"/>
  <c r="Z61" i="4" s="1"/>
  <c r="Z62" i="4" s="1"/>
  <c r="N5" i="3" l="1"/>
  <c r="AA5" i="4"/>
  <c r="AA6" i="4" s="1"/>
  <c r="AA7" i="4" s="1"/>
  <c r="AA8" i="4" s="1"/>
  <c r="AA9" i="4" s="1"/>
  <c r="AA10" i="4" s="1"/>
  <c r="AA11" i="4" s="1"/>
  <c r="AA12" i="4" s="1"/>
  <c r="AA13" i="4" s="1"/>
  <c r="AA14" i="4" s="1"/>
  <c r="AA15" i="4" s="1"/>
  <c r="AA16" i="4" s="1"/>
  <c r="AA17" i="4" s="1"/>
  <c r="AA18" i="4" s="1"/>
  <c r="AA19" i="4" s="1"/>
  <c r="AA20" i="4" s="1"/>
  <c r="AA21" i="4" s="1"/>
  <c r="AA22" i="4" s="1"/>
  <c r="AA23" i="4" s="1"/>
  <c r="AA24" i="4" s="1"/>
  <c r="AA25" i="4" s="1"/>
  <c r="AA26" i="4" s="1"/>
  <c r="AA27" i="4" s="1"/>
  <c r="AA28" i="4" s="1"/>
  <c r="AA29" i="4" s="1"/>
  <c r="AA30" i="4" s="1"/>
  <c r="AA31" i="4" s="1"/>
  <c r="AA32" i="4" s="1"/>
  <c r="AA33" i="4" s="1"/>
  <c r="AA34" i="4" s="1"/>
  <c r="AA35" i="4" s="1"/>
  <c r="AA36" i="4" s="1"/>
  <c r="AA37" i="4" s="1"/>
  <c r="AA38" i="4" s="1"/>
  <c r="AA39" i="4" s="1"/>
  <c r="AA40" i="4" s="1"/>
  <c r="AA41" i="4" s="1"/>
  <c r="AA42" i="4" s="1"/>
  <c r="AA43" i="4" s="1"/>
  <c r="AA44" i="4" s="1"/>
  <c r="AA45" i="4" s="1"/>
  <c r="AA46" i="4" s="1"/>
  <c r="AA47" i="4" s="1"/>
  <c r="AA48" i="4" s="1"/>
  <c r="AA49" i="4" s="1"/>
  <c r="AA50" i="4" s="1"/>
  <c r="AA51" i="4" s="1"/>
  <c r="AA52" i="4" s="1"/>
  <c r="AA53" i="4" s="1"/>
  <c r="AA54" i="4" s="1"/>
  <c r="AA55" i="4" s="1"/>
  <c r="AA56" i="4" s="1"/>
  <c r="AA57" i="4" s="1"/>
  <c r="AA58" i="4" s="1"/>
  <c r="AA59" i="4" s="1"/>
  <c r="AA60" i="4" s="1"/>
  <c r="AA61" i="4" s="1"/>
  <c r="AA62" i="4" s="1"/>
  <c r="AA63" i="4" s="1"/>
  <c r="H7" i="3"/>
  <c r="J7" i="3" s="1"/>
  <c r="I7" i="3"/>
  <c r="Z63" i="4"/>
  <c r="Z64" i="4" s="1"/>
  <c r="Z65" i="4" s="1"/>
  <c r="Z66" i="4" s="1"/>
  <c r="Z67" i="4" s="1"/>
  <c r="Z68" i="4" s="1"/>
  <c r="Z69" i="4" s="1"/>
  <c r="Z70" i="4" s="1"/>
  <c r="Z71" i="4" s="1"/>
  <c r="Z72" i="4" s="1"/>
  <c r="Z73" i="4" s="1"/>
  <c r="Z74" i="4" s="1"/>
  <c r="Z75" i="4" s="1"/>
  <c r="Z76" i="4" s="1"/>
  <c r="Z77" i="4" s="1"/>
  <c r="Z78" i="4" s="1"/>
  <c r="Z79" i="4" s="1"/>
  <c r="Z80" i="4" s="1"/>
  <c r="Z81" i="4" s="1"/>
  <c r="Z82" i="4" s="1"/>
  <c r="Z83" i="4" s="1"/>
  <c r="Z84" i="4" s="1"/>
  <c r="Z85" i="4" s="1"/>
  <c r="Z86" i="4" s="1"/>
  <c r="Z87" i="4" s="1"/>
  <c r="Z88" i="4" s="1"/>
  <c r="Z89" i="4" s="1"/>
  <c r="Z90" i="4" s="1"/>
  <c r="Z91" i="4" s="1"/>
  <c r="Z92" i="4" s="1"/>
  <c r="Z93" i="4" s="1"/>
  <c r="Z94" i="4" s="1"/>
  <c r="Z95" i="4" s="1"/>
  <c r="Z96" i="4" s="1"/>
  <c r="Z97" i="4" s="1"/>
  <c r="Z98" i="4" s="1"/>
  <c r="Z99" i="4" s="1"/>
  <c r="Z100" i="4" s="1"/>
  <c r="Z101" i="4" s="1"/>
  <c r="Z102" i="4" s="1"/>
  <c r="Z103" i="4" s="1"/>
  <c r="Z104" i="4" s="1"/>
  <c r="Z105" i="4" s="1"/>
  <c r="Z106" i="4" s="1"/>
  <c r="Z107" i="4" s="1"/>
  <c r="Z108" i="4" s="1"/>
  <c r="Z109" i="4" s="1"/>
  <c r="Z110" i="4" s="1"/>
  <c r="Z111" i="4" s="1"/>
  <c r="Z112" i="4" s="1"/>
  <c r="Z113" i="4" s="1"/>
  <c r="Z114" i="4" s="1"/>
  <c r="Z115" i="4" s="1"/>
  <c r="Z116" i="4" s="1"/>
  <c r="Z117" i="4" s="1"/>
  <c r="Z118" i="4" s="1"/>
  <c r="Z119" i="4" s="1"/>
  <c r="Z120" i="4" s="1"/>
  <c r="Z121" i="4" s="1"/>
  <c r="Z122" i="4" s="1"/>
  <c r="K3" i="3"/>
  <c r="O3" i="3" s="1"/>
  <c r="P3" i="3" s="1"/>
  <c r="Q3" i="3" s="1"/>
  <c r="F6" i="3"/>
  <c r="G6" i="3" s="1"/>
  <c r="L6" i="3"/>
  <c r="C7" i="3"/>
  <c r="K6" i="3"/>
  <c r="M6" i="3"/>
  <c r="B7" i="3"/>
  <c r="E7" i="3"/>
  <c r="A8" i="3"/>
  <c r="D8" i="3" s="1"/>
  <c r="K4" i="3"/>
  <c r="O4" i="3" s="1"/>
  <c r="P4" i="3" s="1"/>
  <c r="K5" i="3"/>
  <c r="O5" i="3" l="1"/>
  <c r="P5" i="3" s="1"/>
  <c r="AA64" i="4"/>
  <c r="AA65" i="4" s="1"/>
  <c r="AA66" i="4" s="1"/>
  <c r="AA67" i="4" s="1"/>
  <c r="AA68" i="4" s="1"/>
  <c r="AA69" i="4" s="1"/>
  <c r="AA70" i="4" s="1"/>
  <c r="AA71" i="4" s="1"/>
  <c r="AA72" i="4" s="1"/>
  <c r="AA73" i="4" s="1"/>
  <c r="AA74" i="4" s="1"/>
  <c r="AA75" i="4" s="1"/>
  <c r="AA76" i="4" s="1"/>
  <c r="AA77" i="4" s="1"/>
  <c r="AA78" i="4" s="1"/>
  <c r="AA79" i="4" s="1"/>
  <c r="AA80" i="4" s="1"/>
  <c r="AA81" i="4" s="1"/>
  <c r="AA82" i="4" s="1"/>
  <c r="AA83" i="4" s="1"/>
  <c r="AA84" i="4" s="1"/>
  <c r="AA85" i="4" s="1"/>
  <c r="AA86" i="4" s="1"/>
  <c r="AA87" i="4" s="1"/>
  <c r="AA88" i="4" s="1"/>
  <c r="AA89" i="4" s="1"/>
  <c r="AA90" i="4" s="1"/>
  <c r="AA91" i="4" s="1"/>
  <c r="AA92" i="4" s="1"/>
  <c r="AA93" i="4" s="1"/>
  <c r="AA94" i="4" s="1"/>
  <c r="AA95" i="4" s="1"/>
  <c r="AA96" i="4" s="1"/>
  <c r="AA97" i="4" s="1"/>
  <c r="AA98" i="4" s="1"/>
  <c r="AA99" i="4" s="1"/>
  <c r="AA100" i="4" s="1"/>
  <c r="AA101" i="4" s="1"/>
  <c r="AA102" i="4" s="1"/>
  <c r="AA103" i="4" s="1"/>
  <c r="AA104" i="4" s="1"/>
  <c r="AA105" i="4" s="1"/>
  <c r="AA106" i="4" s="1"/>
  <c r="AA107" i="4" s="1"/>
  <c r="AA108" i="4" s="1"/>
  <c r="AA109" i="4" s="1"/>
  <c r="AA110" i="4" s="1"/>
  <c r="AA111" i="4" s="1"/>
  <c r="AA112" i="4" s="1"/>
  <c r="AA113" i="4" s="1"/>
  <c r="AA114" i="4" s="1"/>
  <c r="AA115" i="4" s="1"/>
  <c r="AA116" i="4" s="1"/>
  <c r="AA117" i="4" s="1"/>
  <c r="AA118" i="4" s="1"/>
  <c r="AA119" i="4" s="1"/>
  <c r="AA120" i="4" s="1"/>
  <c r="AA121" i="4" s="1"/>
  <c r="AA122" i="4" s="1"/>
  <c r="M7" i="3"/>
  <c r="H8" i="3"/>
  <c r="J8" i="3" s="1"/>
  <c r="I8" i="3"/>
  <c r="F7" i="3"/>
  <c r="G7" i="3" s="1"/>
  <c r="L7" i="3"/>
  <c r="K7" i="3"/>
  <c r="N6" i="3"/>
  <c r="O6" i="3" s="1"/>
  <c r="P6" i="3" s="1"/>
  <c r="C8" i="3"/>
  <c r="B8" i="3"/>
  <c r="Q4" i="3"/>
  <c r="A9" i="3"/>
  <c r="D9" i="3" s="1"/>
  <c r="Q5" i="3" l="1"/>
  <c r="Q6" i="3" s="1"/>
  <c r="N7" i="3"/>
  <c r="O7" i="3" s="1"/>
  <c r="P7" i="3" s="1"/>
  <c r="E8" i="3"/>
  <c r="F8" i="3" s="1"/>
  <c r="G8" i="3" s="1"/>
  <c r="H9" i="3"/>
  <c r="J9" i="3" s="1"/>
  <c r="I9" i="3"/>
  <c r="K8" i="3"/>
  <c r="M8" i="3"/>
  <c r="C9" i="3"/>
  <c r="L8" i="3"/>
  <c r="E9" i="3"/>
  <c r="B9" i="3"/>
  <c r="A10" i="3"/>
  <c r="D10" i="3" s="1"/>
  <c r="H10" i="3" l="1"/>
  <c r="J10" i="3" s="1"/>
  <c r="I10" i="3"/>
  <c r="L9" i="3"/>
  <c r="F9" i="3"/>
  <c r="G9" i="3" s="1"/>
  <c r="N8" i="3"/>
  <c r="O8" i="3" s="1"/>
  <c r="P8" i="3" s="1"/>
  <c r="C10" i="3"/>
  <c r="K9" i="3"/>
  <c r="M9" i="3"/>
  <c r="Q7" i="3"/>
  <c r="B10" i="3"/>
  <c r="E10" i="3"/>
  <c r="A11" i="3"/>
  <c r="D11" i="3" s="1"/>
  <c r="H11" i="3" l="1"/>
  <c r="J11" i="3" s="1"/>
  <c r="I11" i="3"/>
  <c r="F10" i="3"/>
  <c r="G10" i="3" s="1"/>
  <c r="N9" i="3"/>
  <c r="O9" i="3" s="1"/>
  <c r="P9" i="3" s="1"/>
  <c r="L10" i="3"/>
  <c r="C11" i="3"/>
  <c r="K10" i="3"/>
  <c r="M10" i="3"/>
  <c r="Q8" i="3"/>
  <c r="E11" i="3"/>
  <c r="B11" i="3"/>
  <c r="A12" i="3"/>
  <c r="D12" i="3" s="1"/>
  <c r="H12" i="3" l="1"/>
  <c r="I12" i="3"/>
  <c r="L11" i="3"/>
  <c r="F11" i="3"/>
  <c r="G11" i="3" s="1"/>
  <c r="N10" i="3"/>
  <c r="O10" i="3" s="1"/>
  <c r="P10" i="3" s="1"/>
  <c r="C12" i="3"/>
  <c r="K11" i="3"/>
  <c r="M11" i="3"/>
  <c r="Q9" i="3"/>
  <c r="A13" i="3"/>
  <c r="D13" i="3" s="1"/>
  <c r="E12" i="3"/>
  <c r="B12" i="3"/>
  <c r="H13" i="3" l="1"/>
  <c r="I13" i="3"/>
  <c r="F12" i="3"/>
  <c r="G12" i="3" s="1"/>
  <c r="N11" i="3"/>
  <c r="O11" i="3" s="1"/>
  <c r="P11" i="3" s="1"/>
  <c r="L12" i="3"/>
  <c r="J12" i="3"/>
  <c r="K12" i="3" s="1"/>
  <c r="M12" i="3"/>
  <c r="A14" i="3"/>
  <c r="D14" i="3" s="1"/>
  <c r="C13" i="3"/>
  <c r="Q10" i="3"/>
  <c r="E13" i="3"/>
  <c r="B13" i="3"/>
  <c r="H14" i="3" l="1"/>
  <c r="J14" i="3" s="1"/>
  <c r="K14" i="3" s="1"/>
  <c r="I14" i="3"/>
  <c r="E14" i="3"/>
  <c r="N12" i="3"/>
  <c r="O12" i="3" s="1"/>
  <c r="P12" i="3" s="1"/>
  <c r="F13" i="3"/>
  <c r="G13" i="3" s="1"/>
  <c r="L13" i="3"/>
  <c r="C14" i="3"/>
  <c r="J13" i="3"/>
  <c r="K13" i="3" s="1"/>
  <c r="M13" i="3"/>
  <c r="B14" i="3"/>
  <c r="A15" i="3"/>
  <c r="D15" i="3" s="1"/>
  <c r="Q11" i="3"/>
  <c r="H15" i="3" l="1"/>
  <c r="I15" i="3"/>
  <c r="F14" i="3"/>
  <c r="G14" i="3" s="1"/>
  <c r="B15" i="3"/>
  <c r="N13" i="3"/>
  <c r="O13" i="3" s="1"/>
  <c r="P13" i="3" s="1"/>
  <c r="M14" i="3"/>
  <c r="L14" i="3"/>
  <c r="C15" i="3"/>
  <c r="A16" i="3"/>
  <c r="D16" i="3" s="1"/>
  <c r="E15" i="3"/>
  <c r="Q12" i="3"/>
  <c r="H16" i="3" l="1"/>
  <c r="I16" i="3"/>
  <c r="A17" i="3"/>
  <c r="D17" i="3" s="1"/>
  <c r="N14" i="3"/>
  <c r="O14" i="3" s="1"/>
  <c r="P14" i="3" s="1"/>
  <c r="F15" i="3"/>
  <c r="G15" i="3" s="1"/>
  <c r="L15" i="3"/>
  <c r="C16" i="3"/>
  <c r="E16" i="3"/>
  <c r="J15" i="3"/>
  <c r="K15" i="3" s="1"/>
  <c r="M15" i="3"/>
  <c r="B16" i="3"/>
  <c r="Q13" i="3"/>
  <c r="L16" i="3" l="1"/>
  <c r="H17" i="3"/>
  <c r="J17" i="3" s="1"/>
  <c r="K17" i="3" s="1"/>
  <c r="I17" i="3"/>
  <c r="B17" i="3"/>
  <c r="E17" i="3"/>
  <c r="F16" i="3"/>
  <c r="G16" i="3" s="1"/>
  <c r="C17" i="3"/>
  <c r="A18" i="3"/>
  <c r="D18" i="3" s="1"/>
  <c r="Q14" i="3"/>
  <c r="N15" i="3"/>
  <c r="O15" i="3" s="1"/>
  <c r="P15" i="3" s="1"/>
  <c r="J16" i="3"/>
  <c r="K16" i="3" s="1"/>
  <c r="M16" i="3"/>
  <c r="N16" i="3" l="1"/>
  <c r="O16" i="3" s="1"/>
  <c r="P16" i="3" s="1"/>
  <c r="H18" i="3"/>
  <c r="M18" i="3" s="1"/>
  <c r="I18" i="3"/>
  <c r="F17" i="3"/>
  <c r="G17" i="3" s="1"/>
  <c r="C18" i="3"/>
  <c r="B18" i="3"/>
  <c r="E18" i="3"/>
  <c r="A19" i="3"/>
  <c r="D19" i="3" s="1"/>
  <c r="L17" i="3"/>
  <c r="M17" i="3"/>
  <c r="Q15" i="3"/>
  <c r="H19" i="3" l="1"/>
  <c r="J19" i="3" s="1"/>
  <c r="K19" i="3" s="1"/>
  <c r="I19" i="3"/>
  <c r="F18" i="3"/>
  <c r="G18" i="3" s="1"/>
  <c r="J18" i="3"/>
  <c r="K18" i="3" s="1"/>
  <c r="L18" i="3"/>
  <c r="N18" i="3" s="1"/>
  <c r="A20" i="3"/>
  <c r="D20" i="3" s="1"/>
  <c r="E19" i="3"/>
  <c r="C19" i="3"/>
  <c r="B19" i="3"/>
  <c r="N17" i="3"/>
  <c r="O17" i="3" s="1"/>
  <c r="P17" i="3" s="1"/>
  <c r="Q16" i="3"/>
  <c r="H20" i="3" l="1"/>
  <c r="M20" i="3" s="1"/>
  <c r="I20" i="3"/>
  <c r="L19" i="3"/>
  <c r="M19" i="3"/>
  <c r="C20" i="3"/>
  <c r="O18" i="3"/>
  <c r="P18" i="3" s="1"/>
  <c r="F19" i="3"/>
  <c r="G19" i="3" s="1"/>
  <c r="E20" i="3"/>
  <c r="B20" i="3"/>
  <c r="A21" i="3"/>
  <c r="D21" i="3" s="1"/>
  <c r="Q17" i="3"/>
  <c r="H21" i="3" l="1"/>
  <c r="J21" i="3" s="1"/>
  <c r="K21" i="3" s="1"/>
  <c r="I21" i="3"/>
  <c r="N19" i="3"/>
  <c r="O19" i="3" s="1"/>
  <c r="P19" i="3" s="1"/>
  <c r="F20" i="3"/>
  <c r="G20" i="3" s="1"/>
  <c r="Q18" i="3"/>
  <c r="C21" i="3"/>
  <c r="B21" i="3"/>
  <c r="L20" i="3"/>
  <c r="N20" i="3" s="1"/>
  <c r="J20" i="3"/>
  <c r="K20" i="3" s="1"/>
  <c r="A22" i="3"/>
  <c r="D22" i="3" s="1"/>
  <c r="E21" i="3"/>
  <c r="H22" i="3" l="1"/>
  <c r="I22" i="3"/>
  <c r="F21" i="3"/>
  <c r="G21" i="3" s="1"/>
  <c r="L21" i="3"/>
  <c r="Q19" i="3"/>
  <c r="A23" i="3"/>
  <c r="D23" i="3" s="1"/>
  <c r="E22" i="3"/>
  <c r="O20" i="3"/>
  <c r="P20" i="3" s="1"/>
  <c r="B22" i="3"/>
  <c r="M21" i="3"/>
  <c r="C22" i="3"/>
  <c r="H23" i="3" l="1"/>
  <c r="M23" i="3" s="1"/>
  <c r="I23" i="3"/>
  <c r="C23" i="3"/>
  <c r="N21" i="3"/>
  <c r="O21" i="3" s="1"/>
  <c r="P21" i="3" s="1"/>
  <c r="B23" i="3"/>
  <c r="A24" i="3"/>
  <c r="D24" i="3" s="1"/>
  <c r="Q20" i="3"/>
  <c r="F22" i="3"/>
  <c r="G22" i="3" s="1"/>
  <c r="L22" i="3"/>
  <c r="M22" i="3"/>
  <c r="J22" i="3"/>
  <c r="K22" i="3" s="1"/>
  <c r="E23" i="3" l="1"/>
  <c r="F23" i="3" s="1"/>
  <c r="G23" i="3" s="1"/>
  <c r="H24" i="3"/>
  <c r="I24" i="3"/>
  <c r="J23" i="3"/>
  <c r="K23" i="3" s="1"/>
  <c r="L23" i="3"/>
  <c r="N23" i="3" s="1"/>
  <c r="E24" i="3"/>
  <c r="Q21" i="3"/>
  <c r="C24" i="3"/>
  <c r="B24" i="3"/>
  <c r="A25" i="3"/>
  <c r="D25" i="3" s="1"/>
  <c r="N22" i="3"/>
  <c r="O22" i="3" s="1"/>
  <c r="P22" i="3" s="1"/>
  <c r="L24" i="3" l="1"/>
  <c r="H25" i="3"/>
  <c r="I25" i="3"/>
  <c r="O23" i="3"/>
  <c r="P23" i="3" s="1"/>
  <c r="M24" i="3"/>
  <c r="C25" i="3"/>
  <c r="J24" i="3"/>
  <c r="K24" i="3" s="1"/>
  <c r="A26" i="3"/>
  <c r="D26" i="3" s="1"/>
  <c r="F24" i="3"/>
  <c r="G24" i="3" s="1"/>
  <c r="B25" i="3"/>
  <c r="Q22" i="3"/>
  <c r="C26" i="3" l="1"/>
  <c r="A27" i="3"/>
  <c r="D27" i="3" s="1"/>
  <c r="E27" i="3" s="1"/>
  <c r="B26" i="3"/>
  <c r="N24" i="3"/>
  <c r="O24" i="3" s="1"/>
  <c r="P24" i="3" s="1"/>
  <c r="E25" i="3"/>
  <c r="F25" i="3" s="1"/>
  <c r="G25" i="3" s="1"/>
  <c r="H27" i="3"/>
  <c r="H26" i="3"/>
  <c r="M26" i="3" s="1"/>
  <c r="I26" i="3"/>
  <c r="L25" i="3"/>
  <c r="J25" i="3"/>
  <c r="K25" i="3" s="1"/>
  <c r="M25" i="3"/>
  <c r="Q23" i="3"/>
  <c r="C27" i="3"/>
  <c r="A28" i="3" l="1"/>
  <c r="D28" i="3" s="1"/>
  <c r="E28" i="3" s="1"/>
  <c r="I27" i="3"/>
  <c r="L27" i="3" s="1"/>
  <c r="B27" i="3"/>
  <c r="E26" i="3"/>
  <c r="F26" i="3" s="1"/>
  <c r="G26" i="3" s="1"/>
  <c r="H28" i="3"/>
  <c r="I28" i="3"/>
  <c r="L26" i="3"/>
  <c r="N26" i="3" s="1"/>
  <c r="N25" i="3"/>
  <c r="O25" i="3" s="1"/>
  <c r="P25" i="3" s="1"/>
  <c r="J26" i="3"/>
  <c r="K26" i="3" s="1"/>
  <c r="Q24" i="3"/>
  <c r="F27" i="3"/>
  <c r="G27" i="3" s="1"/>
  <c r="C28" i="3"/>
  <c r="J27" i="3"/>
  <c r="K27" i="3" s="1"/>
  <c r="M27" i="3"/>
  <c r="A29" i="3"/>
  <c r="D29" i="3" s="1"/>
  <c r="B28" i="3"/>
  <c r="H29" i="3" l="1"/>
  <c r="I29" i="3"/>
  <c r="O26" i="3"/>
  <c r="P26" i="3" s="1"/>
  <c r="Q25" i="3"/>
  <c r="F28" i="3"/>
  <c r="G28" i="3" s="1"/>
  <c r="N27" i="3"/>
  <c r="O27" i="3" s="1"/>
  <c r="P27" i="3" s="1"/>
  <c r="L28" i="3"/>
  <c r="C29" i="3"/>
  <c r="J28" i="3"/>
  <c r="K28" i="3" s="1"/>
  <c r="M28" i="3"/>
  <c r="E29" i="3"/>
  <c r="A30" i="3"/>
  <c r="D30" i="3" s="1"/>
  <c r="B29" i="3"/>
  <c r="H30" i="3" l="1"/>
  <c r="I30" i="3"/>
  <c r="Q26" i="3"/>
  <c r="Q27" i="3" s="1"/>
  <c r="L29" i="3"/>
  <c r="F29" i="3"/>
  <c r="G29" i="3" s="1"/>
  <c r="N28" i="3"/>
  <c r="O28" i="3" s="1"/>
  <c r="P28" i="3" s="1"/>
  <c r="C30" i="3"/>
  <c r="J29" i="3"/>
  <c r="K29" i="3" s="1"/>
  <c r="M29" i="3"/>
  <c r="E30" i="3"/>
  <c r="A31" i="3"/>
  <c r="D31" i="3" s="1"/>
  <c r="B30" i="3"/>
  <c r="H31" i="3" l="1"/>
  <c r="I31" i="3"/>
  <c r="N29" i="3"/>
  <c r="O29" i="3" s="1"/>
  <c r="P29" i="3" s="1"/>
  <c r="F30" i="3"/>
  <c r="G30" i="3" s="1"/>
  <c r="L30" i="3"/>
  <c r="C31" i="3"/>
  <c r="J30" i="3"/>
  <c r="K30" i="3" s="1"/>
  <c r="M30" i="3"/>
  <c r="Q28" i="3"/>
  <c r="E31" i="3"/>
  <c r="A32" i="3"/>
  <c r="D32" i="3" s="1"/>
  <c r="B31" i="3"/>
  <c r="H32" i="3" l="1"/>
  <c r="I32" i="3"/>
  <c r="F31" i="3"/>
  <c r="G31" i="3" s="1"/>
  <c r="N30" i="3"/>
  <c r="O30" i="3" s="1"/>
  <c r="P30" i="3" s="1"/>
  <c r="L31" i="3"/>
  <c r="C32" i="3"/>
  <c r="J31" i="3"/>
  <c r="K31" i="3" s="1"/>
  <c r="M31" i="3"/>
  <c r="Q29" i="3"/>
  <c r="E32" i="3"/>
  <c r="A33" i="3"/>
  <c r="D33" i="3" s="1"/>
  <c r="B32" i="3"/>
  <c r="H33" i="3" l="1"/>
  <c r="I33" i="3"/>
  <c r="F32" i="3"/>
  <c r="G32" i="3" s="1"/>
  <c r="N31" i="3"/>
  <c r="O31" i="3" s="1"/>
  <c r="P31" i="3" s="1"/>
  <c r="L32" i="3"/>
  <c r="C33" i="3"/>
  <c r="J32" i="3"/>
  <c r="K32" i="3" s="1"/>
  <c r="M32" i="3"/>
  <c r="Q30" i="3"/>
  <c r="E33" i="3"/>
  <c r="A34" i="3"/>
  <c r="D34" i="3" s="1"/>
  <c r="B33" i="3"/>
  <c r="H34" i="3" l="1"/>
  <c r="I34" i="3"/>
  <c r="F33" i="3"/>
  <c r="G33" i="3" s="1"/>
  <c r="N32" i="3"/>
  <c r="O32" i="3" s="1"/>
  <c r="P32" i="3" s="1"/>
  <c r="L33" i="3"/>
  <c r="C34" i="3"/>
  <c r="J33" i="3"/>
  <c r="K33" i="3" s="1"/>
  <c r="M33" i="3"/>
  <c r="Q31" i="3"/>
  <c r="E34" i="3"/>
  <c r="A35" i="3"/>
  <c r="D35" i="3" s="1"/>
  <c r="B34" i="3"/>
  <c r="H35" i="3" l="1"/>
  <c r="I35" i="3"/>
  <c r="F34" i="3"/>
  <c r="G34" i="3" s="1"/>
  <c r="L34" i="3"/>
  <c r="N33" i="3"/>
  <c r="O33" i="3" s="1"/>
  <c r="P33" i="3" s="1"/>
  <c r="C35" i="3"/>
  <c r="J34" i="3"/>
  <c r="K34" i="3" s="1"/>
  <c r="M34" i="3"/>
  <c r="Q32" i="3"/>
  <c r="E35" i="3"/>
  <c r="A36" i="3"/>
  <c r="D36" i="3" s="1"/>
  <c r="B35" i="3"/>
  <c r="H36" i="3" l="1"/>
  <c r="I36" i="3"/>
  <c r="F35" i="3"/>
  <c r="G35" i="3" s="1"/>
  <c r="N34" i="3"/>
  <c r="O34" i="3" s="1"/>
  <c r="P34" i="3" s="1"/>
  <c r="L35" i="3"/>
  <c r="C36" i="3"/>
  <c r="J35" i="3"/>
  <c r="K35" i="3" s="1"/>
  <c r="M35" i="3"/>
  <c r="Q33" i="3"/>
  <c r="E36" i="3"/>
  <c r="A37" i="3"/>
  <c r="D37" i="3" s="1"/>
  <c r="B36" i="3"/>
  <c r="H37" i="3" l="1"/>
  <c r="I37" i="3"/>
  <c r="F36" i="3"/>
  <c r="G36" i="3" s="1"/>
  <c r="L36" i="3"/>
  <c r="N35" i="3"/>
  <c r="O35" i="3" s="1"/>
  <c r="P35" i="3" s="1"/>
  <c r="C37" i="3"/>
  <c r="J36" i="3"/>
  <c r="K36" i="3" s="1"/>
  <c r="M36" i="3"/>
  <c r="Q34" i="3"/>
  <c r="E37" i="3"/>
  <c r="A38" i="3"/>
  <c r="D38" i="3" s="1"/>
  <c r="B37" i="3"/>
  <c r="H38" i="3" l="1"/>
  <c r="I38" i="3"/>
  <c r="N36" i="3"/>
  <c r="O36" i="3" s="1"/>
  <c r="P36" i="3" s="1"/>
  <c r="F37" i="3"/>
  <c r="G37" i="3" s="1"/>
  <c r="L37" i="3"/>
  <c r="C38" i="3"/>
  <c r="J37" i="3"/>
  <c r="K37" i="3" s="1"/>
  <c r="M37" i="3"/>
  <c r="Q35" i="3"/>
  <c r="E38" i="3"/>
  <c r="A39" i="3"/>
  <c r="D39" i="3" s="1"/>
  <c r="B38" i="3"/>
  <c r="H39" i="3" l="1"/>
  <c r="I39" i="3"/>
  <c r="F38" i="3"/>
  <c r="G38" i="3" s="1"/>
  <c r="N37" i="3"/>
  <c r="O37" i="3" s="1"/>
  <c r="P37" i="3" s="1"/>
  <c r="L38" i="3"/>
  <c r="C39" i="3"/>
  <c r="J38" i="3"/>
  <c r="K38" i="3" s="1"/>
  <c r="M38" i="3"/>
  <c r="Q36" i="3"/>
  <c r="E39" i="3"/>
  <c r="A40" i="3"/>
  <c r="D40" i="3" s="1"/>
  <c r="B39" i="3"/>
  <c r="H40" i="3" l="1"/>
  <c r="I40" i="3"/>
  <c r="L39" i="3"/>
  <c r="F39" i="3"/>
  <c r="G39" i="3" s="1"/>
  <c r="N38" i="3"/>
  <c r="O38" i="3" s="1"/>
  <c r="P38" i="3" s="1"/>
  <c r="C40" i="3"/>
  <c r="J39" i="3"/>
  <c r="K39" i="3" s="1"/>
  <c r="M39" i="3"/>
  <c r="Q37" i="3"/>
  <c r="E40" i="3"/>
  <c r="A41" i="3"/>
  <c r="D41" i="3" s="1"/>
  <c r="B40" i="3"/>
  <c r="H41" i="3" l="1"/>
  <c r="I41" i="3"/>
  <c r="F40" i="3"/>
  <c r="G40" i="3" s="1"/>
  <c r="N39" i="3"/>
  <c r="O39" i="3" s="1"/>
  <c r="P39" i="3" s="1"/>
  <c r="L40" i="3"/>
  <c r="C41" i="3"/>
  <c r="J40" i="3"/>
  <c r="K40" i="3" s="1"/>
  <c r="M40" i="3"/>
  <c r="Q38" i="3"/>
  <c r="E41" i="3"/>
  <c r="A42" i="3"/>
  <c r="D42" i="3" s="1"/>
  <c r="B41" i="3"/>
  <c r="H42" i="3" l="1"/>
  <c r="I42" i="3"/>
  <c r="F41" i="3"/>
  <c r="G41" i="3" s="1"/>
  <c r="L41" i="3"/>
  <c r="N40" i="3"/>
  <c r="O40" i="3" s="1"/>
  <c r="P40" i="3" s="1"/>
  <c r="C42" i="3"/>
  <c r="J41" i="3"/>
  <c r="K41" i="3" s="1"/>
  <c r="M41" i="3"/>
  <c r="Q39" i="3"/>
  <c r="E42" i="3"/>
  <c r="A43" i="3"/>
  <c r="D43" i="3" s="1"/>
  <c r="B42" i="3"/>
  <c r="H43" i="3" l="1"/>
  <c r="I43" i="3"/>
  <c r="F42" i="3"/>
  <c r="G42" i="3" s="1"/>
  <c r="N41" i="3"/>
  <c r="O41" i="3" s="1"/>
  <c r="P41" i="3" s="1"/>
  <c r="L42" i="3"/>
  <c r="C43" i="3"/>
  <c r="J42" i="3"/>
  <c r="K42" i="3" s="1"/>
  <c r="M42" i="3"/>
  <c r="Q40" i="3"/>
  <c r="E43" i="3"/>
  <c r="A44" i="3"/>
  <c r="D44" i="3" s="1"/>
  <c r="B43" i="3"/>
  <c r="H44" i="3" l="1"/>
  <c r="I44" i="3"/>
  <c r="N42" i="3"/>
  <c r="O42" i="3" s="1"/>
  <c r="P42" i="3" s="1"/>
  <c r="F43" i="3"/>
  <c r="G43" i="3" s="1"/>
  <c r="L43" i="3"/>
  <c r="C44" i="3"/>
  <c r="J43" i="3"/>
  <c r="K43" i="3" s="1"/>
  <c r="M43" i="3"/>
  <c r="Q41" i="3"/>
  <c r="E44" i="3"/>
  <c r="A45" i="3"/>
  <c r="D45" i="3" s="1"/>
  <c r="B44" i="3"/>
  <c r="H45" i="3" l="1"/>
  <c r="I45" i="3"/>
  <c r="F44" i="3"/>
  <c r="G44" i="3" s="1"/>
  <c r="L44" i="3"/>
  <c r="N43" i="3"/>
  <c r="O43" i="3" s="1"/>
  <c r="P43" i="3" s="1"/>
  <c r="C45" i="3"/>
  <c r="J44" i="3"/>
  <c r="K44" i="3" s="1"/>
  <c r="M44" i="3"/>
  <c r="Q42" i="3"/>
  <c r="E45" i="3"/>
  <c r="A46" i="3"/>
  <c r="D46" i="3" s="1"/>
  <c r="B45" i="3"/>
  <c r="H46" i="3" l="1"/>
  <c r="I46" i="3"/>
  <c r="F45" i="3"/>
  <c r="G45" i="3" s="1"/>
  <c r="N44" i="3"/>
  <c r="O44" i="3" s="1"/>
  <c r="P44" i="3" s="1"/>
  <c r="L45" i="3"/>
  <c r="C46" i="3"/>
  <c r="J45" i="3"/>
  <c r="K45" i="3" s="1"/>
  <c r="M45" i="3"/>
  <c r="Q43" i="3"/>
  <c r="E46" i="3"/>
  <c r="A47" i="3"/>
  <c r="D47" i="3" s="1"/>
  <c r="B46" i="3"/>
  <c r="H47" i="3" l="1"/>
  <c r="I47" i="3"/>
  <c r="F46" i="3"/>
  <c r="G46" i="3" s="1"/>
  <c r="N45" i="3"/>
  <c r="O45" i="3" s="1"/>
  <c r="P45" i="3" s="1"/>
  <c r="L46" i="3"/>
  <c r="C47" i="3"/>
  <c r="J46" i="3"/>
  <c r="K46" i="3" s="1"/>
  <c r="M46" i="3"/>
  <c r="Q44" i="3"/>
  <c r="E47" i="3"/>
  <c r="A48" i="3"/>
  <c r="D48" i="3" s="1"/>
  <c r="B47" i="3"/>
  <c r="H48" i="3" l="1"/>
  <c r="I48" i="3"/>
  <c r="F47" i="3"/>
  <c r="G47" i="3" s="1"/>
  <c r="L47" i="3"/>
  <c r="N46" i="3"/>
  <c r="O46" i="3" s="1"/>
  <c r="P46" i="3" s="1"/>
  <c r="C48" i="3"/>
  <c r="J47" i="3"/>
  <c r="K47" i="3" s="1"/>
  <c r="M47" i="3"/>
  <c r="Q45" i="3"/>
  <c r="E48" i="3"/>
  <c r="A49" i="3"/>
  <c r="D49" i="3" s="1"/>
  <c r="B48" i="3"/>
  <c r="H49" i="3" l="1"/>
  <c r="I49" i="3"/>
  <c r="N47" i="3"/>
  <c r="O47" i="3" s="1"/>
  <c r="P47" i="3" s="1"/>
  <c r="F48" i="3"/>
  <c r="G48" i="3" s="1"/>
  <c r="L48" i="3"/>
  <c r="C49" i="3"/>
  <c r="J48" i="3"/>
  <c r="K48" i="3" s="1"/>
  <c r="M48" i="3"/>
  <c r="Q46" i="3"/>
  <c r="E49" i="3"/>
  <c r="A50" i="3"/>
  <c r="D50" i="3" s="1"/>
  <c r="B49" i="3"/>
  <c r="H50" i="3" l="1"/>
  <c r="I50" i="3"/>
  <c r="F49" i="3"/>
  <c r="G49" i="3" s="1"/>
  <c r="L49" i="3"/>
  <c r="N48" i="3"/>
  <c r="O48" i="3" s="1"/>
  <c r="P48" i="3" s="1"/>
  <c r="C50" i="3"/>
  <c r="J49" i="3"/>
  <c r="K49" i="3" s="1"/>
  <c r="M49" i="3"/>
  <c r="Q47" i="3"/>
  <c r="E50" i="3"/>
  <c r="A51" i="3"/>
  <c r="D51" i="3" s="1"/>
  <c r="B50" i="3"/>
  <c r="H51" i="3" l="1"/>
  <c r="I51" i="3"/>
  <c r="N49" i="3"/>
  <c r="O49" i="3" s="1"/>
  <c r="P49" i="3" s="1"/>
  <c r="F50" i="3"/>
  <c r="G50" i="3" s="1"/>
  <c r="L50" i="3"/>
  <c r="C51" i="3"/>
  <c r="J50" i="3"/>
  <c r="K50" i="3" s="1"/>
  <c r="M50" i="3"/>
  <c r="Q48" i="3"/>
  <c r="E51" i="3"/>
  <c r="A52" i="3"/>
  <c r="D52" i="3" s="1"/>
  <c r="B51" i="3"/>
  <c r="H52" i="3" l="1"/>
  <c r="I52" i="3"/>
  <c r="F51" i="3"/>
  <c r="G51" i="3" s="1"/>
  <c r="N50" i="3"/>
  <c r="O50" i="3" s="1"/>
  <c r="P50" i="3" s="1"/>
  <c r="L51" i="3"/>
  <c r="C52" i="3"/>
  <c r="J51" i="3"/>
  <c r="K51" i="3" s="1"/>
  <c r="M51" i="3"/>
  <c r="Q49" i="3"/>
  <c r="E52" i="3"/>
  <c r="A53" i="3"/>
  <c r="D53" i="3" s="1"/>
  <c r="B52" i="3"/>
  <c r="H53" i="3" l="1"/>
  <c r="I53" i="3"/>
  <c r="F52" i="3"/>
  <c r="G52" i="3" s="1"/>
  <c r="N51" i="3"/>
  <c r="O51" i="3" s="1"/>
  <c r="P51" i="3" s="1"/>
  <c r="L52" i="3"/>
  <c r="C53" i="3"/>
  <c r="J52" i="3"/>
  <c r="K52" i="3" s="1"/>
  <c r="M52" i="3"/>
  <c r="Q50" i="3"/>
  <c r="E53" i="3"/>
  <c r="A54" i="3"/>
  <c r="D54" i="3" s="1"/>
  <c r="B53" i="3"/>
  <c r="H54" i="3" l="1"/>
  <c r="I54" i="3"/>
  <c r="F53" i="3"/>
  <c r="G53" i="3" s="1"/>
  <c r="N52" i="3"/>
  <c r="O52" i="3" s="1"/>
  <c r="P52" i="3" s="1"/>
  <c r="L53" i="3"/>
  <c r="C54" i="3"/>
  <c r="J53" i="3"/>
  <c r="K53" i="3" s="1"/>
  <c r="M53" i="3"/>
  <c r="Q51" i="3"/>
  <c r="E54" i="3"/>
  <c r="A55" i="3"/>
  <c r="D55" i="3" s="1"/>
  <c r="B54" i="3"/>
  <c r="H55" i="3" l="1"/>
  <c r="I55" i="3"/>
  <c r="N53" i="3"/>
  <c r="O53" i="3" s="1"/>
  <c r="P53" i="3" s="1"/>
  <c r="F54" i="3"/>
  <c r="G54" i="3" s="1"/>
  <c r="L54" i="3"/>
  <c r="C55" i="3"/>
  <c r="J54" i="3"/>
  <c r="K54" i="3" s="1"/>
  <c r="M54" i="3"/>
  <c r="Q52" i="3"/>
  <c r="E55" i="3"/>
  <c r="A56" i="3"/>
  <c r="D56" i="3" s="1"/>
  <c r="B55" i="3"/>
  <c r="H56" i="3" l="1"/>
  <c r="I56" i="3"/>
  <c r="F55" i="3"/>
  <c r="G55" i="3" s="1"/>
  <c r="L55" i="3"/>
  <c r="N54" i="3"/>
  <c r="O54" i="3" s="1"/>
  <c r="P54" i="3" s="1"/>
  <c r="C56" i="3"/>
  <c r="J55" i="3"/>
  <c r="K55" i="3" s="1"/>
  <c r="M55" i="3"/>
  <c r="Q53" i="3"/>
  <c r="E56" i="3"/>
  <c r="A57" i="3"/>
  <c r="D57" i="3" s="1"/>
  <c r="B56" i="3"/>
  <c r="H57" i="3" l="1"/>
  <c r="I57" i="3"/>
  <c r="N55" i="3"/>
  <c r="O55" i="3" s="1"/>
  <c r="P55" i="3" s="1"/>
  <c r="F56" i="3"/>
  <c r="G56" i="3" s="1"/>
  <c r="L56" i="3"/>
  <c r="C57" i="3"/>
  <c r="J56" i="3"/>
  <c r="K56" i="3" s="1"/>
  <c r="M56" i="3"/>
  <c r="Q54" i="3"/>
  <c r="E57" i="3"/>
  <c r="A58" i="3"/>
  <c r="D58" i="3" s="1"/>
  <c r="B57" i="3"/>
  <c r="H58" i="3" l="1"/>
  <c r="I58" i="3"/>
  <c r="N56" i="3"/>
  <c r="O56" i="3" s="1"/>
  <c r="P56" i="3" s="1"/>
  <c r="F57" i="3"/>
  <c r="G57" i="3" s="1"/>
  <c r="L57" i="3"/>
  <c r="C58" i="3"/>
  <c r="J57" i="3"/>
  <c r="K57" i="3" s="1"/>
  <c r="M57" i="3"/>
  <c r="Q55" i="3"/>
  <c r="E58" i="3"/>
  <c r="A59" i="3"/>
  <c r="D59" i="3" s="1"/>
  <c r="B58" i="3"/>
  <c r="H59" i="3" l="1"/>
  <c r="I59" i="3"/>
  <c r="F58" i="3"/>
  <c r="G58" i="3" s="1"/>
  <c r="N57" i="3"/>
  <c r="O57" i="3" s="1"/>
  <c r="P57" i="3" s="1"/>
  <c r="L58" i="3"/>
  <c r="C59" i="3"/>
  <c r="J58" i="3"/>
  <c r="K58" i="3" s="1"/>
  <c r="M58" i="3"/>
  <c r="Q56" i="3"/>
  <c r="E59" i="3"/>
  <c r="A60" i="3"/>
  <c r="D60" i="3" s="1"/>
  <c r="B59" i="3"/>
  <c r="H60" i="3" l="1"/>
  <c r="I60" i="3"/>
  <c r="F59" i="3"/>
  <c r="G59" i="3" s="1"/>
  <c r="N58" i="3"/>
  <c r="O58" i="3" s="1"/>
  <c r="P58" i="3" s="1"/>
  <c r="L59" i="3"/>
  <c r="C60" i="3"/>
  <c r="J59" i="3"/>
  <c r="K59" i="3" s="1"/>
  <c r="M59" i="3"/>
  <c r="Q57" i="3"/>
  <c r="E60" i="3"/>
  <c r="A61" i="3"/>
  <c r="D61" i="3" s="1"/>
  <c r="B60" i="3"/>
  <c r="H61" i="3" l="1"/>
  <c r="I61" i="3"/>
  <c r="F60" i="3"/>
  <c r="G60" i="3" s="1"/>
  <c r="N59" i="3"/>
  <c r="O59" i="3" s="1"/>
  <c r="P59" i="3" s="1"/>
  <c r="L60" i="3"/>
  <c r="C61" i="3"/>
  <c r="J60" i="3"/>
  <c r="K60" i="3" s="1"/>
  <c r="M60" i="3"/>
  <c r="Q58" i="3"/>
  <c r="E61" i="3"/>
  <c r="A62" i="3"/>
  <c r="D62" i="3" s="1"/>
  <c r="B61" i="3"/>
  <c r="H62" i="3" l="1"/>
  <c r="I62" i="3"/>
  <c r="F61" i="3"/>
  <c r="G61" i="3" s="1"/>
  <c r="N60" i="3"/>
  <c r="O60" i="3" s="1"/>
  <c r="P60" i="3" s="1"/>
  <c r="L61" i="3"/>
  <c r="C62" i="3"/>
  <c r="J61" i="3"/>
  <c r="K61" i="3" s="1"/>
  <c r="M61" i="3"/>
  <c r="Q59" i="3"/>
  <c r="E62" i="3"/>
  <c r="A63" i="3"/>
  <c r="D63" i="3" s="1"/>
  <c r="B62" i="3"/>
  <c r="H63" i="3" l="1"/>
  <c r="I63" i="3"/>
  <c r="F62" i="3"/>
  <c r="G62" i="3" s="1"/>
  <c r="N61" i="3"/>
  <c r="O61" i="3" s="1"/>
  <c r="P61" i="3" s="1"/>
  <c r="L62" i="3"/>
  <c r="C63" i="3"/>
  <c r="J62" i="3"/>
  <c r="K62" i="3" s="1"/>
  <c r="M62" i="3"/>
  <c r="Q60" i="3"/>
  <c r="E63" i="3"/>
  <c r="A64" i="3"/>
  <c r="D64" i="3" s="1"/>
  <c r="B63" i="3"/>
  <c r="H64" i="3" l="1"/>
  <c r="I64" i="3"/>
  <c r="F63" i="3"/>
  <c r="G63" i="3" s="1"/>
  <c r="L63" i="3"/>
  <c r="N62" i="3"/>
  <c r="O62" i="3" s="1"/>
  <c r="P62" i="3" s="1"/>
  <c r="C64" i="3"/>
  <c r="J63" i="3"/>
  <c r="K63" i="3" s="1"/>
  <c r="M63" i="3"/>
  <c r="Q61" i="3"/>
  <c r="E64" i="3"/>
  <c r="A65" i="3"/>
  <c r="D65" i="3" s="1"/>
  <c r="B64" i="3"/>
  <c r="H65" i="3" l="1"/>
  <c r="I65" i="3"/>
  <c r="N63" i="3"/>
  <c r="O63" i="3" s="1"/>
  <c r="P63" i="3" s="1"/>
  <c r="F64" i="3"/>
  <c r="G64" i="3" s="1"/>
  <c r="L64" i="3"/>
  <c r="C65" i="3"/>
  <c r="J64" i="3"/>
  <c r="K64" i="3" s="1"/>
  <c r="M64" i="3"/>
  <c r="Q62" i="3"/>
  <c r="E65" i="3"/>
  <c r="A66" i="3"/>
  <c r="D66" i="3" s="1"/>
  <c r="B65" i="3"/>
  <c r="H66" i="3" l="1"/>
  <c r="I66" i="3"/>
  <c r="N64" i="3"/>
  <c r="O64" i="3" s="1"/>
  <c r="P64" i="3" s="1"/>
  <c r="F65" i="3"/>
  <c r="G65" i="3" s="1"/>
  <c r="L65" i="3"/>
  <c r="C66" i="3"/>
  <c r="J65" i="3"/>
  <c r="K65" i="3" s="1"/>
  <c r="M65" i="3"/>
  <c r="Q63" i="3"/>
  <c r="E66" i="3"/>
  <c r="A67" i="3"/>
  <c r="D67" i="3" s="1"/>
  <c r="B66" i="3"/>
  <c r="H67" i="3" l="1"/>
  <c r="I67" i="3"/>
  <c r="F66" i="3"/>
  <c r="G66" i="3" s="1"/>
  <c r="L66" i="3"/>
  <c r="N65" i="3"/>
  <c r="O65" i="3" s="1"/>
  <c r="P65" i="3" s="1"/>
  <c r="C67" i="3"/>
  <c r="J66" i="3"/>
  <c r="K66" i="3" s="1"/>
  <c r="M66" i="3"/>
  <c r="Q64" i="3"/>
  <c r="E67" i="3"/>
  <c r="A68" i="3"/>
  <c r="D68" i="3" s="1"/>
  <c r="B67" i="3"/>
  <c r="H68" i="3" l="1"/>
  <c r="I68" i="3"/>
  <c r="N66" i="3"/>
  <c r="O66" i="3" s="1"/>
  <c r="P66" i="3" s="1"/>
  <c r="F67" i="3"/>
  <c r="G67" i="3" s="1"/>
  <c r="L67" i="3"/>
  <c r="C68" i="3"/>
  <c r="J67" i="3"/>
  <c r="K67" i="3" s="1"/>
  <c r="M67" i="3"/>
  <c r="Q65" i="3"/>
  <c r="E68" i="3"/>
  <c r="A69" i="3"/>
  <c r="D69" i="3" s="1"/>
  <c r="B68" i="3"/>
  <c r="H69" i="3" l="1"/>
  <c r="I69" i="3"/>
  <c r="F68" i="3"/>
  <c r="G68" i="3" s="1"/>
  <c r="L68" i="3"/>
  <c r="N67" i="3"/>
  <c r="O67" i="3" s="1"/>
  <c r="P67" i="3" s="1"/>
  <c r="C69" i="3"/>
  <c r="J68" i="3"/>
  <c r="K68" i="3" s="1"/>
  <c r="M68" i="3"/>
  <c r="Q66" i="3"/>
  <c r="E69" i="3"/>
  <c r="A70" i="3"/>
  <c r="D70" i="3" s="1"/>
  <c r="B69" i="3"/>
  <c r="H70" i="3" l="1"/>
  <c r="I70" i="3"/>
  <c r="N68" i="3"/>
  <c r="O68" i="3" s="1"/>
  <c r="P68" i="3" s="1"/>
  <c r="F69" i="3"/>
  <c r="G69" i="3" s="1"/>
  <c r="L69" i="3"/>
  <c r="C70" i="3"/>
  <c r="J69" i="3"/>
  <c r="K69" i="3" s="1"/>
  <c r="M69" i="3"/>
  <c r="Q67" i="3"/>
  <c r="E70" i="3"/>
  <c r="A71" i="3"/>
  <c r="D71" i="3" s="1"/>
  <c r="B70" i="3"/>
  <c r="H71" i="3" l="1"/>
  <c r="I71" i="3"/>
  <c r="N69" i="3"/>
  <c r="O69" i="3" s="1"/>
  <c r="P69" i="3" s="1"/>
  <c r="F70" i="3"/>
  <c r="G70" i="3" s="1"/>
  <c r="L70" i="3"/>
  <c r="C71" i="3"/>
  <c r="J70" i="3"/>
  <c r="K70" i="3" s="1"/>
  <c r="M70" i="3"/>
  <c r="Q68" i="3"/>
  <c r="E71" i="3"/>
  <c r="A72" i="3"/>
  <c r="D72" i="3" s="1"/>
  <c r="B71" i="3"/>
  <c r="H72" i="3" l="1"/>
  <c r="I72" i="3"/>
  <c r="F71" i="3"/>
  <c r="G71" i="3" s="1"/>
  <c r="N70" i="3"/>
  <c r="O70" i="3" s="1"/>
  <c r="P70" i="3" s="1"/>
  <c r="L71" i="3"/>
  <c r="C72" i="3"/>
  <c r="J71" i="3"/>
  <c r="K71" i="3" s="1"/>
  <c r="M71" i="3"/>
  <c r="Q69" i="3"/>
  <c r="E72" i="3"/>
  <c r="A73" i="3"/>
  <c r="D73" i="3" s="1"/>
  <c r="B72" i="3"/>
  <c r="H73" i="3" l="1"/>
  <c r="I73" i="3"/>
  <c r="N71" i="3"/>
  <c r="O71" i="3" s="1"/>
  <c r="P71" i="3" s="1"/>
  <c r="F72" i="3"/>
  <c r="G72" i="3" s="1"/>
  <c r="L72" i="3"/>
  <c r="C73" i="3"/>
  <c r="J72" i="3"/>
  <c r="K72" i="3" s="1"/>
  <c r="M72" i="3"/>
  <c r="Q70" i="3"/>
  <c r="E73" i="3"/>
  <c r="A74" i="3"/>
  <c r="D74" i="3" s="1"/>
  <c r="B73" i="3"/>
  <c r="H74" i="3" l="1"/>
  <c r="I74" i="3"/>
  <c r="F73" i="3"/>
  <c r="G73" i="3" s="1"/>
  <c r="N72" i="3"/>
  <c r="O72" i="3" s="1"/>
  <c r="P72" i="3" s="1"/>
  <c r="L73" i="3"/>
  <c r="C74" i="3"/>
  <c r="J73" i="3"/>
  <c r="K73" i="3" s="1"/>
  <c r="M73" i="3"/>
  <c r="Q71" i="3"/>
  <c r="E74" i="3"/>
  <c r="A75" i="3"/>
  <c r="D75" i="3" s="1"/>
  <c r="B74" i="3"/>
  <c r="H75" i="3" l="1"/>
  <c r="I75" i="3"/>
  <c r="F74" i="3"/>
  <c r="G74" i="3" s="1"/>
  <c r="L74" i="3"/>
  <c r="N73" i="3"/>
  <c r="O73" i="3" s="1"/>
  <c r="P73" i="3" s="1"/>
  <c r="C75" i="3"/>
  <c r="J74" i="3"/>
  <c r="K74" i="3" s="1"/>
  <c r="M74" i="3"/>
  <c r="Q72" i="3"/>
  <c r="E75" i="3"/>
  <c r="A76" i="3"/>
  <c r="D76" i="3" s="1"/>
  <c r="B75" i="3"/>
  <c r="I76" i="3" l="1"/>
  <c r="H76" i="3"/>
  <c r="N74" i="3"/>
  <c r="O74" i="3" s="1"/>
  <c r="P74" i="3" s="1"/>
  <c r="F75" i="3"/>
  <c r="G75" i="3" s="1"/>
  <c r="L75" i="3"/>
  <c r="C76" i="3"/>
  <c r="J75" i="3"/>
  <c r="K75" i="3" s="1"/>
  <c r="M75" i="3"/>
  <c r="Q73" i="3"/>
  <c r="E76" i="3"/>
  <c r="A77" i="3"/>
  <c r="D77" i="3" s="1"/>
  <c r="B76" i="3"/>
  <c r="H77" i="3" l="1"/>
  <c r="I77" i="3"/>
  <c r="N75" i="3"/>
  <c r="O75" i="3" s="1"/>
  <c r="P75" i="3" s="1"/>
  <c r="F76" i="3"/>
  <c r="G76" i="3" s="1"/>
  <c r="L76" i="3"/>
  <c r="C77" i="3"/>
  <c r="J76" i="3"/>
  <c r="K76" i="3" s="1"/>
  <c r="M76" i="3"/>
  <c r="Q74" i="3"/>
  <c r="E77" i="3"/>
  <c r="A78" i="3"/>
  <c r="D78" i="3" s="1"/>
  <c r="B77" i="3"/>
  <c r="H78" i="3" l="1"/>
  <c r="I78" i="3"/>
  <c r="N76" i="3"/>
  <c r="O76" i="3" s="1"/>
  <c r="P76" i="3" s="1"/>
  <c r="F77" i="3"/>
  <c r="G77" i="3" s="1"/>
  <c r="L77" i="3"/>
  <c r="C78" i="3"/>
  <c r="J77" i="3"/>
  <c r="K77" i="3" s="1"/>
  <c r="M77" i="3"/>
  <c r="Q75" i="3"/>
  <c r="E78" i="3"/>
  <c r="A79" i="3"/>
  <c r="D79" i="3" s="1"/>
  <c r="B78" i="3"/>
  <c r="H79" i="3" l="1"/>
  <c r="I79" i="3"/>
  <c r="F78" i="3"/>
  <c r="G78" i="3" s="1"/>
  <c r="L78" i="3"/>
  <c r="N77" i="3"/>
  <c r="O77" i="3" s="1"/>
  <c r="P77" i="3" s="1"/>
  <c r="C79" i="3"/>
  <c r="J78" i="3"/>
  <c r="K78" i="3" s="1"/>
  <c r="M78" i="3"/>
  <c r="Q76" i="3"/>
  <c r="E79" i="3"/>
  <c r="A80" i="3"/>
  <c r="D80" i="3" s="1"/>
  <c r="B79" i="3"/>
  <c r="H80" i="3" l="1"/>
  <c r="I80" i="3"/>
  <c r="N78" i="3"/>
  <c r="O78" i="3" s="1"/>
  <c r="P78" i="3" s="1"/>
  <c r="F79" i="3"/>
  <c r="G79" i="3" s="1"/>
  <c r="L79" i="3"/>
  <c r="C80" i="3"/>
  <c r="J79" i="3"/>
  <c r="K79" i="3" s="1"/>
  <c r="M79" i="3"/>
  <c r="Q77" i="3"/>
  <c r="E80" i="3"/>
  <c r="A81" i="3"/>
  <c r="D81" i="3" s="1"/>
  <c r="B80" i="3"/>
  <c r="H81" i="3" l="1"/>
  <c r="I81" i="3"/>
  <c r="F80" i="3"/>
  <c r="G80" i="3" s="1"/>
  <c r="N79" i="3"/>
  <c r="O79" i="3" s="1"/>
  <c r="P79" i="3" s="1"/>
  <c r="L80" i="3"/>
  <c r="C81" i="3"/>
  <c r="J80" i="3"/>
  <c r="K80" i="3" s="1"/>
  <c r="M80" i="3"/>
  <c r="Q78" i="3"/>
  <c r="E81" i="3"/>
  <c r="A82" i="3"/>
  <c r="D82" i="3" s="1"/>
  <c r="B81" i="3"/>
  <c r="H82" i="3" l="1"/>
  <c r="I82" i="3"/>
  <c r="F81" i="3"/>
  <c r="G81" i="3" s="1"/>
  <c r="N80" i="3"/>
  <c r="O80" i="3" s="1"/>
  <c r="P80" i="3" s="1"/>
  <c r="L81" i="3"/>
  <c r="C82" i="3"/>
  <c r="J81" i="3"/>
  <c r="K81" i="3" s="1"/>
  <c r="M81" i="3"/>
  <c r="Q79" i="3"/>
  <c r="E82" i="3"/>
  <c r="A83" i="3"/>
  <c r="D83" i="3" s="1"/>
  <c r="B82" i="3"/>
  <c r="H83" i="3" l="1"/>
  <c r="I83" i="3"/>
  <c r="F82" i="3"/>
  <c r="G82" i="3" s="1"/>
  <c r="N81" i="3"/>
  <c r="O81" i="3" s="1"/>
  <c r="P81" i="3" s="1"/>
  <c r="L82" i="3"/>
  <c r="C83" i="3"/>
  <c r="J82" i="3"/>
  <c r="K82" i="3" s="1"/>
  <c r="M82" i="3"/>
  <c r="Q80" i="3"/>
  <c r="E83" i="3"/>
  <c r="A84" i="3"/>
  <c r="D84" i="3" s="1"/>
  <c r="B83" i="3"/>
  <c r="I84" i="3" l="1"/>
  <c r="H84" i="3"/>
  <c r="F83" i="3"/>
  <c r="G83" i="3" s="1"/>
  <c r="L83" i="3"/>
  <c r="N82" i="3"/>
  <c r="O82" i="3" s="1"/>
  <c r="P82" i="3" s="1"/>
  <c r="C84" i="3"/>
  <c r="J83" i="3"/>
  <c r="K83" i="3" s="1"/>
  <c r="M83" i="3"/>
  <c r="Q81" i="3"/>
  <c r="E84" i="3"/>
  <c r="A85" i="3"/>
  <c r="D85" i="3" s="1"/>
  <c r="B84" i="3"/>
  <c r="H85" i="3" l="1"/>
  <c r="I85" i="3"/>
  <c r="N83" i="3"/>
  <c r="O83" i="3" s="1"/>
  <c r="P83" i="3" s="1"/>
  <c r="F84" i="3"/>
  <c r="G84" i="3" s="1"/>
  <c r="L84" i="3"/>
  <c r="C85" i="3"/>
  <c r="J84" i="3"/>
  <c r="K84" i="3" s="1"/>
  <c r="M84" i="3"/>
  <c r="Q82" i="3"/>
  <c r="E85" i="3"/>
  <c r="A86" i="3"/>
  <c r="D86" i="3" s="1"/>
  <c r="B85" i="3"/>
  <c r="H86" i="3" l="1"/>
  <c r="I86" i="3"/>
  <c r="N84" i="3"/>
  <c r="O84" i="3" s="1"/>
  <c r="P84" i="3" s="1"/>
  <c r="F85" i="3"/>
  <c r="G85" i="3" s="1"/>
  <c r="L85" i="3"/>
  <c r="C86" i="3"/>
  <c r="J85" i="3"/>
  <c r="K85" i="3" s="1"/>
  <c r="M85" i="3"/>
  <c r="Q83" i="3"/>
  <c r="E86" i="3"/>
  <c r="A87" i="3"/>
  <c r="D87" i="3" s="1"/>
  <c r="B86" i="3"/>
  <c r="H87" i="3" l="1"/>
  <c r="I87" i="3"/>
  <c r="N85" i="3"/>
  <c r="O85" i="3" s="1"/>
  <c r="P85" i="3" s="1"/>
  <c r="F86" i="3"/>
  <c r="G86" i="3" s="1"/>
  <c r="L86" i="3"/>
  <c r="C87" i="3"/>
  <c r="J86" i="3"/>
  <c r="K86" i="3" s="1"/>
  <c r="M86" i="3"/>
  <c r="Q84" i="3"/>
  <c r="E87" i="3"/>
  <c r="A88" i="3"/>
  <c r="D88" i="3" s="1"/>
  <c r="B87" i="3"/>
  <c r="H88" i="3" l="1"/>
  <c r="I88" i="3"/>
  <c r="N86" i="3"/>
  <c r="O86" i="3" s="1"/>
  <c r="P86" i="3" s="1"/>
  <c r="F87" i="3"/>
  <c r="G87" i="3" s="1"/>
  <c r="L87" i="3"/>
  <c r="C88" i="3"/>
  <c r="J87" i="3"/>
  <c r="K87" i="3" s="1"/>
  <c r="M87" i="3"/>
  <c r="Q85" i="3"/>
  <c r="E88" i="3"/>
  <c r="A89" i="3"/>
  <c r="D89" i="3" s="1"/>
  <c r="B88" i="3"/>
  <c r="H89" i="3" l="1"/>
  <c r="I89" i="3"/>
  <c r="F88" i="3"/>
  <c r="G88" i="3" s="1"/>
  <c r="L88" i="3"/>
  <c r="N87" i="3"/>
  <c r="O87" i="3" s="1"/>
  <c r="P87" i="3" s="1"/>
  <c r="C89" i="3"/>
  <c r="J88" i="3"/>
  <c r="K88" i="3" s="1"/>
  <c r="M88" i="3"/>
  <c r="Q86" i="3"/>
  <c r="E89" i="3"/>
  <c r="A90" i="3"/>
  <c r="D90" i="3" s="1"/>
  <c r="B89" i="3"/>
  <c r="H90" i="3" l="1"/>
  <c r="I90" i="3"/>
  <c r="N88" i="3"/>
  <c r="O88" i="3" s="1"/>
  <c r="P88" i="3" s="1"/>
  <c r="F89" i="3"/>
  <c r="G89" i="3" s="1"/>
  <c r="L89" i="3"/>
  <c r="C90" i="3"/>
  <c r="J89" i="3"/>
  <c r="K89" i="3" s="1"/>
  <c r="M89" i="3"/>
  <c r="Q87" i="3"/>
  <c r="E90" i="3"/>
  <c r="A91" i="3"/>
  <c r="D91" i="3" s="1"/>
  <c r="B90" i="3"/>
  <c r="H91" i="3" l="1"/>
  <c r="I91" i="3"/>
  <c r="F90" i="3"/>
  <c r="G90" i="3" s="1"/>
  <c r="L90" i="3"/>
  <c r="N89" i="3"/>
  <c r="O89" i="3" s="1"/>
  <c r="P89" i="3" s="1"/>
  <c r="C91" i="3"/>
  <c r="J90" i="3"/>
  <c r="K90" i="3" s="1"/>
  <c r="M90" i="3"/>
  <c r="Q88" i="3"/>
  <c r="E91" i="3"/>
  <c r="A92" i="3"/>
  <c r="D92" i="3" s="1"/>
  <c r="B91" i="3"/>
  <c r="H92" i="3" l="1"/>
  <c r="I92" i="3"/>
  <c r="N90" i="3"/>
  <c r="O90" i="3" s="1"/>
  <c r="P90" i="3" s="1"/>
  <c r="F91" i="3"/>
  <c r="G91" i="3" s="1"/>
  <c r="L91" i="3"/>
  <c r="C92" i="3"/>
  <c r="J91" i="3"/>
  <c r="K91" i="3" s="1"/>
  <c r="M91" i="3"/>
  <c r="Q89" i="3"/>
  <c r="E92" i="3"/>
  <c r="A93" i="3"/>
  <c r="D93" i="3" s="1"/>
  <c r="B92" i="3"/>
  <c r="H93" i="3" l="1"/>
  <c r="I93" i="3"/>
  <c r="F92" i="3"/>
  <c r="G92" i="3" s="1"/>
  <c r="L92" i="3"/>
  <c r="N91" i="3"/>
  <c r="O91" i="3" s="1"/>
  <c r="P91" i="3" s="1"/>
  <c r="C93" i="3"/>
  <c r="J92" i="3"/>
  <c r="K92" i="3" s="1"/>
  <c r="M92" i="3"/>
  <c r="Q90" i="3"/>
  <c r="E93" i="3"/>
  <c r="A94" i="3"/>
  <c r="D94" i="3" s="1"/>
  <c r="B93" i="3"/>
  <c r="H94" i="3" l="1"/>
  <c r="I94" i="3"/>
  <c r="N92" i="3"/>
  <c r="O92" i="3" s="1"/>
  <c r="P92" i="3" s="1"/>
  <c r="F93" i="3"/>
  <c r="G93" i="3" s="1"/>
  <c r="L93" i="3"/>
  <c r="C94" i="3"/>
  <c r="J93" i="3"/>
  <c r="K93" i="3" s="1"/>
  <c r="M93" i="3"/>
  <c r="Q91" i="3"/>
  <c r="E94" i="3"/>
  <c r="A95" i="3"/>
  <c r="D95" i="3" s="1"/>
  <c r="B94" i="3"/>
  <c r="H95" i="3" l="1"/>
  <c r="I95" i="3"/>
  <c r="N93" i="3"/>
  <c r="O93" i="3" s="1"/>
  <c r="P93" i="3" s="1"/>
  <c r="F94" i="3"/>
  <c r="G94" i="3" s="1"/>
  <c r="L94" i="3"/>
  <c r="C95" i="3"/>
  <c r="J94" i="3"/>
  <c r="K94" i="3" s="1"/>
  <c r="M94" i="3"/>
  <c r="Q92" i="3"/>
  <c r="E95" i="3"/>
  <c r="A96" i="3"/>
  <c r="D96" i="3" s="1"/>
  <c r="B95" i="3"/>
  <c r="H96" i="3" l="1"/>
  <c r="I96" i="3"/>
  <c r="F95" i="3"/>
  <c r="G95" i="3" s="1"/>
  <c r="N94" i="3"/>
  <c r="O94" i="3" s="1"/>
  <c r="P94" i="3" s="1"/>
  <c r="L95" i="3"/>
  <c r="C96" i="3"/>
  <c r="J95" i="3"/>
  <c r="K95" i="3" s="1"/>
  <c r="M95" i="3"/>
  <c r="Q93" i="3"/>
  <c r="E96" i="3"/>
  <c r="A97" i="3"/>
  <c r="D97" i="3" s="1"/>
  <c r="B96" i="3"/>
  <c r="H97" i="3" l="1"/>
  <c r="I97" i="3"/>
  <c r="F96" i="3"/>
  <c r="G96" i="3" s="1"/>
  <c r="L96" i="3"/>
  <c r="N95" i="3"/>
  <c r="O95" i="3" s="1"/>
  <c r="P95" i="3" s="1"/>
  <c r="C97" i="3"/>
  <c r="J96" i="3"/>
  <c r="K96" i="3" s="1"/>
  <c r="M96" i="3"/>
  <c r="Q94" i="3"/>
  <c r="E97" i="3"/>
  <c r="A98" i="3"/>
  <c r="D98" i="3" s="1"/>
  <c r="B97" i="3"/>
  <c r="H98" i="3" l="1"/>
  <c r="I98" i="3"/>
  <c r="N96" i="3"/>
  <c r="O96" i="3" s="1"/>
  <c r="P96" i="3" s="1"/>
  <c r="F97" i="3"/>
  <c r="G97" i="3" s="1"/>
  <c r="L97" i="3"/>
  <c r="C98" i="3"/>
  <c r="J97" i="3"/>
  <c r="K97" i="3" s="1"/>
  <c r="M97" i="3"/>
  <c r="Q95" i="3"/>
  <c r="E98" i="3"/>
  <c r="A99" i="3"/>
  <c r="D99" i="3" s="1"/>
  <c r="B98" i="3"/>
  <c r="H99" i="3" l="1"/>
  <c r="I99" i="3"/>
  <c r="F98" i="3"/>
  <c r="G98" i="3" s="1"/>
  <c r="N97" i="3"/>
  <c r="O97" i="3" s="1"/>
  <c r="P97" i="3" s="1"/>
  <c r="L98" i="3"/>
  <c r="C99" i="3"/>
  <c r="J98" i="3"/>
  <c r="K98" i="3" s="1"/>
  <c r="M98" i="3"/>
  <c r="Q96" i="3"/>
  <c r="E99" i="3"/>
  <c r="A100" i="3"/>
  <c r="D100" i="3" s="1"/>
  <c r="B99" i="3"/>
  <c r="H100" i="3" l="1"/>
  <c r="I100" i="3"/>
  <c r="F99" i="3"/>
  <c r="G99" i="3" s="1"/>
  <c r="L99" i="3"/>
  <c r="N98" i="3"/>
  <c r="O98" i="3" s="1"/>
  <c r="P98" i="3" s="1"/>
  <c r="C100" i="3"/>
  <c r="J99" i="3"/>
  <c r="K99" i="3" s="1"/>
  <c r="M99" i="3"/>
  <c r="Q97" i="3"/>
  <c r="E100" i="3"/>
  <c r="A101" i="3"/>
  <c r="D101" i="3" s="1"/>
  <c r="B100" i="3"/>
  <c r="H101" i="3" l="1"/>
  <c r="I101" i="3"/>
  <c r="N99" i="3"/>
  <c r="O99" i="3" s="1"/>
  <c r="P99" i="3" s="1"/>
  <c r="F100" i="3"/>
  <c r="G100" i="3" s="1"/>
  <c r="L100" i="3"/>
  <c r="C101" i="3"/>
  <c r="J100" i="3"/>
  <c r="K100" i="3" s="1"/>
  <c r="M100" i="3"/>
  <c r="Q98" i="3"/>
  <c r="E101" i="3"/>
  <c r="A102" i="3"/>
  <c r="D102" i="3" s="1"/>
  <c r="B101" i="3"/>
  <c r="H102" i="3" l="1"/>
  <c r="I102" i="3"/>
  <c r="F101" i="3"/>
  <c r="G101" i="3" s="1"/>
  <c r="L101" i="3"/>
  <c r="N100" i="3"/>
  <c r="O100" i="3" s="1"/>
  <c r="P100" i="3" s="1"/>
  <c r="C102" i="3"/>
  <c r="J101" i="3"/>
  <c r="K101" i="3" s="1"/>
  <c r="M101" i="3"/>
  <c r="Q99" i="3"/>
  <c r="E102" i="3"/>
  <c r="A103" i="3"/>
  <c r="D103" i="3" s="1"/>
  <c r="B102" i="3"/>
  <c r="H103" i="3" l="1"/>
  <c r="I103" i="3"/>
  <c r="F102" i="3"/>
  <c r="G102" i="3" s="1"/>
  <c r="L102" i="3"/>
  <c r="N101" i="3"/>
  <c r="O101" i="3" s="1"/>
  <c r="P101" i="3" s="1"/>
  <c r="C103" i="3"/>
  <c r="J102" i="3"/>
  <c r="K102" i="3" s="1"/>
  <c r="M102" i="3"/>
  <c r="Q100" i="3"/>
  <c r="E103" i="3"/>
  <c r="A104" i="3"/>
  <c r="D104" i="3" s="1"/>
  <c r="B103" i="3"/>
  <c r="H104" i="3" l="1"/>
  <c r="I104" i="3"/>
  <c r="N102" i="3"/>
  <c r="O102" i="3" s="1"/>
  <c r="P102" i="3" s="1"/>
  <c r="F103" i="3"/>
  <c r="G103" i="3" s="1"/>
  <c r="L103" i="3"/>
  <c r="C104" i="3"/>
  <c r="J103" i="3"/>
  <c r="K103" i="3" s="1"/>
  <c r="M103" i="3"/>
  <c r="Q101" i="3"/>
  <c r="E104" i="3"/>
  <c r="A105" i="3"/>
  <c r="D105" i="3" s="1"/>
  <c r="B104" i="3"/>
  <c r="H105" i="3" l="1"/>
  <c r="I105" i="3"/>
  <c r="N103" i="3"/>
  <c r="O103" i="3" s="1"/>
  <c r="P103" i="3" s="1"/>
  <c r="F104" i="3"/>
  <c r="G104" i="3" s="1"/>
  <c r="L104" i="3"/>
  <c r="C105" i="3"/>
  <c r="J104" i="3"/>
  <c r="K104" i="3" s="1"/>
  <c r="M104" i="3"/>
  <c r="Q102" i="3"/>
  <c r="E105" i="3"/>
  <c r="A106" i="3"/>
  <c r="D106" i="3" s="1"/>
  <c r="B105" i="3"/>
  <c r="H106" i="3" l="1"/>
  <c r="I106" i="3"/>
  <c r="F105" i="3"/>
  <c r="G105" i="3" s="1"/>
  <c r="N104" i="3"/>
  <c r="O104" i="3" s="1"/>
  <c r="P104" i="3" s="1"/>
  <c r="L105" i="3"/>
  <c r="C106" i="3"/>
  <c r="J105" i="3"/>
  <c r="K105" i="3" s="1"/>
  <c r="M105" i="3"/>
  <c r="Q103" i="3"/>
  <c r="E106" i="3"/>
  <c r="A107" i="3"/>
  <c r="D107" i="3" s="1"/>
  <c r="B106" i="3"/>
  <c r="H107" i="3" l="1"/>
  <c r="I107" i="3"/>
  <c r="F106" i="3"/>
  <c r="G106" i="3" s="1"/>
  <c r="L106" i="3"/>
  <c r="N105" i="3"/>
  <c r="O105" i="3" s="1"/>
  <c r="P105" i="3" s="1"/>
  <c r="C107" i="3"/>
  <c r="J106" i="3"/>
  <c r="K106" i="3" s="1"/>
  <c r="M106" i="3"/>
  <c r="Q104" i="3"/>
  <c r="E107" i="3"/>
  <c r="A108" i="3"/>
  <c r="D108" i="3" s="1"/>
  <c r="B107" i="3"/>
  <c r="H108" i="3" l="1"/>
  <c r="I108" i="3"/>
  <c r="F107" i="3"/>
  <c r="G107" i="3" s="1"/>
  <c r="N106" i="3"/>
  <c r="O106" i="3" s="1"/>
  <c r="P106" i="3" s="1"/>
  <c r="L107" i="3"/>
  <c r="C108" i="3"/>
  <c r="J107" i="3"/>
  <c r="K107" i="3" s="1"/>
  <c r="M107" i="3"/>
  <c r="Q105" i="3"/>
  <c r="E108" i="3"/>
  <c r="A109" i="3"/>
  <c r="D109" i="3" s="1"/>
  <c r="B108" i="3"/>
  <c r="H109" i="3" l="1"/>
  <c r="I109" i="3"/>
  <c r="F108" i="3"/>
  <c r="G108" i="3" s="1"/>
  <c r="L108" i="3"/>
  <c r="N107" i="3"/>
  <c r="O107" i="3" s="1"/>
  <c r="P107" i="3" s="1"/>
  <c r="C109" i="3"/>
  <c r="J108" i="3"/>
  <c r="K108" i="3" s="1"/>
  <c r="M108" i="3"/>
  <c r="Q106" i="3"/>
  <c r="E109" i="3"/>
  <c r="A110" i="3"/>
  <c r="D110" i="3" s="1"/>
  <c r="B109" i="3"/>
  <c r="H110" i="3" l="1"/>
  <c r="I110" i="3"/>
  <c r="N108" i="3"/>
  <c r="O108" i="3" s="1"/>
  <c r="P108" i="3" s="1"/>
  <c r="F109" i="3"/>
  <c r="G109" i="3" s="1"/>
  <c r="L109" i="3"/>
  <c r="C110" i="3"/>
  <c r="J109" i="3"/>
  <c r="K109" i="3" s="1"/>
  <c r="M109" i="3"/>
  <c r="Q107" i="3"/>
  <c r="E110" i="3"/>
  <c r="A111" i="3"/>
  <c r="D111" i="3" s="1"/>
  <c r="B110" i="3"/>
  <c r="I111" i="3" l="1"/>
  <c r="H111" i="3"/>
  <c r="N109" i="3"/>
  <c r="O109" i="3" s="1"/>
  <c r="P109" i="3" s="1"/>
  <c r="F110" i="3"/>
  <c r="G110" i="3" s="1"/>
  <c r="L110" i="3"/>
  <c r="C111" i="3"/>
  <c r="J110" i="3"/>
  <c r="K110" i="3" s="1"/>
  <c r="M110" i="3"/>
  <c r="Q108" i="3"/>
  <c r="E111" i="3"/>
  <c r="A112" i="3"/>
  <c r="D112" i="3" s="1"/>
  <c r="B111" i="3"/>
  <c r="H112" i="3" l="1"/>
  <c r="I112" i="3"/>
  <c r="L111" i="3"/>
  <c r="F111" i="3"/>
  <c r="G111" i="3" s="1"/>
  <c r="N110" i="3"/>
  <c r="O110" i="3" s="1"/>
  <c r="P110" i="3" s="1"/>
  <c r="C112" i="3"/>
  <c r="J111" i="3"/>
  <c r="K111" i="3" s="1"/>
  <c r="M111" i="3"/>
  <c r="Q109" i="3"/>
  <c r="E112" i="3"/>
  <c r="A113" i="3"/>
  <c r="D113" i="3" s="1"/>
  <c r="B112" i="3"/>
  <c r="H113" i="3" l="1"/>
  <c r="I113" i="3"/>
  <c r="F112" i="3"/>
  <c r="G112" i="3" s="1"/>
  <c r="N111" i="3"/>
  <c r="O111" i="3" s="1"/>
  <c r="P111" i="3" s="1"/>
  <c r="L112" i="3"/>
  <c r="C113" i="3"/>
  <c r="J112" i="3"/>
  <c r="K112" i="3" s="1"/>
  <c r="M112" i="3"/>
  <c r="Q110" i="3"/>
  <c r="E113" i="3"/>
  <c r="A114" i="3"/>
  <c r="D114" i="3" s="1"/>
  <c r="B113" i="3"/>
  <c r="H114" i="3" l="1"/>
  <c r="I114" i="3"/>
  <c r="F113" i="3"/>
  <c r="G113" i="3" s="1"/>
  <c r="N112" i="3"/>
  <c r="O112" i="3" s="1"/>
  <c r="P112" i="3" s="1"/>
  <c r="L113" i="3"/>
  <c r="C114" i="3"/>
  <c r="J113" i="3"/>
  <c r="K113" i="3" s="1"/>
  <c r="M113" i="3"/>
  <c r="Q111" i="3"/>
  <c r="E114" i="3"/>
  <c r="A115" i="3"/>
  <c r="D115" i="3" s="1"/>
  <c r="B114" i="3"/>
  <c r="H115" i="3" l="1"/>
  <c r="I115" i="3"/>
  <c r="N113" i="3"/>
  <c r="O113" i="3" s="1"/>
  <c r="P113" i="3" s="1"/>
  <c r="F114" i="3"/>
  <c r="G114" i="3" s="1"/>
  <c r="L114" i="3"/>
  <c r="C115" i="3"/>
  <c r="J114" i="3"/>
  <c r="K114" i="3" s="1"/>
  <c r="M114" i="3"/>
  <c r="Q112" i="3"/>
  <c r="E115" i="3"/>
  <c r="A116" i="3"/>
  <c r="D116" i="3" s="1"/>
  <c r="B115" i="3"/>
  <c r="H116" i="3" l="1"/>
  <c r="I116" i="3"/>
  <c r="F115" i="3"/>
  <c r="G115" i="3" s="1"/>
  <c r="L115" i="3"/>
  <c r="N114" i="3"/>
  <c r="O114" i="3" s="1"/>
  <c r="P114" i="3" s="1"/>
  <c r="C116" i="3"/>
  <c r="J115" i="3"/>
  <c r="K115" i="3" s="1"/>
  <c r="M115" i="3"/>
  <c r="Q113" i="3"/>
  <c r="E116" i="3"/>
  <c r="A117" i="3"/>
  <c r="D117" i="3" s="1"/>
  <c r="B116" i="3"/>
  <c r="H117" i="3" l="1"/>
  <c r="I117" i="3"/>
  <c r="N115" i="3"/>
  <c r="O115" i="3" s="1"/>
  <c r="P115" i="3" s="1"/>
  <c r="F116" i="3"/>
  <c r="G116" i="3" s="1"/>
  <c r="L116" i="3"/>
  <c r="C117" i="3"/>
  <c r="J116" i="3"/>
  <c r="K116" i="3" s="1"/>
  <c r="M116" i="3"/>
  <c r="Q114" i="3"/>
  <c r="E117" i="3"/>
  <c r="A118" i="3"/>
  <c r="D118" i="3" s="1"/>
  <c r="B117" i="3"/>
  <c r="H118" i="3" l="1"/>
  <c r="I118" i="3"/>
  <c r="F117" i="3"/>
  <c r="G117" i="3" s="1"/>
  <c r="N116" i="3"/>
  <c r="O116" i="3" s="1"/>
  <c r="P116" i="3" s="1"/>
  <c r="L117" i="3"/>
  <c r="C118" i="3"/>
  <c r="J117" i="3"/>
  <c r="K117" i="3" s="1"/>
  <c r="M117" i="3"/>
  <c r="Q115" i="3"/>
  <c r="E118" i="3"/>
  <c r="A119" i="3"/>
  <c r="D119" i="3" s="1"/>
  <c r="B118" i="3"/>
  <c r="H119" i="3" l="1"/>
  <c r="I119" i="3"/>
  <c r="F118" i="3"/>
  <c r="G118" i="3" s="1"/>
  <c r="N117" i="3"/>
  <c r="O117" i="3" s="1"/>
  <c r="P117" i="3" s="1"/>
  <c r="L118" i="3"/>
  <c r="C119" i="3"/>
  <c r="J118" i="3"/>
  <c r="K118" i="3" s="1"/>
  <c r="M118" i="3"/>
  <c r="Q116" i="3"/>
  <c r="E119" i="3"/>
  <c r="A120" i="3"/>
  <c r="D120" i="3" s="1"/>
  <c r="B119" i="3"/>
  <c r="H120" i="3" l="1"/>
  <c r="I120" i="3"/>
  <c r="F119" i="3"/>
  <c r="G119" i="3" s="1"/>
  <c r="L119" i="3"/>
  <c r="N118" i="3"/>
  <c r="O118" i="3" s="1"/>
  <c r="P118" i="3" s="1"/>
  <c r="C120" i="3"/>
  <c r="J119" i="3"/>
  <c r="K119" i="3" s="1"/>
  <c r="M119" i="3"/>
  <c r="Q117" i="3"/>
  <c r="E120" i="3"/>
  <c r="A121" i="3"/>
  <c r="D121" i="3" s="1"/>
  <c r="B120" i="3"/>
  <c r="H121" i="3" l="1"/>
  <c r="I121" i="3"/>
  <c r="F120" i="3"/>
  <c r="G120" i="3" s="1"/>
  <c r="L120" i="3"/>
  <c r="N119" i="3"/>
  <c r="O119" i="3" s="1"/>
  <c r="P119" i="3" s="1"/>
  <c r="C121" i="3"/>
  <c r="J120" i="3"/>
  <c r="K120" i="3" s="1"/>
  <c r="M120" i="3"/>
  <c r="Q118" i="3"/>
  <c r="E121" i="3"/>
  <c r="A122" i="3"/>
  <c r="D122" i="3" s="1"/>
  <c r="B121" i="3"/>
  <c r="H122" i="3" l="1"/>
  <c r="I122" i="3"/>
  <c r="F121" i="3"/>
  <c r="G121" i="3" s="1"/>
  <c r="N120" i="3"/>
  <c r="O120" i="3" s="1"/>
  <c r="P120" i="3" s="1"/>
  <c r="L121" i="3"/>
  <c r="C122" i="3"/>
  <c r="J121" i="3"/>
  <c r="K121" i="3" s="1"/>
  <c r="M121" i="3"/>
  <c r="Q119" i="3"/>
  <c r="E122" i="3"/>
  <c r="A123" i="3"/>
  <c r="D123" i="3" s="1"/>
  <c r="B122" i="3"/>
  <c r="H123" i="3" l="1"/>
  <c r="I123" i="3"/>
  <c r="F122" i="3"/>
  <c r="G122" i="3" s="1"/>
  <c r="N121" i="3"/>
  <c r="O121" i="3" s="1"/>
  <c r="P121" i="3" s="1"/>
  <c r="L122" i="3"/>
  <c r="C123" i="3"/>
  <c r="J122" i="3"/>
  <c r="K122" i="3" s="1"/>
  <c r="M122" i="3"/>
  <c r="Q120" i="3"/>
  <c r="E123" i="3"/>
  <c r="A124" i="3"/>
  <c r="D124" i="3" s="1"/>
  <c r="B123" i="3"/>
  <c r="H124" i="3" l="1"/>
  <c r="I124" i="3"/>
  <c r="F123" i="3"/>
  <c r="G123" i="3" s="1"/>
  <c r="L123" i="3"/>
  <c r="N122" i="3"/>
  <c r="O122" i="3" s="1"/>
  <c r="P122" i="3" s="1"/>
  <c r="C124" i="3"/>
  <c r="J123" i="3"/>
  <c r="K123" i="3" s="1"/>
  <c r="M123" i="3"/>
  <c r="Q121" i="3"/>
  <c r="E124" i="3"/>
  <c r="A125" i="3"/>
  <c r="D125" i="3" s="1"/>
  <c r="B124" i="3"/>
  <c r="H125" i="3" l="1"/>
  <c r="I125" i="3"/>
  <c r="F124" i="3"/>
  <c r="G124" i="3" s="1"/>
  <c r="N123" i="3"/>
  <c r="O123" i="3" s="1"/>
  <c r="P123" i="3" s="1"/>
  <c r="L124" i="3"/>
  <c r="C125" i="3"/>
  <c r="J124" i="3"/>
  <c r="K124" i="3" s="1"/>
  <c r="M124" i="3"/>
  <c r="Q122" i="3"/>
  <c r="E125" i="3"/>
  <c r="A126" i="3"/>
  <c r="D126" i="3" s="1"/>
  <c r="B125" i="3"/>
  <c r="H126" i="3" l="1"/>
  <c r="I126" i="3"/>
  <c r="N124" i="3"/>
  <c r="O124" i="3" s="1"/>
  <c r="P124" i="3" s="1"/>
  <c r="F125" i="3"/>
  <c r="G125" i="3" s="1"/>
  <c r="L125" i="3"/>
  <c r="C126" i="3"/>
  <c r="J125" i="3"/>
  <c r="K125" i="3" s="1"/>
  <c r="M125" i="3"/>
  <c r="Q123" i="3"/>
  <c r="E126" i="3"/>
  <c r="A127" i="3"/>
  <c r="D127" i="3" s="1"/>
  <c r="B126" i="3"/>
  <c r="H127" i="3" l="1"/>
  <c r="I127" i="3"/>
  <c r="F126" i="3"/>
  <c r="G126" i="3" s="1"/>
  <c r="N125" i="3"/>
  <c r="O125" i="3" s="1"/>
  <c r="P125" i="3" s="1"/>
  <c r="L126" i="3"/>
  <c r="C127" i="3"/>
  <c r="J126" i="3"/>
  <c r="K126" i="3" s="1"/>
  <c r="M126" i="3"/>
  <c r="Q124" i="3"/>
  <c r="E127" i="3"/>
  <c r="A128" i="3"/>
  <c r="D128" i="3" s="1"/>
  <c r="B127" i="3"/>
  <c r="H128" i="3" l="1"/>
  <c r="I128" i="3"/>
  <c r="F127" i="3"/>
  <c r="G127" i="3" s="1"/>
  <c r="L127" i="3"/>
  <c r="N126" i="3"/>
  <c r="O126" i="3" s="1"/>
  <c r="P126" i="3" s="1"/>
  <c r="C128" i="3"/>
  <c r="J127" i="3"/>
  <c r="K127" i="3" s="1"/>
  <c r="M127" i="3"/>
  <c r="Q125" i="3"/>
  <c r="E128" i="3"/>
  <c r="A129" i="3"/>
  <c r="D129" i="3" s="1"/>
  <c r="B128" i="3"/>
  <c r="H129" i="3" l="1"/>
  <c r="I129" i="3"/>
  <c r="F128" i="3"/>
  <c r="G128" i="3" s="1"/>
  <c r="N127" i="3"/>
  <c r="O127" i="3" s="1"/>
  <c r="P127" i="3" s="1"/>
  <c r="L128" i="3"/>
  <c r="C129" i="3"/>
  <c r="J128" i="3"/>
  <c r="K128" i="3" s="1"/>
  <c r="M128" i="3"/>
  <c r="Q126" i="3"/>
  <c r="E129" i="3"/>
  <c r="A130" i="3"/>
  <c r="D130" i="3" s="1"/>
  <c r="B129" i="3"/>
  <c r="H130" i="3" l="1"/>
  <c r="I130" i="3"/>
  <c r="F129" i="3"/>
  <c r="G129" i="3" s="1"/>
  <c r="L129" i="3"/>
  <c r="N128" i="3"/>
  <c r="O128" i="3" s="1"/>
  <c r="P128" i="3" s="1"/>
  <c r="C130" i="3"/>
  <c r="J129" i="3"/>
  <c r="K129" i="3" s="1"/>
  <c r="M129" i="3"/>
  <c r="Q127" i="3"/>
  <c r="E130" i="3"/>
  <c r="A131" i="3"/>
  <c r="D131" i="3" s="1"/>
  <c r="B130" i="3"/>
  <c r="H131" i="3" l="1"/>
  <c r="I131" i="3"/>
  <c r="F130" i="3"/>
  <c r="G130" i="3" s="1"/>
  <c r="N129" i="3"/>
  <c r="O129" i="3" s="1"/>
  <c r="P129" i="3" s="1"/>
  <c r="L130" i="3"/>
  <c r="C131" i="3"/>
  <c r="J130" i="3"/>
  <c r="K130" i="3" s="1"/>
  <c r="M130" i="3"/>
  <c r="Q128" i="3"/>
  <c r="E131" i="3"/>
  <c r="A132" i="3"/>
  <c r="D132" i="3" s="1"/>
  <c r="B131" i="3"/>
  <c r="H132" i="3" l="1"/>
  <c r="I132" i="3"/>
  <c r="F131" i="3"/>
  <c r="G131" i="3" s="1"/>
  <c r="N130" i="3"/>
  <c r="O130" i="3" s="1"/>
  <c r="P130" i="3" s="1"/>
  <c r="L131" i="3"/>
  <c r="C132" i="3"/>
  <c r="J131" i="3"/>
  <c r="K131" i="3" s="1"/>
  <c r="M131" i="3"/>
  <c r="Q129" i="3"/>
  <c r="E132" i="3"/>
  <c r="A133" i="3"/>
  <c r="D133" i="3" s="1"/>
  <c r="B132" i="3"/>
  <c r="H133" i="3" l="1"/>
  <c r="I133" i="3"/>
  <c r="F132" i="3"/>
  <c r="G132" i="3" s="1"/>
  <c r="N131" i="3"/>
  <c r="O131" i="3" s="1"/>
  <c r="P131" i="3" s="1"/>
  <c r="L132" i="3"/>
  <c r="C133" i="3"/>
  <c r="J132" i="3"/>
  <c r="K132" i="3" s="1"/>
  <c r="M132" i="3"/>
  <c r="Q130" i="3"/>
  <c r="E133" i="3"/>
  <c r="A134" i="3"/>
  <c r="D134" i="3" s="1"/>
  <c r="B133" i="3"/>
  <c r="H134" i="3" l="1"/>
  <c r="I134" i="3"/>
  <c r="F133" i="3"/>
  <c r="G133" i="3" s="1"/>
  <c r="L133" i="3"/>
  <c r="N132" i="3"/>
  <c r="O132" i="3" s="1"/>
  <c r="P132" i="3" s="1"/>
  <c r="C134" i="3"/>
  <c r="J133" i="3"/>
  <c r="K133" i="3" s="1"/>
  <c r="M133" i="3"/>
  <c r="Q131" i="3"/>
  <c r="E134" i="3"/>
  <c r="A135" i="3"/>
  <c r="D135" i="3" s="1"/>
  <c r="B134" i="3"/>
  <c r="H135" i="3" l="1"/>
  <c r="I135" i="3"/>
  <c r="F134" i="3"/>
  <c r="G134" i="3" s="1"/>
  <c r="N133" i="3"/>
  <c r="O133" i="3" s="1"/>
  <c r="P133" i="3" s="1"/>
  <c r="L134" i="3"/>
  <c r="C135" i="3"/>
  <c r="J134" i="3"/>
  <c r="K134" i="3" s="1"/>
  <c r="M134" i="3"/>
  <c r="Q132" i="3"/>
  <c r="E135" i="3"/>
  <c r="A136" i="3"/>
  <c r="D136" i="3" s="1"/>
  <c r="B135" i="3"/>
  <c r="H136" i="3" l="1"/>
  <c r="I136" i="3"/>
  <c r="F135" i="3"/>
  <c r="G135" i="3" s="1"/>
  <c r="N134" i="3"/>
  <c r="O134" i="3" s="1"/>
  <c r="P134" i="3" s="1"/>
  <c r="L135" i="3"/>
  <c r="C136" i="3"/>
  <c r="J135" i="3"/>
  <c r="K135" i="3" s="1"/>
  <c r="M135" i="3"/>
  <c r="Q133" i="3"/>
  <c r="E136" i="3"/>
  <c r="A137" i="3"/>
  <c r="D137" i="3" s="1"/>
  <c r="B136" i="3"/>
  <c r="H137" i="3" l="1"/>
  <c r="I137" i="3"/>
  <c r="F136" i="3"/>
  <c r="G136" i="3" s="1"/>
  <c r="N135" i="3"/>
  <c r="O135" i="3" s="1"/>
  <c r="P135" i="3" s="1"/>
  <c r="L136" i="3"/>
  <c r="C137" i="3"/>
  <c r="J136" i="3"/>
  <c r="K136" i="3" s="1"/>
  <c r="M136" i="3"/>
  <c r="Q134" i="3"/>
  <c r="E137" i="3"/>
  <c r="A138" i="3"/>
  <c r="D138" i="3" s="1"/>
  <c r="B137" i="3"/>
  <c r="H138" i="3" l="1"/>
  <c r="I138" i="3"/>
  <c r="F137" i="3"/>
  <c r="G137" i="3" s="1"/>
  <c r="N136" i="3"/>
  <c r="O136" i="3" s="1"/>
  <c r="P136" i="3" s="1"/>
  <c r="L137" i="3"/>
  <c r="C138" i="3"/>
  <c r="J137" i="3"/>
  <c r="K137" i="3" s="1"/>
  <c r="M137" i="3"/>
  <c r="Q135" i="3"/>
  <c r="E138" i="3"/>
  <c r="A139" i="3"/>
  <c r="D139" i="3" s="1"/>
  <c r="B138" i="3"/>
  <c r="H139" i="3" l="1"/>
  <c r="I139" i="3"/>
  <c r="F138" i="3"/>
  <c r="G138" i="3" s="1"/>
  <c r="L138" i="3"/>
  <c r="N137" i="3"/>
  <c r="O137" i="3" s="1"/>
  <c r="P137" i="3" s="1"/>
  <c r="C139" i="3"/>
  <c r="J138" i="3"/>
  <c r="K138" i="3" s="1"/>
  <c r="M138" i="3"/>
  <c r="Q136" i="3"/>
  <c r="E139" i="3"/>
  <c r="A140" i="3"/>
  <c r="D140" i="3" s="1"/>
  <c r="B139" i="3"/>
  <c r="H140" i="3" l="1"/>
  <c r="I140" i="3"/>
  <c r="F139" i="3"/>
  <c r="G139" i="3" s="1"/>
  <c r="N138" i="3"/>
  <c r="O138" i="3" s="1"/>
  <c r="P138" i="3" s="1"/>
  <c r="L139" i="3"/>
  <c r="C140" i="3"/>
  <c r="J139" i="3"/>
  <c r="K139" i="3" s="1"/>
  <c r="M139" i="3"/>
  <c r="Q137" i="3"/>
  <c r="E140" i="3"/>
  <c r="A141" i="3"/>
  <c r="D141" i="3" s="1"/>
  <c r="B140" i="3"/>
  <c r="H141" i="3" l="1"/>
  <c r="I141" i="3"/>
  <c r="F140" i="3"/>
  <c r="G140" i="3" s="1"/>
  <c r="N139" i="3"/>
  <c r="O139" i="3" s="1"/>
  <c r="P139" i="3" s="1"/>
  <c r="L140" i="3"/>
  <c r="C141" i="3"/>
  <c r="J140" i="3"/>
  <c r="K140" i="3" s="1"/>
  <c r="M140" i="3"/>
  <c r="Q138" i="3"/>
  <c r="E141" i="3"/>
  <c r="A142" i="3"/>
  <c r="D142" i="3" s="1"/>
  <c r="B141" i="3"/>
  <c r="H142" i="3" l="1"/>
  <c r="I142" i="3"/>
  <c r="F141" i="3"/>
  <c r="G141" i="3" s="1"/>
  <c r="N140" i="3"/>
  <c r="O140" i="3" s="1"/>
  <c r="P140" i="3" s="1"/>
  <c r="L141" i="3"/>
  <c r="C142" i="3"/>
  <c r="J141" i="3"/>
  <c r="K141" i="3" s="1"/>
  <c r="M141" i="3"/>
  <c r="Q139" i="3"/>
  <c r="E142" i="3"/>
  <c r="A143" i="3"/>
  <c r="D143" i="3" s="1"/>
  <c r="B142" i="3"/>
  <c r="H143" i="3" l="1"/>
  <c r="I143" i="3"/>
  <c r="L142" i="3"/>
  <c r="F142" i="3"/>
  <c r="G142" i="3" s="1"/>
  <c r="N141" i="3"/>
  <c r="O141" i="3" s="1"/>
  <c r="P141" i="3" s="1"/>
  <c r="C143" i="3"/>
  <c r="J142" i="3"/>
  <c r="K142" i="3" s="1"/>
  <c r="M142" i="3"/>
  <c r="Q140" i="3"/>
  <c r="E143" i="3"/>
  <c r="A144" i="3"/>
  <c r="D144" i="3" s="1"/>
  <c r="B143" i="3"/>
  <c r="H144" i="3" l="1"/>
  <c r="I144" i="3"/>
  <c r="F143" i="3"/>
  <c r="G143" i="3" s="1"/>
  <c r="N142" i="3"/>
  <c r="O142" i="3" s="1"/>
  <c r="P142" i="3" s="1"/>
  <c r="L143" i="3"/>
  <c r="C144" i="3"/>
  <c r="J143" i="3"/>
  <c r="K143" i="3" s="1"/>
  <c r="M143" i="3"/>
  <c r="Q141" i="3"/>
  <c r="E144" i="3"/>
  <c r="A145" i="3"/>
  <c r="D145" i="3" s="1"/>
  <c r="B144" i="3"/>
  <c r="H145" i="3" l="1"/>
  <c r="I145" i="3"/>
  <c r="F144" i="3"/>
  <c r="G144" i="3" s="1"/>
  <c r="N143" i="3"/>
  <c r="O143" i="3" s="1"/>
  <c r="P143" i="3" s="1"/>
  <c r="L144" i="3"/>
  <c r="C145" i="3"/>
  <c r="J144" i="3"/>
  <c r="K144" i="3" s="1"/>
  <c r="M144" i="3"/>
  <c r="Q142" i="3"/>
  <c r="E145" i="3"/>
  <c r="A146" i="3"/>
  <c r="D146" i="3" s="1"/>
  <c r="B145" i="3"/>
  <c r="H146" i="3" l="1"/>
  <c r="I146" i="3"/>
  <c r="F145" i="3"/>
  <c r="G145" i="3" s="1"/>
  <c r="N144" i="3"/>
  <c r="O144" i="3" s="1"/>
  <c r="P144" i="3" s="1"/>
  <c r="L145" i="3"/>
  <c r="C146" i="3"/>
  <c r="J145" i="3"/>
  <c r="K145" i="3" s="1"/>
  <c r="M145" i="3"/>
  <c r="Q143" i="3"/>
  <c r="E146" i="3"/>
  <c r="A147" i="3"/>
  <c r="D147" i="3" s="1"/>
  <c r="B146" i="3"/>
  <c r="H147" i="3" l="1"/>
  <c r="I147" i="3"/>
  <c r="F146" i="3"/>
  <c r="G146" i="3" s="1"/>
  <c r="L146" i="3"/>
  <c r="N145" i="3"/>
  <c r="O145" i="3" s="1"/>
  <c r="P145" i="3" s="1"/>
  <c r="C147" i="3"/>
  <c r="J146" i="3"/>
  <c r="K146" i="3" s="1"/>
  <c r="M146" i="3"/>
  <c r="Q144" i="3"/>
  <c r="E147" i="3"/>
  <c r="A148" i="3"/>
  <c r="D148" i="3" s="1"/>
  <c r="B147" i="3"/>
  <c r="H148" i="3" l="1"/>
  <c r="I148" i="3"/>
  <c r="F147" i="3"/>
  <c r="G147" i="3" s="1"/>
  <c r="N146" i="3"/>
  <c r="O146" i="3" s="1"/>
  <c r="P146" i="3" s="1"/>
  <c r="L147" i="3"/>
  <c r="C148" i="3"/>
  <c r="J147" i="3"/>
  <c r="K147" i="3" s="1"/>
  <c r="M147" i="3"/>
  <c r="Q145" i="3"/>
  <c r="E148" i="3"/>
  <c r="A149" i="3"/>
  <c r="D149" i="3" s="1"/>
  <c r="B148" i="3"/>
  <c r="H149" i="3" l="1"/>
  <c r="I149" i="3"/>
  <c r="F148" i="3"/>
  <c r="G148" i="3" s="1"/>
  <c r="L148" i="3"/>
  <c r="N147" i="3"/>
  <c r="O147" i="3" s="1"/>
  <c r="P147" i="3" s="1"/>
  <c r="C149" i="3"/>
  <c r="J148" i="3"/>
  <c r="K148" i="3" s="1"/>
  <c r="M148" i="3"/>
  <c r="Q146" i="3"/>
  <c r="E149" i="3"/>
  <c r="A150" i="3"/>
  <c r="D150" i="3" s="1"/>
  <c r="B149" i="3"/>
  <c r="H150" i="3" l="1"/>
  <c r="I150" i="3"/>
  <c r="F149" i="3"/>
  <c r="G149" i="3" s="1"/>
  <c r="N148" i="3"/>
  <c r="O148" i="3" s="1"/>
  <c r="P148" i="3" s="1"/>
  <c r="L149" i="3"/>
  <c r="C150" i="3"/>
  <c r="J149" i="3"/>
  <c r="K149" i="3" s="1"/>
  <c r="M149" i="3"/>
  <c r="Q147" i="3"/>
  <c r="E150" i="3"/>
  <c r="A151" i="3"/>
  <c r="D151" i="3" s="1"/>
  <c r="B150" i="3"/>
  <c r="H151" i="3" l="1"/>
  <c r="I151" i="3"/>
  <c r="N149" i="3"/>
  <c r="O149" i="3" s="1"/>
  <c r="P149" i="3" s="1"/>
  <c r="F150" i="3"/>
  <c r="G150" i="3" s="1"/>
  <c r="L150" i="3"/>
  <c r="C151" i="3"/>
  <c r="J150" i="3"/>
  <c r="K150" i="3" s="1"/>
  <c r="M150" i="3"/>
  <c r="Q148" i="3"/>
  <c r="E151" i="3"/>
  <c r="A152" i="3"/>
  <c r="D152" i="3" s="1"/>
  <c r="B151" i="3"/>
  <c r="H152" i="3" l="1"/>
  <c r="I152" i="3"/>
  <c r="F151" i="3"/>
  <c r="G151" i="3" s="1"/>
  <c r="L151" i="3"/>
  <c r="N150" i="3"/>
  <c r="O150" i="3" s="1"/>
  <c r="P150" i="3" s="1"/>
  <c r="C152" i="3"/>
  <c r="J151" i="3"/>
  <c r="K151" i="3" s="1"/>
  <c r="M151" i="3"/>
  <c r="Q149" i="3"/>
  <c r="E152" i="3"/>
  <c r="A153" i="3"/>
  <c r="D153" i="3" s="1"/>
  <c r="B152" i="3"/>
  <c r="H153" i="3" l="1"/>
  <c r="I153" i="3"/>
  <c r="N151" i="3"/>
  <c r="O151" i="3" s="1"/>
  <c r="P151" i="3" s="1"/>
  <c r="F152" i="3"/>
  <c r="G152" i="3" s="1"/>
  <c r="L152" i="3"/>
  <c r="C153" i="3"/>
  <c r="J152" i="3"/>
  <c r="K152" i="3" s="1"/>
  <c r="M152" i="3"/>
  <c r="Q150" i="3"/>
  <c r="E153" i="3"/>
  <c r="A154" i="3"/>
  <c r="D154" i="3" s="1"/>
  <c r="B153" i="3"/>
  <c r="H154" i="3" l="1"/>
  <c r="I154" i="3"/>
  <c r="N152" i="3"/>
  <c r="O152" i="3" s="1"/>
  <c r="P152" i="3" s="1"/>
  <c r="F153" i="3"/>
  <c r="G153" i="3" s="1"/>
  <c r="L153" i="3"/>
  <c r="C154" i="3"/>
  <c r="J153" i="3"/>
  <c r="K153" i="3" s="1"/>
  <c r="M153" i="3"/>
  <c r="Q151" i="3"/>
  <c r="E154" i="3"/>
  <c r="A155" i="3"/>
  <c r="D155" i="3" s="1"/>
  <c r="B154" i="3"/>
  <c r="H155" i="3" l="1"/>
  <c r="I155" i="3"/>
  <c r="F154" i="3"/>
  <c r="G154" i="3" s="1"/>
  <c r="N153" i="3"/>
  <c r="O153" i="3" s="1"/>
  <c r="P153" i="3" s="1"/>
  <c r="L154" i="3"/>
  <c r="C155" i="3"/>
  <c r="J154" i="3"/>
  <c r="K154" i="3" s="1"/>
  <c r="M154" i="3"/>
  <c r="Q152" i="3"/>
  <c r="E155" i="3"/>
  <c r="A156" i="3"/>
  <c r="D156" i="3" s="1"/>
  <c r="B155" i="3"/>
  <c r="H156" i="3" l="1"/>
  <c r="I156" i="3"/>
  <c r="F155" i="3"/>
  <c r="G155" i="3" s="1"/>
  <c r="L155" i="3"/>
  <c r="N154" i="3"/>
  <c r="O154" i="3" s="1"/>
  <c r="P154" i="3" s="1"/>
  <c r="C156" i="3"/>
  <c r="J155" i="3"/>
  <c r="K155" i="3" s="1"/>
  <c r="M155" i="3"/>
  <c r="Q153" i="3"/>
  <c r="E156" i="3"/>
  <c r="A157" i="3"/>
  <c r="D157" i="3" s="1"/>
  <c r="B156" i="3"/>
  <c r="H157" i="3" l="1"/>
  <c r="I157" i="3"/>
  <c r="F156" i="3"/>
  <c r="G156" i="3" s="1"/>
  <c r="N155" i="3"/>
  <c r="O155" i="3" s="1"/>
  <c r="P155" i="3" s="1"/>
  <c r="L156" i="3"/>
  <c r="C157" i="3"/>
  <c r="J156" i="3"/>
  <c r="K156" i="3" s="1"/>
  <c r="M156" i="3"/>
  <c r="Q154" i="3"/>
  <c r="E157" i="3"/>
  <c r="A158" i="3"/>
  <c r="D158" i="3" s="1"/>
  <c r="B157" i="3"/>
  <c r="H158" i="3" l="1"/>
  <c r="I158" i="3"/>
  <c r="F157" i="3"/>
  <c r="G157" i="3" s="1"/>
  <c r="N156" i="3"/>
  <c r="O156" i="3" s="1"/>
  <c r="P156" i="3" s="1"/>
  <c r="L157" i="3"/>
  <c r="C158" i="3"/>
  <c r="J157" i="3"/>
  <c r="K157" i="3" s="1"/>
  <c r="M157" i="3"/>
  <c r="Q155" i="3"/>
  <c r="E158" i="3"/>
  <c r="A159" i="3"/>
  <c r="D159" i="3" s="1"/>
  <c r="B158" i="3"/>
  <c r="H159" i="3" l="1"/>
  <c r="I159" i="3"/>
  <c r="F158" i="3"/>
  <c r="G158" i="3" s="1"/>
  <c r="N157" i="3"/>
  <c r="O157" i="3" s="1"/>
  <c r="P157" i="3" s="1"/>
  <c r="L158" i="3"/>
  <c r="C159" i="3"/>
  <c r="J158" i="3"/>
  <c r="K158" i="3" s="1"/>
  <c r="M158" i="3"/>
  <c r="Q156" i="3"/>
  <c r="E159" i="3"/>
  <c r="A160" i="3"/>
  <c r="D160" i="3" s="1"/>
  <c r="B159" i="3"/>
  <c r="H160" i="3" l="1"/>
  <c r="I160" i="3"/>
  <c r="F159" i="3"/>
  <c r="G159" i="3" s="1"/>
  <c r="N158" i="3"/>
  <c r="O158" i="3" s="1"/>
  <c r="P158" i="3" s="1"/>
  <c r="L159" i="3"/>
  <c r="C160" i="3"/>
  <c r="J159" i="3"/>
  <c r="K159" i="3" s="1"/>
  <c r="M159" i="3"/>
  <c r="Q157" i="3"/>
  <c r="E160" i="3"/>
  <c r="A161" i="3"/>
  <c r="D161" i="3" s="1"/>
  <c r="B160" i="3"/>
  <c r="H161" i="3" l="1"/>
  <c r="I161" i="3"/>
  <c r="F160" i="3"/>
  <c r="G160" i="3" s="1"/>
  <c r="L160" i="3"/>
  <c r="N159" i="3"/>
  <c r="O159" i="3" s="1"/>
  <c r="P159" i="3" s="1"/>
  <c r="C161" i="3"/>
  <c r="J160" i="3"/>
  <c r="K160" i="3" s="1"/>
  <c r="M160" i="3"/>
  <c r="Q158" i="3"/>
  <c r="E161" i="3"/>
  <c r="A162" i="3"/>
  <c r="D162" i="3" s="1"/>
  <c r="B161" i="3"/>
  <c r="H162" i="3" l="1"/>
  <c r="I162" i="3"/>
  <c r="F161" i="3"/>
  <c r="G161" i="3" s="1"/>
  <c r="N160" i="3"/>
  <c r="O160" i="3" s="1"/>
  <c r="P160" i="3" s="1"/>
  <c r="L161" i="3"/>
  <c r="C162" i="3"/>
  <c r="J161" i="3"/>
  <c r="K161" i="3" s="1"/>
  <c r="M161" i="3"/>
  <c r="Q159" i="3"/>
  <c r="E162" i="3"/>
  <c r="A163" i="3"/>
  <c r="D163" i="3" s="1"/>
  <c r="B162" i="3"/>
  <c r="H163" i="3" l="1"/>
  <c r="I163" i="3"/>
  <c r="F162" i="3"/>
  <c r="G162" i="3" s="1"/>
  <c r="L162" i="3"/>
  <c r="N161" i="3"/>
  <c r="O161" i="3" s="1"/>
  <c r="P161" i="3" s="1"/>
  <c r="C163" i="3"/>
  <c r="J162" i="3"/>
  <c r="K162" i="3" s="1"/>
  <c r="M162" i="3"/>
  <c r="Q160" i="3"/>
  <c r="E163" i="3"/>
  <c r="A164" i="3"/>
  <c r="D164" i="3" s="1"/>
  <c r="B163" i="3"/>
  <c r="H164" i="3" l="1"/>
  <c r="I164" i="3"/>
  <c r="N162" i="3"/>
  <c r="O162" i="3" s="1"/>
  <c r="P162" i="3" s="1"/>
  <c r="F163" i="3"/>
  <c r="G163" i="3" s="1"/>
  <c r="L163" i="3"/>
  <c r="C164" i="3"/>
  <c r="J163" i="3"/>
  <c r="K163" i="3" s="1"/>
  <c r="M163" i="3"/>
  <c r="Q161" i="3"/>
  <c r="E164" i="3"/>
  <c r="A165" i="3"/>
  <c r="D165" i="3" s="1"/>
  <c r="B164" i="3"/>
  <c r="H165" i="3" l="1"/>
  <c r="I165" i="3"/>
  <c r="N163" i="3"/>
  <c r="O163" i="3" s="1"/>
  <c r="P163" i="3" s="1"/>
  <c r="F164" i="3"/>
  <c r="G164" i="3" s="1"/>
  <c r="L164" i="3"/>
  <c r="C165" i="3"/>
  <c r="J164" i="3"/>
  <c r="K164" i="3" s="1"/>
  <c r="M164" i="3"/>
  <c r="Q162" i="3"/>
  <c r="E165" i="3"/>
  <c r="A166" i="3"/>
  <c r="D166" i="3" s="1"/>
  <c r="B165" i="3"/>
  <c r="H166" i="3" l="1"/>
  <c r="I166" i="3"/>
  <c r="F165" i="3"/>
  <c r="G165" i="3" s="1"/>
  <c r="N164" i="3"/>
  <c r="O164" i="3" s="1"/>
  <c r="P164" i="3" s="1"/>
  <c r="L165" i="3"/>
  <c r="C166" i="3"/>
  <c r="J165" i="3"/>
  <c r="K165" i="3" s="1"/>
  <c r="M165" i="3"/>
  <c r="Q163" i="3"/>
  <c r="E166" i="3"/>
  <c r="A167" i="3"/>
  <c r="D167" i="3" s="1"/>
  <c r="B166" i="3"/>
  <c r="H167" i="3" l="1"/>
  <c r="I167" i="3"/>
  <c r="F166" i="3"/>
  <c r="G166" i="3" s="1"/>
  <c r="L166" i="3"/>
  <c r="N165" i="3"/>
  <c r="O165" i="3" s="1"/>
  <c r="P165" i="3" s="1"/>
  <c r="C167" i="3"/>
  <c r="J166" i="3"/>
  <c r="K166" i="3" s="1"/>
  <c r="M166" i="3"/>
  <c r="Q164" i="3"/>
  <c r="E167" i="3"/>
  <c r="A168" i="3"/>
  <c r="D168" i="3" s="1"/>
  <c r="B167" i="3"/>
  <c r="H168" i="3" l="1"/>
  <c r="I168" i="3"/>
  <c r="F167" i="3"/>
  <c r="G167" i="3" s="1"/>
  <c r="N166" i="3"/>
  <c r="O166" i="3" s="1"/>
  <c r="P166" i="3" s="1"/>
  <c r="L167" i="3"/>
  <c r="C168" i="3"/>
  <c r="J167" i="3"/>
  <c r="K167" i="3" s="1"/>
  <c r="M167" i="3"/>
  <c r="Q165" i="3"/>
  <c r="E168" i="3"/>
  <c r="A169" i="3"/>
  <c r="D169" i="3" s="1"/>
  <c r="B168" i="3"/>
  <c r="H169" i="3" l="1"/>
  <c r="I169" i="3"/>
  <c r="F168" i="3"/>
  <c r="G168" i="3" s="1"/>
  <c r="N167" i="3"/>
  <c r="O167" i="3" s="1"/>
  <c r="P167" i="3" s="1"/>
  <c r="L168" i="3"/>
  <c r="C169" i="3"/>
  <c r="J168" i="3"/>
  <c r="K168" i="3" s="1"/>
  <c r="M168" i="3"/>
  <c r="Q166" i="3"/>
  <c r="E169" i="3"/>
  <c r="A170" i="3"/>
  <c r="D170" i="3" s="1"/>
  <c r="B169" i="3"/>
  <c r="H170" i="3" l="1"/>
  <c r="I170" i="3"/>
  <c r="F169" i="3"/>
  <c r="G169" i="3" s="1"/>
  <c r="N168" i="3"/>
  <c r="O168" i="3" s="1"/>
  <c r="P168" i="3" s="1"/>
  <c r="L169" i="3"/>
  <c r="C170" i="3"/>
  <c r="J169" i="3"/>
  <c r="K169" i="3" s="1"/>
  <c r="M169" i="3"/>
  <c r="Q167" i="3"/>
  <c r="E170" i="3"/>
  <c r="A171" i="3"/>
  <c r="D171" i="3" s="1"/>
  <c r="B170" i="3"/>
  <c r="H171" i="3" l="1"/>
  <c r="I171" i="3"/>
  <c r="F170" i="3"/>
  <c r="G170" i="3" s="1"/>
  <c r="L170" i="3"/>
  <c r="N169" i="3"/>
  <c r="O169" i="3" s="1"/>
  <c r="P169" i="3" s="1"/>
  <c r="C171" i="3"/>
  <c r="J170" i="3"/>
  <c r="K170" i="3" s="1"/>
  <c r="M170" i="3"/>
  <c r="Q168" i="3"/>
  <c r="E171" i="3"/>
  <c r="A172" i="3"/>
  <c r="D172" i="3" s="1"/>
  <c r="B171" i="3"/>
  <c r="H172" i="3" l="1"/>
  <c r="I172" i="3"/>
  <c r="F171" i="3"/>
  <c r="G171" i="3" s="1"/>
  <c r="N170" i="3"/>
  <c r="O170" i="3" s="1"/>
  <c r="P170" i="3" s="1"/>
  <c r="L171" i="3"/>
  <c r="C172" i="3"/>
  <c r="J171" i="3"/>
  <c r="K171" i="3" s="1"/>
  <c r="M171" i="3"/>
  <c r="Q169" i="3"/>
  <c r="E172" i="3"/>
  <c r="A173" i="3"/>
  <c r="D173" i="3" s="1"/>
  <c r="B172" i="3"/>
  <c r="H173" i="3" l="1"/>
  <c r="I173" i="3"/>
  <c r="F172" i="3"/>
  <c r="G172" i="3" s="1"/>
  <c r="N171" i="3"/>
  <c r="O171" i="3" s="1"/>
  <c r="P171" i="3" s="1"/>
  <c r="L172" i="3"/>
  <c r="C173" i="3"/>
  <c r="J172" i="3"/>
  <c r="K172" i="3" s="1"/>
  <c r="M172" i="3"/>
  <c r="Q170" i="3"/>
  <c r="E173" i="3"/>
  <c r="A174" i="3"/>
  <c r="D174" i="3" s="1"/>
  <c r="B173" i="3"/>
  <c r="H174" i="3" l="1"/>
  <c r="I174" i="3"/>
  <c r="F173" i="3"/>
  <c r="G173" i="3" s="1"/>
  <c r="N172" i="3"/>
  <c r="O172" i="3" s="1"/>
  <c r="P172" i="3" s="1"/>
  <c r="L173" i="3"/>
  <c r="C174" i="3"/>
  <c r="J173" i="3"/>
  <c r="K173" i="3" s="1"/>
  <c r="M173" i="3"/>
  <c r="Q171" i="3"/>
  <c r="E174" i="3"/>
  <c r="A175" i="3"/>
  <c r="D175" i="3" s="1"/>
  <c r="B174" i="3"/>
  <c r="I175" i="3" l="1"/>
  <c r="H175" i="3"/>
  <c r="F174" i="3"/>
  <c r="G174" i="3" s="1"/>
  <c r="N173" i="3"/>
  <c r="O173" i="3" s="1"/>
  <c r="P173" i="3" s="1"/>
  <c r="L174" i="3"/>
  <c r="C175" i="3"/>
  <c r="J174" i="3"/>
  <c r="K174" i="3" s="1"/>
  <c r="M174" i="3"/>
  <c r="Q172" i="3"/>
  <c r="E175" i="3"/>
  <c r="A176" i="3"/>
  <c r="D176" i="3" s="1"/>
  <c r="B175" i="3"/>
  <c r="H176" i="3" l="1"/>
  <c r="I176" i="3"/>
  <c r="F175" i="3"/>
  <c r="G175" i="3" s="1"/>
  <c r="N174" i="3"/>
  <c r="O174" i="3" s="1"/>
  <c r="P174" i="3" s="1"/>
  <c r="L175" i="3"/>
  <c r="C176" i="3"/>
  <c r="J175" i="3"/>
  <c r="K175" i="3" s="1"/>
  <c r="M175" i="3"/>
  <c r="Q173" i="3"/>
  <c r="E176" i="3"/>
  <c r="A177" i="3"/>
  <c r="D177" i="3" s="1"/>
  <c r="B176" i="3"/>
  <c r="H177" i="3" l="1"/>
  <c r="I177" i="3"/>
  <c r="F176" i="3"/>
  <c r="G176" i="3" s="1"/>
  <c r="L176" i="3"/>
  <c r="N175" i="3"/>
  <c r="O175" i="3" s="1"/>
  <c r="P175" i="3" s="1"/>
  <c r="C177" i="3"/>
  <c r="J176" i="3"/>
  <c r="K176" i="3" s="1"/>
  <c r="M176" i="3"/>
  <c r="Q174" i="3"/>
  <c r="E177" i="3"/>
  <c r="A178" i="3"/>
  <c r="D178" i="3" s="1"/>
  <c r="B177" i="3"/>
  <c r="H178" i="3" l="1"/>
  <c r="I178" i="3"/>
  <c r="F177" i="3"/>
  <c r="G177" i="3" s="1"/>
  <c r="N176" i="3"/>
  <c r="O176" i="3" s="1"/>
  <c r="P176" i="3" s="1"/>
  <c r="L177" i="3"/>
  <c r="C178" i="3"/>
  <c r="J177" i="3"/>
  <c r="K177" i="3" s="1"/>
  <c r="M177" i="3"/>
  <c r="Q175" i="3"/>
  <c r="E178" i="3"/>
  <c r="A179" i="3"/>
  <c r="D179" i="3" s="1"/>
  <c r="B178" i="3"/>
  <c r="H179" i="3" l="1"/>
  <c r="I179" i="3"/>
  <c r="F178" i="3"/>
  <c r="G178" i="3" s="1"/>
  <c r="N177" i="3"/>
  <c r="O177" i="3" s="1"/>
  <c r="P177" i="3" s="1"/>
  <c r="L178" i="3"/>
  <c r="C179" i="3"/>
  <c r="J178" i="3"/>
  <c r="K178" i="3" s="1"/>
  <c r="M178" i="3"/>
  <c r="Q176" i="3"/>
  <c r="E179" i="3"/>
  <c r="A180" i="3"/>
  <c r="D180" i="3" s="1"/>
  <c r="B179" i="3"/>
  <c r="H180" i="3" l="1"/>
  <c r="I180" i="3"/>
  <c r="F179" i="3"/>
  <c r="G179" i="3" s="1"/>
  <c r="L179" i="3"/>
  <c r="N178" i="3"/>
  <c r="O178" i="3" s="1"/>
  <c r="P178" i="3" s="1"/>
  <c r="C180" i="3"/>
  <c r="J179" i="3"/>
  <c r="K179" i="3" s="1"/>
  <c r="M179" i="3"/>
  <c r="Q177" i="3"/>
  <c r="E180" i="3"/>
  <c r="A181" i="3"/>
  <c r="D181" i="3" s="1"/>
  <c r="B180" i="3"/>
  <c r="H181" i="3" l="1"/>
  <c r="I181" i="3"/>
  <c r="F180" i="3"/>
  <c r="G180" i="3" s="1"/>
  <c r="N179" i="3"/>
  <c r="O179" i="3" s="1"/>
  <c r="P179" i="3" s="1"/>
  <c r="L180" i="3"/>
  <c r="C181" i="3"/>
  <c r="J180" i="3"/>
  <c r="K180" i="3" s="1"/>
  <c r="M180" i="3"/>
  <c r="Q178" i="3"/>
  <c r="E181" i="3"/>
  <c r="A182" i="3"/>
  <c r="D182" i="3" s="1"/>
  <c r="B181" i="3"/>
  <c r="H182" i="3" l="1"/>
  <c r="I182" i="3"/>
  <c r="F181" i="3"/>
  <c r="G181" i="3" s="1"/>
  <c r="N180" i="3"/>
  <c r="O180" i="3" s="1"/>
  <c r="P180" i="3" s="1"/>
  <c r="L181" i="3"/>
  <c r="C182" i="3"/>
  <c r="J181" i="3"/>
  <c r="K181" i="3" s="1"/>
  <c r="M181" i="3"/>
  <c r="Q179" i="3"/>
  <c r="E182" i="3"/>
  <c r="A183" i="3"/>
  <c r="D183" i="3" s="1"/>
  <c r="B182" i="3"/>
  <c r="H183" i="3" l="1"/>
  <c r="I183" i="3"/>
  <c r="F182" i="3"/>
  <c r="G182" i="3" s="1"/>
  <c r="N181" i="3"/>
  <c r="O181" i="3" s="1"/>
  <c r="P181" i="3" s="1"/>
  <c r="L182" i="3"/>
  <c r="C183" i="3"/>
  <c r="J182" i="3"/>
  <c r="K182" i="3" s="1"/>
  <c r="M182" i="3"/>
  <c r="Q180" i="3"/>
  <c r="E183" i="3"/>
  <c r="A184" i="3"/>
  <c r="D184" i="3" s="1"/>
  <c r="B183" i="3"/>
  <c r="H184" i="3" l="1"/>
  <c r="I184" i="3"/>
  <c r="F183" i="3"/>
  <c r="G183" i="3" s="1"/>
  <c r="N182" i="3"/>
  <c r="O182" i="3" s="1"/>
  <c r="P182" i="3" s="1"/>
  <c r="L183" i="3"/>
  <c r="C184" i="3"/>
  <c r="J183" i="3"/>
  <c r="K183" i="3" s="1"/>
  <c r="M183" i="3"/>
  <c r="Q181" i="3"/>
  <c r="E184" i="3"/>
  <c r="A185" i="3"/>
  <c r="D185" i="3" s="1"/>
  <c r="B184" i="3"/>
  <c r="H185" i="3" l="1"/>
  <c r="I185" i="3"/>
  <c r="F184" i="3"/>
  <c r="G184" i="3" s="1"/>
  <c r="N183" i="3"/>
  <c r="O183" i="3" s="1"/>
  <c r="P183" i="3" s="1"/>
  <c r="L184" i="3"/>
  <c r="C185" i="3"/>
  <c r="J184" i="3"/>
  <c r="K184" i="3" s="1"/>
  <c r="M184" i="3"/>
  <c r="Q182" i="3"/>
  <c r="E185" i="3"/>
  <c r="A186" i="3"/>
  <c r="D186" i="3" s="1"/>
  <c r="B185" i="3"/>
  <c r="H186" i="3" l="1"/>
  <c r="I186" i="3"/>
  <c r="F185" i="3"/>
  <c r="G185" i="3" s="1"/>
  <c r="N184" i="3"/>
  <c r="O184" i="3" s="1"/>
  <c r="P184" i="3" s="1"/>
  <c r="L185" i="3"/>
  <c r="C186" i="3"/>
  <c r="J185" i="3"/>
  <c r="K185" i="3" s="1"/>
  <c r="M185" i="3"/>
  <c r="Q183" i="3"/>
  <c r="E186" i="3"/>
  <c r="A187" i="3"/>
  <c r="D187" i="3" s="1"/>
  <c r="B186" i="3"/>
  <c r="H187" i="3" l="1"/>
  <c r="I187" i="3"/>
  <c r="F186" i="3"/>
  <c r="G186" i="3" s="1"/>
  <c r="N185" i="3"/>
  <c r="O185" i="3" s="1"/>
  <c r="P185" i="3" s="1"/>
  <c r="L186" i="3"/>
  <c r="C187" i="3"/>
  <c r="J186" i="3"/>
  <c r="K186" i="3" s="1"/>
  <c r="M186" i="3"/>
  <c r="Q184" i="3"/>
  <c r="E187" i="3"/>
  <c r="A188" i="3"/>
  <c r="D188" i="3" s="1"/>
  <c r="B187" i="3"/>
  <c r="H188" i="3" l="1"/>
  <c r="I188" i="3"/>
  <c r="F187" i="3"/>
  <c r="G187" i="3" s="1"/>
  <c r="N186" i="3"/>
  <c r="O186" i="3" s="1"/>
  <c r="P186" i="3" s="1"/>
  <c r="L187" i="3"/>
  <c r="C188" i="3"/>
  <c r="J187" i="3"/>
  <c r="K187" i="3" s="1"/>
  <c r="M187" i="3"/>
  <c r="Q185" i="3"/>
  <c r="E188" i="3"/>
  <c r="A189" i="3"/>
  <c r="D189" i="3" s="1"/>
  <c r="B188" i="3"/>
  <c r="H189" i="3" l="1"/>
  <c r="I189" i="3"/>
  <c r="L188" i="3"/>
  <c r="F188" i="3"/>
  <c r="G188" i="3" s="1"/>
  <c r="N187" i="3"/>
  <c r="O187" i="3" s="1"/>
  <c r="P187" i="3" s="1"/>
  <c r="C189" i="3"/>
  <c r="J188" i="3"/>
  <c r="K188" i="3" s="1"/>
  <c r="M188" i="3"/>
  <c r="Q186" i="3"/>
  <c r="E189" i="3"/>
  <c r="A190" i="3"/>
  <c r="D190" i="3" s="1"/>
  <c r="B189" i="3"/>
  <c r="H190" i="3" l="1"/>
  <c r="I190" i="3"/>
  <c r="N188" i="3"/>
  <c r="O188" i="3" s="1"/>
  <c r="P188" i="3" s="1"/>
  <c r="F189" i="3"/>
  <c r="G189" i="3" s="1"/>
  <c r="L189" i="3"/>
  <c r="C190" i="3"/>
  <c r="J189" i="3"/>
  <c r="K189" i="3" s="1"/>
  <c r="M189" i="3"/>
  <c r="Q187" i="3"/>
  <c r="E190" i="3"/>
  <c r="A191" i="3"/>
  <c r="D191" i="3" s="1"/>
  <c r="B190" i="3"/>
  <c r="H191" i="3" l="1"/>
  <c r="I191" i="3"/>
  <c r="F190" i="3"/>
  <c r="G190" i="3" s="1"/>
  <c r="N189" i="3"/>
  <c r="O189" i="3" s="1"/>
  <c r="P189" i="3" s="1"/>
  <c r="L190" i="3"/>
  <c r="C191" i="3"/>
  <c r="J190" i="3"/>
  <c r="K190" i="3" s="1"/>
  <c r="M190" i="3"/>
  <c r="Q188" i="3"/>
  <c r="E191" i="3"/>
  <c r="A192" i="3"/>
  <c r="D192" i="3" s="1"/>
  <c r="B191" i="3"/>
  <c r="H192" i="3" l="1"/>
  <c r="I192" i="3"/>
  <c r="F191" i="3"/>
  <c r="G191" i="3" s="1"/>
  <c r="N190" i="3"/>
  <c r="O190" i="3" s="1"/>
  <c r="P190" i="3" s="1"/>
  <c r="L191" i="3"/>
  <c r="C192" i="3"/>
  <c r="J191" i="3"/>
  <c r="K191" i="3" s="1"/>
  <c r="M191" i="3"/>
  <c r="Q189" i="3"/>
  <c r="E192" i="3"/>
  <c r="A193" i="3"/>
  <c r="D193" i="3" s="1"/>
  <c r="B192" i="3"/>
  <c r="I193" i="3" l="1"/>
  <c r="H193" i="3"/>
  <c r="F192" i="3"/>
  <c r="G192" i="3" s="1"/>
  <c r="L192" i="3"/>
  <c r="N191" i="3"/>
  <c r="O191" i="3" s="1"/>
  <c r="P191" i="3" s="1"/>
  <c r="C193" i="3"/>
  <c r="J192" i="3"/>
  <c r="K192" i="3" s="1"/>
  <c r="M192" i="3"/>
  <c r="Q190" i="3"/>
  <c r="E193" i="3"/>
  <c r="A194" i="3"/>
  <c r="D194" i="3" s="1"/>
  <c r="B193" i="3"/>
  <c r="H194" i="3" l="1"/>
  <c r="I194" i="3"/>
  <c r="F193" i="3"/>
  <c r="G193" i="3" s="1"/>
  <c r="N192" i="3"/>
  <c r="O192" i="3" s="1"/>
  <c r="P192" i="3" s="1"/>
  <c r="L193" i="3"/>
  <c r="C194" i="3"/>
  <c r="J193" i="3"/>
  <c r="K193" i="3" s="1"/>
  <c r="M193" i="3"/>
  <c r="Q191" i="3"/>
  <c r="E194" i="3"/>
  <c r="A195" i="3"/>
  <c r="D195" i="3" s="1"/>
  <c r="B194" i="3"/>
  <c r="H195" i="3" l="1"/>
  <c r="I195" i="3"/>
  <c r="F194" i="3"/>
  <c r="G194" i="3" s="1"/>
  <c r="N193" i="3"/>
  <c r="O193" i="3" s="1"/>
  <c r="P193" i="3" s="1"/>
  <c r="L194" i="3"/>
  <c r="C195" i="3"/>
  <c r="J194" i="3"/>
  <c r="K194" i="3" s="1"/>
  <c r="M194" i="3"/>
  <c r="Q192" i="3"/>
  <c r="E195" i="3"/>
  <c r="A196" i="3"/>
  <c r="D196" i="3" s="1"/>
  <c r="B195" i="3"/>
  <c r="H196" i="3" l="1"/>
  <c r="I196" i="3"/>
  <c r="N194" i="3"/>
  <c r="O194" i="3" s="1"/>
  <c r="P194" i="3" s="1"/>
  <c r="F195" i="3"/>
  <c r="G195" i="3" s="1"/>
  <c r="L195" i="3"/>
  <c r="C196" i="3"/>
  <c r="J195" i="3"/>
  <c r="K195" i="3" s="1"/>
  <c r="M195" i="3"/>
  <c r="Q193" i="3"/>
  <c r="E196" i="3"/>
  <c r="A197" i="3"/>
  <c r="D197" i="3" s="1"/>
  <c r="B196" i="3"/>
  <c r="H197" i="3" l="1"/>
  <c r="I197" i="3"/>
  <c r="F196" i="3"/>
  <c r="G196" i="3" s="1"/>
  <c r="L196" i="3"/>
  <c r="N195" i="3"/>
  <c r="O195" i="3" s="1"/>
  <c r="P195" i="3" s="1"/>
  <c r="C197" i="3"/>
  <c r="J196" i="3"/>
  <c r="K196" i="3" s="1"/>
  <c r="M196" i="3"/>
  <c r="Q194" i="3"/>
  <c r="E197" i="3"/>
  <c r="A198" i="3"/>
  <c r="D198" i="3" s="1"/>
  <c r="B197" i="3"/>
  <c r="H198" i="3" l="1"/>
  <c r="I198" i="3"/>
  <c r="F197" i="3"/>
  <c r="G197" i="3" s="1"/>
  <c r="N196" i="3"/>
  <c r="O196" i="3" s="1"/>
  <c r="P196" i="3" s="1"/>
  <c r="L197" i="3"/>
  <c r="C198" i="3"/>
  <c r="J197" i="3"/>
  <c r="K197" i="3" s="1"/>
  <c r="M197" i="3"/>
  <c r="Q195" i="3"/>
  <c r="E198" i="3"/>
  <c r="A199" i="3"/>
  <c r="D199" i="3" s="1"/>
  <c r="B198" i="3"/>
  <c r="H199" i="3" l="1"/>
  <c r="I199" i="3"/>
  <c r="F198" i="3"/>
  <c r="G198" i="3" s="1"/>
  <c r="N197" i="3"/>
  <c r="O197" i="3" s="1"/>
  <c r="P197" i="3" s="1"/>
  <c r="L198" i="3"/>
  <c r="C199" i="3"/>
  <c r="J198" i="3"/>
  <c r="K198" i="3" s="1"/>
  <c r="M198" i="3"/>
  <c r="Q196" i="3"/>
  <c r="E199" i="3"/>
  <c r="A200" i="3"/>
  <c r="D200" i="3" s="1"/>
  <c r="B199" i="3"/>
  <c r="H200" i="3" l="1"/>
  <c r="I200" i="3"/>
  <c r="F199" i="3"/>
  <c r="G199" i="3" s="1"/>
  <c r="N198" i="3"/>
  <c r="O198" i="3" s="1"/>
  <c r="P198" i="3" s="1"/>
  <c r="C200" i="3"/>
  <c r="J199" i="3"/>
  <c r="K199" i="3" s="1"/>
  <c r="M199" i="3"/>
  <c r="L199" i="3"/>
  <c r="Q197" i="3"/>
  <c r="E200" i="3"/>
  <c r="A201" i="3"/>
  <c r="D201" i="3" s="1"/>
  <c r="B200" i="3"/>
  <c r="H201" i="3" l="1"/>
  <c r="I201" i="3"/>
  <c r="F200" i="3"/>
  <c r="G200" i="3" s="1"/>
  <c r="L200" i="3"/>
  <c r="N199" i="3"/>
  <c r="O199" i="3" s="1"/>
  <c r="P199" i="3" s="1"/>
  <c r="J200" i="3"/>
  <c r="K200" i="3" s="1"/>
  <c r="M200" i="3"/>
  <c r="C201" i="3"/>
  <c r="Q198" i="3"/>
  <c r="E201" i="3"/>
  <c r="A202" i="3"/>
  <c r="D202" i="3" s="1"/>
  <c r="B201" i="3"/>
  <c r="H202" i="3" l="1"/>
  <c r="I202" i="3"/>
  <c r="F201" i="3"/>
  <c r="G201" i="3" s="1"/>
  <c r="N200" i="3"/>
  <c r="O200" i="3" s="1"/>
  <c r="P200" i="3" s="1"/>
  <c r="L201" i="3"/>
  <c r="C202" i="3"/>
  <c r="J201" i="3"/>
  <c r="K201" i="3" s="1"/>
  <c r="M201" i="3"/>
  <c r="Q199" i="3"/>
  <c r="E202" i="3"/>
  <c r="A203" i="3"/>
  <c r="D203" i="3" s="1"/>
  <c r="B202" i="3"/>
  <c r="H203" i="3" l="1"/>
  <c r="I203" i="3"/>
  <c r="F202" i="3"/>
  <c r="G202" i="3" s="1"/>
  <c r="N201" i="3"/>
  <c r="O201" i="3" s="1"/>
  <c r="P201" i="3" s="1"/>
  <c r="L202" i="3"/>
  <c r="C203" i="3"/>
  <c r="J202" i="3"/>
  <c r="K202" i="3" s="1"/>
  <c r="M202" i="3"/>
  <c r="Q200" i="3"/>
  <c r="E203" i="3"/>
  <c r="A204" i="3"/>
  <c r="D204" i="3" s="1"/>
  <c r="B203" i="3"/>
  <c r="H204" i="3" l="1"/>
  <c r="I204" i="3"/>
  <c r="F203" i="3"/>
  <c r="G203" i="3" s="1"/>
  <c r="N202" i="3"/>
  <c r="O202" i="3" s="1"/>
  <c r="P202" i="3" s="1"/>
  <c r="L203" i="3"/>
  <c r="C204" i="3"/>
  <c r="J203" i="3"/>
  <c r="K203" i="3" s="1"/>
  <c r="M203" i="3"/>
  <c r="Q201" i="3"/>
  <c r="E204" i="3"/>
  <c r="A205" i="3"/>
  <c r="D205" i="3" s="1"/>
  <c r="B204" i="3"/>
  <c r="H205" i="3" l="1"/>
  <c r="I205" i="3"/>
  <c r="F204" i="3"/>
  <c r="G204" i="3" s="1"/>
  <c r="N203" i="3"/>
  <c r="O203" i="3" s="1"/>
  <c r="P203" i="3" s="1"/>
  <c r="L204" i="3"/>
  <c r="C205" i="3"/>
  <c r="J204" i="3"/>
  <c r="K204" i="3" s="1"/>
  <c r="M204" i="3"/>
  <c r="Q202" i="3"/>
  <c r="E205" i="3"/>
  <c r="A206" i="3"/>
  <c r="D206" i="3" s="1"/>
  <c r="B205" i="3"/>
  <c r="H206" i="3" l="1"/>
  <c r="I206" i="3"/>
  <c r="F205" i="3"/>
  <c r="G205" i="3" s="1"/>
  <c r="N204" i="3"/>
  <c r="O204" i="3" s="1"/>
  <c r="P204" i="3" s="1"/>
  <c r="L205" i="3"/>
  <c r="C206" i="3"/>
  <c r="J205" i="3"/>
  <c r="K205" i="3" s="1"/>
  <c r="M205" i="3"/>
  <c r="Q203" i="3"/>
  <c r="E206" i="3"/>
  <c r="A207" i="3"/>
  <c r="D207" i="3" s="1"/>
  <c r="B206" i="3"/>
  <c r="H207" i="3" l="1"/>
  <c r="I207" i="3"/>
  <c r="F206" i="3"/>
  <c r="G206" i="3" s="1"/>
  <c r="N205" i="3"/>
  <c r="O205" i="3" s="1"/>
  <c r="P205" i="3" s="1"/>
  <c r="L206" i="3"/>
  <c r="C207" i="3"/>
  <c r="J206" i="3"/>
  <c r="K206" i="3" s="1"/>
  <c r="M206" i="3"/>
  <c r="Q204" i="3"/>
  <c r="E207" i="3"/>
  <c r="A208" i="3"/>
  <c r="D208" i="3" s="1"/>
  <c r="B207" i="3"/>
  <c r="H208" i="3" l="1"/>
  <c r="I208" i="3"/>
  <c r="F207" i="3"/>
  <c r="G207" i="3" s="1"/>
  <c r="N206" i="3"/>
  <c r="O206" i="3" s="1"/>
  <c r="P206" i="3" s="1"/>
  <c r="L207" i="3"/>
  <c r="C208" i="3"/>
  <c r="J207" i="3"/>
  <c r="K207" i="3" s="1"/>
  <c r="M207" i="3"/>
  <c r="Q205" i="3"/>
  <c r="E208" i="3"/>
  <c r="A209" i="3"/>
  <c r="D209" i="3" s="1"/>
  <c r="B208" i="3"/>
  <c r="H209" i="3" l="1"/>
  <c r="I209" i="3"/>
  <c r="F208" i="3"/>
  <c r="G208" i="3" s="1"/>
  <c r="N207" i="3"/>
  <c r="O207" i="3" s="1"/>
  <c r="P207" i="3" s="1"/>
  <c r="L208" i="3"/>
  <c r="C209" i="3"/>
  <c r="J208" i="3"/>
  <c r="K208" i="3" s="1"/>
  <c r="M208" i="3"/>
  <c r="Q206" i="3"/>
  <c r="E209" i="3"/>
  <c r="A210" i="3"/>
  <c r="D210" i="3" s="1"/>
  <c r="B209" i="3"/>
  <c r="H210" i="3" l="1"/>
  <c r="I210" i="3"/>
  <c r="F209" i="3"/>
  <c r="G209" i="3" s="1"/>
  <c r="N208" i="3"/>
  <c r="O208" i="3" s="1"/>
  <c r="P208" i="3" s="1"/>
  <c r="L209" i="3"/>
  <c r="C210" i="3"/>
  <c r="J209" i="3"/>
  <c r="K209" i="3" s="1"/>
  <c r="M209" i="3"/>
  <c r="Q207" i="3"/>
  <c r="E210" i="3"/>
  <c r="A211" i="3"/>
  <c r="D211" i="3" s="1"/>
  <c r="B210" i="3"/>
  <c r="H211" i="3" l="1"/>
  <c r="I211" i="3"/>
  <c r="L210" i="3"/>
  <c r="F210" i="3"/>
  <c r="G210" i="3" s="1"/>
  <c r="N209" i="3"/>
  <c r="O209" i="3" s="1"/>
  <c r="P209" i="3" s="1"/>
  <c r="C211" i="3"/>
  <c r="J210" i="3"/>
  <c r="K210" i="3" s="1"/>
  <c r="M210" i="3"/>
  <c r="Q208" i="3"/>
  <c r="E211" i="3"/>
  <c r="A212" i="3"/>
  <c r="D212" i="3" s="1"/>
  <c r="B211" i="3"/>
  <c r="H212" i="3" l="1"/>
  <c r="I212" i="3"/>
  <c r="F211" i="3"/>
  <c r="G211" i="3" s="1"/>
  <c r="N210" i="3"/>
  <c r="O210" i="3" s="1"/>
  <c r="P210" i="3" s="1"/>
  <c r="L211" i="3"/>
  <c r="C212" i="3"/>
  <c r="J211" i="3"/>
  <c r="K211" i="3" s="1"/>
  <c r="M211" i="3"/>
  <c r="Q209" i="3"/>
  <c r="E212" i="3"/>
  <c r="A213" i="3"/>
  <c r="D213" i="3" s="1"/>
  <c r="B212" i="3"/>
  <c r="H213" i="3" l="1"/>
  <c r="I213" i="3"/>
  <c r="F212" i="3"/>
  <c r="G212" i="3" s="1"/>
  <c r="N211" i="3"/>
  <c r="O211" i="3" s="1"/>
  <c r="P211" i="3" s="1"/>
  <c r="L212" i="3"/>
  <c r="C213" i="3"/>
  <c r="J212" i="3"/>
  <c r="K212" i="3" s="1"/>
  <c r="M212" i="3"/>
  <c r="Q210" i="3"/>
  <c r="E213" i="3"/>
  <c r="A214" i="3"/>
  <c r="D214" i="3" s="1"/>
  <c r="B213" i="3"/>
  <c r="H214" i="3" l="1"/>
  <c r="I214" i="3"/>
  <c r="F213" i="3"/>
  <c r="G213" i="3" s="1"/>
  <c r="N212" i="3"/>
  <c r="O212" i="3" s="1"/>
  <c r="P212" i="3" s="1"/>
  <c r="L213" i="3"/>
  <c r="C214" i="3"/>
  <c r="J213" i="3"/>
  <c r="K213" i="3" s="1"/>
  <c r="M213" i="3"/>
  <c r="Q211" i="3"/>
  <c r="E214" i="3"/>
  <c r="A215" i="3"/>
  <c r="D215" i="3" s="1"/>
  <c r="B214" i="3"/>
  <c r="H215" i="3" l="1"/>
  <c r="I215" i="3"/>
  <c r="F214" i="3"/>
  <c r="G214" i="3" s="1"/>
  <c r="N213" i="3"/>
  <c r="O213" i="3" s="1"/>
  <c r="P213" i="3" s="1"/>
  <c r="L214" i="3"/>
  <c r="C215" i="3"/>
  <c r="J214" i="3"/>
  <c r="K214" i="3" s="1"/>
  <c r="M214" i="3"/>
  <c r="Q212" i="3"/>
  <c r="E215" i="3"/>
  <c r="A216" i="3"/>
  <c r="D216" i="3" s="1"/>
  <c r="B215" i="3"/>
  <c r="H216" i="3" l="1"/>
  <c r="I216" i="3"/>
  <c r="F215" i="3"/>
  <c r="G215" i="3" s="1"/>
  <c r="N214" i="3"/>
  <c r="O214" i="3" s="1"/>
  <c r="P214" i="3" s="1"/>
  <c r="L215" i="3"/>
  <c r="C216" i="3"/>
  <c r="J215" i="3"/>
  <c r="K215" i="3" s="1"/>
  <c r="M215" i="3"/>
  <c r="Q213" i="3"/>
  <c r="E216" i="3"/>
  <c r="A217" i="3"/>
  <c r="D217" i="3" s="1"/>
  <c r="B216" i="3"/>
  <c r="H217" i="3" l="1"/>
  <c r="I217" i="3"/>
  <c r="F216" i="3"/>
  <c r="G216" i="3" s="1"/>
  <c r="L216" i="3"/>
  <c r="N215" i="3"/>
  <c r="O215" i="3" s="1"/>
  <c r="P215" i="3" s="1"/>
  <c r="C217" i="3"/>
  <c r="J216" i="3"/>
  <c r="K216" i="3" s="1"/>
  <c r="M216" i="3"/>
  <c r="Q214" i="3"/>
  <c r="E217" i="3"/>
  <c r="A218" i="3"/>
  <c r="D218" i="3" s="1"/>
  <c r="B217" i="3"/>
  <c r="H218" i="3" l="1"/>
  <c r="I218" i="3"/>
  <c r="F217" i="3"/>
  <c r="G217" i="3" s="1"/>
  <c r="N216" i="3"/>
  <c r="O216" i="3" s="1"/>
  <c r="P216" i="3" s="1"/>
  <c r="L217" i="3"/>
  <c r="C218" i="3"/>
  <c r="J217" i="3"/>
  <c r="K217" i="3" s="1"/>
  <c r="M217" i="3"/>
  <c r="Q215" i="3"/>
  <c r="E218" i="3"/>
  <c r="A219" i="3"/>
  <c r="D219" i="3" s="1"/>
  <c r="B218" i="3"/>
  <c r="H219" i="3" l="1"/>
  <c r="I219" i="3"/>
  <c r="F218" i="3"/>
  <c r="G218" i="3" s="1"/>
  <c r="N217" i="3"/>
  <c r="O217" i="3" s="1"/>
  <c r="P217" i="3" s="1"/>
  <c r="L218" i="3"/>
  <c r="C219" i="3"/>
  <c r="J218" i="3"/>
  <c r="K218" i="3" s="1"/>
  <c r="M218" i="3"/>
  <c r="Q216" i="3"/>
  <c r="E219" i="3"/>
  <c r="A220" i="3"/>
  <c r="D220" i="3" s="1"/>
  <c r="B219" i="3"/>
  <c r="H220" i="3" l="1"/>
  <c r="I220" i="3"/>
  <c r="F219" i="3"/>
  <c r="G219" i="3" s="1"/>
  <c r="N218" i="3"/>
  <c r="O218" i="3" s="1"/>
  <c r="P218" i="3" s="1"/>
  <c r="L219" i="3"/>
  <c r="C220" i="3"/>
  <c r="J219" i="3"/>
  <c r="K219" i="3" s="1"/>
  <c r="M219" i="3"/>
  <c r="Q217" i="3"/>
  <c r="E220" i="3"/>
  <c r="A221" i="3"/>
  <c r="D221" i="3" s="1"/>
  <c r="B220" i="3"/>
  <c r="H221" i="3" l="1"/>
  <c r="I221" i="3"/>
  <c r="F220" i="3"/>
  <c r="G220" i="3" s="1"/>
  <c r="L220" i="3"/>
  <c r="N219" i="3"/>
  <c r="O219" i="3" s="1"/>
  <c r="P219" i="3" s="1"/>
  <c r="C221" i="3"/>
  <c r="J220" i="3"/>
  <c r="K220" i="3" s="1"/>
  <c r="M220" i="3"/>
  <c r="Q218" i="3"/>
  <c r="E221" i="3"/>
  <c r="A222" i="3"/>
  <c r="D222" i="3" s="1"/>
  <c r="B221" i="3"/>
  <c r="H222" i="3" l="1"/>
  <c r="I222" i="3"/>
  <c r="F221" i="3"/>
  <c r="G221" i="3" s="1"/>
  <c r="N220" i="3"/>
  <c r="O220" i="3" s="1"/>
  <c r="P220" i="3" s="1"/>
  <c r="L221" i="3"/>
  <c r="C222" i="3"/>
  <c r="J221" i="3"/>
  <c r="K221" i="3" s="1"/>
  <c r="M221" i="3"/>
  <c r="Q219" i="3"/>
  <c r="E222" i="3"/>
  <c r="A223" i="3"/>
  <c r="D223" i="3" s="1"/>
  <c r="B222" i="3"/>
  <c r="H223" i="3" l="1"/>
  <c r="I223" i="3"/>
  <c r="F222" i="3"/>
  <c r="G222" i="3" s="1"/>
  <c r="L222" i="3"/>
  <c r="N221" i="3"/>
  <c r="O221" i="3" s="1"/>
  <c r="P221" i="3" s="1"/>
  <c r="C223" i="3"/>
  <c r="J222" i="3"/>
  <c r="K222" i="3" s="1"/>
  <c r="M222" i="3"/>
  <c r="Q220" i="3"/>
  <c r="E223" i="3"/>
  <c r="A224" i="3"/>
  <c r="D224" i="3" s="1"/>
  <c r="B223" i="3"/>
  <c r="I224" i="3" l="1"/>
  <c r="H224" i="3"/>
  <c r="N222" i="3"/>
  <c r="O222" i="3" s="1"/>
  <c r="P222" i="3" s="1"/>
  <c r="F223" i="3"/>
  <c r="G223" i="3" s="1"/>
  <c r="L223" i="3"/>
  <c r="C224" i="3"/>
  <c r="J223" i="3"/>
  <c r="K223" i="3" s="1"/>
  <c r="M223" i="3"/>
  <c r="Q221" i="3"/>
  <c r="E224" i="3"/>
  <c r="A225" i="3"/>
  <c r="D225" i="3" s="1"/>
  <c r="B224" i="3"/>
  <c r="H225" i="3" l="1"/>
  <c r="I225" i="3"/>
  <c r="F224" i="3"/>
  <c r="G224" i="3" s="1"/>
  <c r="N223" i="3"/>
  <c r="O223" i="3" s="1"/>
  <c r="P223" i="3" s="1"/>
  <c r="L224" i="3"/>
  <c r="C225" i="3"/>
  <c r="J224" i="3"/>
  <c r="K224" i="3" s="1"/>
  <c r="M224" i="3"/>
  <c r="Q222" i="3"/>
  <c r="E225" i="3"/>
  <c r="A226" i="3"/>
  <c r="D226" i="3" s="1"/>
  <c r="B225" i="3"/>
  <c r="H226" i="3" l="1"/>
  <c r="I226" i="3"/>
  <c r="F225" i="3"/>
  <c r="G225" i="3" s="1"/>
  <c r="N224" i="3"/>
  <c r="O224" i="3" s="1"/>
  <c r="P224" i="3" s="1"/>
  <c r="L225" i="3"/>
  <c r="C226" i="3"/>
  <c r="J225" i="3"/>
  <c r="K225" i="3" s="1"/>
  <c r="M225" i="3"/>
  <c r="Q223" i="3"/>
  <c r="E226" i="3"/>
  <c r="A227" i="3"/>
  <c r="D227" i="3" s="1"/>
  <c r="B226" i="3"/>
  <c r="H227" i="3" l="1"/>
  <c r="I227" i="3"/>
  <c r="N225" i="3"/>
  <c r="O225" i="3" s="1"/>
  <c r="P225" i="3" s="1"/>
  <c r="F226" i="3"/>
  <c r="G226" i="3" s="1"/>
  <c r="L226" i="3"/>
  <c r="C227" i="3"/>
  <c r="J226" i="3"/>
  <c r="K226" i="3" s="1"/>
  <c r="M226" i="3"/>
  <c r="Q224" i="3"/>
  <c r="E227" i="3"/>
  <c r="A228" i="3"/>
  <c r="D228" i="3" s="1"/>
  <c r="B227" i="3"/>
  <c r="H228" i="3" l="1"/>
  <c r="I228" i="3"/>
  <c r="N226" i="3"/>
  <c r="O226" i="3" s="1"/>
  <c r="P226" i="3" s="1"/>
  <c r="F227" i="3"/>
  <c r="G227" i="3" s="1"/>
  <c r="L227" i="3"/>
  <c r="C228" i="3"/>
  <c r="J227" i="3"/>
  <c r="K227" i="3" s="1"/>
  <c r="M227" i="3"/>
  <c r="Q225" i="3"/>
  <c r="E228" i="3"/>
  <c r="A229" i="3"/>
  <c r="D229" i="3" s="1"/>
  <c r="B228" i="3"/>
  <c r="H229" i="3" l="1"/>
  <c r="I229" i="3"/>
  <c r="N227" i="3"/>
  <c r="O227" i="3" s="1"/>
  <c r="P227" i="3" s="1"/>
  <c r="L228" i="3"/>
  <c r="F228" i="3"/>
  <c r="G228" i="3" s="1"/>
  <c r="C229" i="3"/>
  <c r="J228" i="3"/>
  <c r="K228" i="3" s="1"/>
  <c r="M228" i="3"/>
  <c r="Q226" i="3"/>
  <c r="E229" i="3"/>
  <c r="A230" i="3"/>
  <c r="D230" i="3" s="1"/>
  <c r="B229" i="3"/>
  <c r="H230" i="3" l="1"/>
  <c r="I230" i="3"/>
  <c r="F229" i="3"/>
  <c r="G229" i="3" s="1"/>
  <c r="L229" i="3"/>
  <c r="N228" i="3"/>
  <c r="O228" i="3" s="1"/>
  <c r="P228" i="3" s="1"/>
  <c r="C230" i="3"/>
  <c r="J229" i="3"/>
  <c r="K229" i="3" s="1"/>
  <c r="M229" i="3"/>
  <c r="Q227" i="3"/>
  <c r="E230" i="3"/>
  <c r="A231" i="3"/>
  <c r="D231" i="3" s="1"/>
  <c r="B230" i="3"/>
  <c r="H231" i="3" l="1"/>
  <c r="I231" i="3"/>
  <c r="N229" i="3"/>
  <c r="O229" i="3" s="1"/>
  <c r="P229" i="3" s="1"/>
  <c r="F230" i="3"/>
  <c r="G230" i="3" s="1"/>
  <c r="L230" i="3"/>
  <c r="C231" i="3"/>
  <c r="J230" i="3"/>
  <c r="K230" i="3" s="1"/>
  <c r="M230" i="3"/>
  <c r="Q228" i="3"/>
  <c r="E231" i="3"/>
  <c r="A232" i="3"/>
  <c r="D232" i="3" s="1"/>
  <c r="B231" i="3"/>
  <c r="H232" i="3" l="1"/>
  <c r="I232" i="3"/>
  <c r="F231" i="3"/>
  <c r="G231" i="3" s="1"/>
  <c r="L231" i="3"/>
  <c r="N230" i="3"/>
  <c r="O230" i="3" s="1"/>
  <c r="P230" i="3" s="1"/>
  <c r="C232" i="3"/>
  <c r="J231" i="3"/>
  <c r="K231" i="3" s="1"/>
  <c r="M231" i="3"/>
  <c r="Q229" i="3"/>
  <c r="E232" i="3"/>
  <c r="A233" i="3"/>
  <c r="D233" i="3" s="1"/>
  <c r="B232" i="3"/>
  <c r="H233" i="3" l="1"/>
  <c r="I233" i="3"/>
  <c r="N231" i="3"/>
  <c r="O231" i="3" s="1"/>
  <c r="P231" i="3" s="1"/>
  <c r="F232" i="3"/>
  <c r="G232" i="3" s="1"/>
  <c r="L232" i="3"/>
  <c r="C233" i="3"/>
  <c r="J232" i="3"/>
  <c r="K232" i="3" s="1"/>
  <c r="M232" i="3"/>
  <c r="Q230" i="3"/>
  <c r="E233" i="3"/>
  <c r="A234" i="3"/>
  <c r="D234" i="3" s="1"/>
  <c r="B233" i="3"/>
  <c r="H234" i="3" l="1"/>
  <c r="I234" i="3"/>
  <c r="F233" i="3"/>
  <c r="G233" i="3" s="1"/>
  <c r="L233" i="3"/>
  <c r="N232" i="3"/>
  <c r="O232" i="3" s="1"/>
  <c r="P232" i="3" s="1"/>
  <c r="C234" i="3"/>
  <c r="J233" i="3"/>
  <c r="K233" i="3" s="1"/>
  <c r="M233" i="3"/>
  <c r="Q231" i="3"/>
  <c r="E234" i="3"/>
  <c r="A235" i="3"/>
  <c r="D235" i="3" s="1"/>
  <c r="B234" i="3"/>
  <c r="H235" i="3" l="1"/>
  <c r="I235" i="3"/>
  <c r="N233" i="3"/>
  <c r="O233" i="3" s="1"/>
  <c r="P233" i="3" s="1"/>
  <c r="F234" i="3"/>
  <c r="G234" i="3" s="1"/>
  <c r="L234" i="3"/>
  <c r="C235" i="3"/>
  <c r="J234" i="3"/>
  <c r="K234" i="3" s="1"/>
  <c r="M234" i="3"/>
  <c r="Q232" i="3"/>
  <c r="E235" i="3"/>
  <c r="A236" i="3"/>
  <c r="D236" i="3" s="1"/>
  <c r="B235" i="3"/>
  <c r="H236" i="3" l="1"/>
  <c r="I236" i="3"/>
  <c r="F235" i="3"/>
  <c r="G235" i="3" s="1"/>
  <c r="N234" i="3"/>
  <c r="O234" i="3" s="1"/>
  <c r="P234" i="3" s="1"/>
  <c r="L235" i="3"/>
  <c r="C236" i="3"/>
  <c r="J235" i="3"/>
  <c r="K235" i="3" s="1"/>
  <c r="M235" i="3"/>
  <c r="Q233" i="3"/>
  <c r="E236" i="3"/>
  <c r="A237" i="3"/>
  <c r="D237" i="3" s="1"/>
  <c r="B236" i="3"/>
  <c r="H237" i="3" l="1"/>
  <c r="I237" i="3"/>
  <c r="F236" i="3"/>
  <c r="G236" i="3" s="1"/>
  <c r="N235" i="3"/>
  <c r="O235" i="3" s="1"/>
  <c r="P235" i="3" s="1"/>
  <c r="L236" i="3"/>
  <c r="C237" i="3"/>
  <c r="J236" i="3"/>
  <c r="K236" i="3" s="1"/>
  <c r="M236" i="3"/>
  <c r="Q234" i="3"/>
  <c r="E237" i="3"/>
  <c r="A238" i="3"/>
  <c r="D238" i="3" s="1"/>
  <c r="B237" i="3"/>
  <c r="H238" i="3" l="1"/>
  <c r="I238" i="3"/>
  <c r="N236" i="3"/>
  <c r="O236" i="3" s="1"/>
  <c r="P236" i="3" s="1"/>
  <c r="F237" i="3"/>
  <c r="G237" i="3" s="1"/>
  <c r="L237" i="3"/>
  <c r="C238" i="3"/>
  <c r="J237" i="3"/>
  <c r="K237" i="3" s="1"/>
  <c r="M237" i="3"/>
  <c r="Q235" i="3"/>
  <c r="E238" i="3"/>
  <c r="A239" i="3"/>
  <c r="D239" i="3" s="1"/>
  <c r="B238" i="3"/>
  <c r="H239" i="3" l="1"/>
  <c r="I239" i="3"/>
  <c r="F238" i="3"/>
  <c r="G238" i="3" s="1"/>
  <c r="L238" i="3"/>
  <c r="N237" i="3"/>
  <c r="O237" i="3" s="1"/>
  <c r="P237" i="3" s="1"/>
  <c r="C239" i="3"/>
  <c r="J238" i="3"/>
  <c r="K238" i="3" s="1"/>
  <c r="M238" i="3"/>
  <c r="Q236" i="3"/>
  <c r="E239" i="3"/>
  <c r="A240" i="3"/>
  <c r="D240" i="3" s="1"/>
  <c r="B239" i="3"/>
  <c r="H240" i="3" l="1"/>
  <c r="I240" i="3"/>
  <c r="N238" i="3"/>
  <c r="O238" i="3" s="1"/>
  <c r="P238" i="3" s="1"/>
  <c r="F239" i="3"/>
  <c r="G239" i="3" s="1"/>
  <c r="L239" i="3"/>
  <c r="C240" i="3"/>
  <c r="J239" i="3"/>
  <c r="K239" i="3" s="1"/>
  <c r="M239" i="3"/>
  <c r="Q237" i="3"/>
  <c r="E240" i="3"/>
  <c r="A241" i="3"/>
  <c r="D241" i="3" s="1"/>
  <c r="B240" i="3"/>
  <c r="H241" i="3" l="1"/>
  <c r="I241" i="3"/>
  <c r="N239" i="3"/>
  <c r="O239" i="3" s="1"/>
  <c r="P239" i="3" s="1"/>
  <c r="F240" i="3"/>
  <c r="G240" i="3" s="1"/>
  <c r="L240" i="3"/>
  <c r="C241" i="3"/>
  <c r="J240" i="3"/>
  <c r="K240" i="3" s="1"/>
  <c r="M240" i="3"/>
  <c r="Q238" i="3"/>
  <c r="E241" i="3"/>
  <c r="A242" i="3"/>
  <c r="D242" i="3" s="1"/>
  <c r="B241" i="3"/>
  <c r="H242" i="3" l="1"/>
  <c r="I242" i="3"/>
  <c r="F241" i="3"/>
  <c r="G241" i="3" s="1"/>
  <c r="N240" i="3"/>
  <c r="O240" i="3" s="1"/>
  <c r="P240" i="3" s="1"/>
  <c r="L241" i="3"/>
  <c r="C242" i="3"/>
  <c r="J241" i="3"/>
  <c r="K241" i="3" s="1"/>
  <c r="M241" i="3"/>
  <c r="Q239" i="3"/>
  <c r="E242" i="3"/>
  <c r="A243" i="3"/>
  <c r="D243" i="3" s="1"/>
  <c r="B242" i="3"/>
  <c r="H243" i="3" l="1"/>
  <c r="I243" i="3"/>
  <c r="F242" i="3"/>
  <c r="G242" i="3" s="1"/>
  <c r="N241" i="3"/>
  <c r="O241" i="3" s="1"/>
  <c r="P241" i="3" s="1"/>
  <c r="L242" i="3"/>
  <c r="C243" i="3"/>
  <c r="J242" i="3"/>
  <c r="K242" i="3" s="1"/>
  <c r="M242" i="3"/>
  <c r="Q240" i="3"/>
  <c r="E243" i="3"/>
  <c r="A244" i="3"/>
  <c r="D244" i="3" s="1"/>
  <c r="B243" i="3"/>
  <c r="H244" i="3" l="1"/>
  <c r="I244" i="3"/>
  <c r="L243" i="3"/>
  <c r="F243" i="3"/>
  <c r="G243" i="3" s="1"/>
  <c r="N242" i="3"/>
  <c r="O242" i="3" s="1"/>
  <c r="P242" i="3" s="1"/>
  <c r="C244" i="3"/>
  <c r="J243" i="3"/>
  <c r="K243" i="3" s="1"/>
  <c r="M243" i="3"/>
  <c r="Q241" i="3"/>
  <c r="E244" i="3"/>
  <c r="A245" i="3"/>
  <c r="D245" i="3" s="1"/>
  <c r="B244" i="3"/>
  <c r="H245" i="3" l="1"/>
  <c r="I245" i="3"/>
  <c r="F244" i="3"/>
  <c r="G244" i="3" s="1"/>
  <c r="N243" i="3"/>
  <c r="O243" i="3" s="1"/>
  <c r="P243" i="3" s="1"/>
  <c r="L244" i="3"/>
  <c r="C245" i="3"/>
  <c r="J244" i="3"/>
  <c r="K244" i="3" s="1"/>
  <c r="M244" i="3"/>
  <c r="Q242" i="3"/>
  <c r="E245" i="3"/>
  <c r="A246" i="3"/>
  <c r="D246" i="3" s="1"/>
  <c r="B245" i="3"/>
  <c r="H246" i="3" l="1"/>
  <c r="I246" i="3"/>
  <c r="F245" i="3"/>
  <c r="G245" i="3" s="1"/>
  <c r="L245" i="3"/>
  <c r="N244" i="3"/>
  <c r="O244" i="3" s="1"/>
  <c r="P244" i="3" s="1"/>
  <c r="C246" i="3"/>
  <c r="J245" i="3"/>
  <c r="K245" i="3" s="1"/>
  <c r="M245" i="3"/>
  <c r="Q243" i="3"/>
  <c r="E246" i="3"/>
  <c r="A247" i="3"/>
  <c r="D247" i="3" s="1"/>
  <c r="B246" i="3"/>
  <c r="H247" i="3" l="1"/>
  <c r="I247" i="3"/>
  <c r="N245" i="3"/>
  <c r="O245" i="3" s="1"/>
  <c r="P245" i="3" s="1"/>
  <c r="F246" i="3"/>
  <c r="G246" i="3" s="1"/>
  <c r="L246" i="3"/>
  <c r="C247" i="3"/>
  <c r="J246" i="3"/>
  <c r="K246" i="3" s="1"/>
  <c r="M246" i="3"/>
  <c r="Q244" i="3"/>
  <c r="E247" i="3"/>
  <c r="A248" i="3"/>
  <c r="D248" i="3" s="1"/>
  <c r="B247" i="3"/>
  <c r="H248" i="3" l="1"/>
  <c r="I248" i="3"/>
  <c r="N246" i="3"/>
  <c r="O246" i="3" s="1"/>
  <c r="P246" i="3" s="1"/>
  <c r="F247" i="3"/>
  <c r="G247" i="3" s="1"/>
  <c r="L247" i="3"/>
  <c r="C248" i="3"/>
  <c r="J247" i="3"/>
  <c r="K247" i="3" s="1"/>
  <c r="M247" i="3"/>
  <c r="Q245" i="3"/>
  <c r="E248" i="3"/>
  <c r="A249" i="3"/>
  <c r="D249" i="3" s="1"/>
  <c r="B248" i="3"/>
  <c r="H249" i="3" l="1"/>
  <c r="I249" i="3"/>
  <c r="F248" i="3"/>
  <c r="G248" i="3" s="1"/>
  <c r="N247" i="3"/>
  <c r="O247" i="3" s="1"/>
  <c r="P247" i="3" s="1"/>
  <c r="L248" i="3"/>
  <c r="C249" i="3"/>
  <c r="J248" i="3"/>
  <c r="K248" i="3" s="1"/>
  <c r="M248" i="3"/>
  <c r="Q246" i="3"/>
  <c r="E249" i="3"/>
  <c r="A250" i="3"/>
  <c r="D250" i="3" s="1"/>
  <c r="B249" i="3"/>
  <c r="H250" i="3" l="1"/>
  <c r="I250" i="3"/>
  <c r="F249" i="3"/>
  <c r="G249" i="3" s="1"/>
  <c r="N248" i="3"/>
  <c r="O248" i="3" s="1"/>
  <c r="P248" i="3" s="1"/>
  <c r="L249" i="3"/>
  <c r="C250" i="3"/>
  <c r="J249" i="3"/>
  <c r="K249" i="3" s="1"/>
  <c r="M249" i="3"/>
  <c r="Q247" i="3"/>
  <c r="E250" i="3"/>
  <c r="A251" i="3"/>
  <c r="D251" i="3" s="1"/>
  <c r="B250" i="3"/>
  <c r="H251" i="3" l="1"/>
  <c r="I251" i="3"/>
  <c r="F250" i="3"/>
  <c r="G250" i="3" s="1"/>
  <c r="N249" i="3"/>
  <c r="O249" i="3" s="1"/>
  <c r="P249" i="3" s="1"/>
  <c r="L250" i="3"/>
  <c r="C251" i="3"/>
  <c r="J250" i="3"/>
  <c r="K250" i="3" s="1"/>
  <c r="M250" i="3"/>
  <c r="Q248" i="3"/>
  <c r="E251" i="3"/>
  <c r="A252" i="3"/>
  <c r="D252" i="3" s="1"/>
  <c r="B251" i="3"/>
  <c r="H252" i="3" l="1"/>
  <c r="I252" i="3"/>
  <c r="N250" i="3"/>
  <c r="O250" i="3" s="1"/>
  <c r="P250" i="3" s="1"/>
  <c r="L251" i="3"/>
  <c r="F251" i="3"/>
  <c r="G251" i="3" s="1"/>
  <c r="C252" i="3"/>
  <c r="J251" i="3"/>
  <c r="K251" i="3" s="1"/>
  <c r="M251" i="3"/>
  <c r="Q249" i="3"/>
  <c r="E252" i="3"/>
  <c r="A253" i="3"/>
  <c r="D253" i="3" s="1"/>
  <c r="B252" i="3"/>
  <c r="H253" i="3" l="1"/>
  <c r="I253" i="3"/>
  <c r="F252" i="3"/>
  <c r="G252" i="3" s="1"/>
  <c r="N251" i="3"/>
  <c r="O251" i="3" s="1"/>
  <c r="P251" i="3" s="1"/>
  <c r="L252" i="3"/>
  <c r="C253" i="3"/>
  <c r="J252" i="3"/>
  <c r="K252" i="3" s="1"/>
  <c r="M252" i="3"/>
  <c r="Q250" i="3"/>
  <c r="E253" i="3"/>
  <c r="A254" i="3"/>
  <c r="D254" i="3" s="1"/>
  <c r="B253" i="3"/>
  <c r="H254" i="3" l="1"/>
  <c r="I254" i="3"/>
  <c r="F253" i="3"/>
  <c r="G253" i="3" s="1"/>
  <c r="N252" i="3"/>
  <c r="O252" i="3" s="1"/>
  <c r="P252" i="3" s="1"/>
  <c r="L253" i="3"/>
  <c r="C254" i="3"/>
  <c r="J253" i="3"/>
  <c r="K253" i="3" s="1"/>
  <c r="M253" i="3"/>
  <c r="Q251" i="3"/>
  <c r="E254" i="3"/>
  <c r="A255" i="3"/>
  <c r="D255" i="3" s="1"/>
  <c r="B254" i="3"/>
  <c r="H255" i="3" l="1"/>
  <c r="I255" i="3"/>
  <c r="N253" i="3"/>
  <c r="O253" i="3" s="1"/>
  <c r="P253" i="3" s="1"/>
  <c r="F254" i="3"/>
  <c r="G254" i="3" s="1"/>
  <c r="L254" i="3"/>
  <c r="C255" i="3"/>
  <c r="J254" i="3"/>
  <c r="K254" i="3" s="1"/>
  <c r="M254" i="3"/>
  <c r="Q252" i="3"/>
  <c r="E255" i="3"/>
  <c r="A256" i="3"/>
  <c r="D256" i="3" s="1"/>
  <c r="B255" i="3"/>
  <c r="I256" i="3" l="1"/>
  <c r="H256" i="3"/>
  <c r="N254" i="3"/>
  <c r="O254" i="3" s="1"/>
  <c r="P254" i="3" s="1"/>
  <c r="F255" i="3"/>
  <c r="G255" i="3" s="1"/>
  <c r="L255" i="3"/>
  <c r="C256" i="3"/>
  <c r="J255" i="3"/>
  <c r="K255" i="3" s="1"/>
  <c r="M255" i="3"/>
  <c r="Q253" i="3"/>
  <c r="E256" i="3"/>
  <c r="A257" i="3"/>
  <c r="D257" i="3" s="1"/>
  <c r="B256" i="3"/>
  <c r="I257" i="3" l="1"/>
  <c r="H257" i="3"/>
  <c r="N255" i="3"/>
  <c r="O255" i="3" s="1"/>
  <c r="P255" i="3" s="1"/>
  <c r="F256" i="3"/>
  <c r="G256" i="3" s="1"/>
  <c r="L256" i="3"/>
  <c r="C257" i="3"/>
  <c r="J256" i="3"/>
  <c r="K256" i="3" s="1"/>
  <c r="M256" i="3"/>
  <c r="Q254" i="3"/>
  <c r="E257" i="3"/>
  <c r="A258" i="3"/>
  <c r="D258" i="3" s="1"/>
  <c r="B257" i="3"/>
  <c r="H258" i="3" l="1"/>
  <c r="I258" i="3"/>
  <c r="F257" i="3"/>
  <c r="G257" i="3" s="1"/>
  <c r="L257" i="3"/>
  <c r="N256" i="3"/>
  <c r="O256" i="3" s="1"/>
  <c r="P256" i="3" s="1"/>
  <c r="C258" i="3"/>
  <c r="J257" i="3"/>
  <c r="K257" i="3" s="1"/>
  <c r="M257" i="3"/>
  <c r="Q255" i="3"/>
  <c r="E258" i="3"/>
  <c r="A259" i="3"/>
  <c r="D259" i="3" s="1"/>
  <c r="B258" i="3"/>
  <c r="H259" i="3" l="1"/>
  <c r="M259" i="3" s="1"/>
  <c r="I259" i="3"/>
  <c r="N257" i="3"/>
  <c r="O257" i="3" s="1"/>
  <c r="P257" i="3" s="1"/>
  <c r="F258" i="3"/>
  <c r="G258" i="3" s="1"/>
  <c r="L258" i="3"/>
  <c r="C259" i="3"/>
  <c r="J258" i="3"/>
  <c r="K258" i="3" s="1"/>
  <c r="M258" i="3"/>
  <c r="Q256" i="3"/>
  <c r="E259" i="3"/>
  <c r="A260" i="3"/>
  <c r="D260" i="3" s="1"/>
  <c r="B259" i="3"/>
  <c r="H260" i="3" l="1"/>
  <c r="I260" i="3"/>
  <c r="F259" i="3"/>
  <c r="G259" i="3" s="1"/>
  <c r="J259" i="3"/>
  <c r="K259" i="3" s="1"/>
  <c r="L259" i="3"/>
  <c r="N259" i="3" s="1"/>
  <c r="N258" i="3"/>
  <c r="O258" i="3" s="1"/>
  <c r="P258" i="3" s="1"/>
  <c r="C260" i="3"/>
  <c r="Q257" i="3"/>
  <c r="E260" i="3"/>
  <c r="A261" i="3"/>
  <c r="D261" i="3" s="1"/>
  <c r="B260" i="3"/>
  <c r="H261" i="3" l="1"/>
  <c r="I261" i="3"/>
  <c r="F260" i="3"/>
  <c r="G260" i="3" s="1"/>
  <c r="O259" i="3"/>
  <c r="P259" i="3" s="1"/>
  <c r="L260" i="3"/>
  <c r="J260" i="3"/>
  <c r="K260" i="3" s="1"/>
  <c r="M260" i="3"/>
  <c r="C261" i="3"/>
  <c r="Q258" i="3"/>
  <c r="E261" i="3"/>
  <c r="A262" i="3"/>
  <c r="D262" i="3" s="1"/>
  <c r="B261" i="3"/>
  <c r="H262" i="3" l="1"/>
  <c r="I262" i="3"/>
  <c r="N260" i="3"/>
  <c r="O260" i="3" s="1"/>
  <c r="P260" i="3" s="1"/>
  <c r="L261" i="3"/>
  <c r="F261" i="3"/>
  <c r="G261" i="3" s="1"/>
  <c r="C262" i="3"/>
  <c r="J261" i="3"/>
  <c r="K261" i="3" s="1"/>
  <c r="M261" i="3"/>
  <c r="Q259" i="3"/>
  <c r="E262" i="3"/>
  <c r="A263" i="3"/>
  <c r="D263" i="3" s="1"/>
  <c r="B262" i="3"/>
  <c r="H263" i="3" l="1"/>
  <c r="I263" i="3"/>
  <c r="F262" i="3"/>
  <c r="G262" i="3" s="1"/>
  <c r="N261" i="3"/>
  <c r="O261" i="3" s="1"/>
  <c r="P261" i="3" s="1"/>
  <c r="L262" i="3"/>
  <c r="C263" i="3"/>
  <c r="J262" i="3"/>
  <c r="K262" i="3" s="1"/>
  <c r="M262" i="3"/>
  <c r="Q260" i="3"/>
  <c r="E263" i="3"/>
  <c r="A264" i="3"/>
  <c r="D264" i="3" s="1"/>
  <c r="B263" i="3"/>
  <c r="H264" i="3" l="1"/>
  <c r="I264" i="3"/>
  <c r="F263" i="3"/>
  <c r="G263" i="3" s="1"/>
  <c r="N262" i="3"/>
  <c r="O262" i="3" s="1"/>
  <c r="P262" i="3" s="1"/>
  <c r="L263" i="3"/>
  <c r="C264" i="3"/>
  <c r="J263" i="3"/>
  <c r="K263" i="3" s="1"/>
  <c r="M263" i="3"/>
  <c r="Q261" i="3"/>
  <c r="E264" i="3"/>
  <c r="A265" i="3"/>
  <c r="D265" i="3" s="1"/>
  <c r="B264" i="3"/>
  <c r="H265" i="3" l="1"/>
  <c r="I265" i="3"/>
  <c r="F264" i="3"/>
  <c r="G264" i="3" s="1"/>
  <c r="N263" i="3"/>
  <c r="O263" i="3" s="1"/>
  <c r="P263" i="3" s="1"/>
  <c r="L264" i="3"/>
  <c r="C265" i="3"/>
  <c r="J264" i="3"/>
  <c r="K264" i="3" s="1"/>
  <c r="M264" i="3"/>
  <c r="Q262" i="3"/>
  <c r="E265" i="3"/>
  <c r="A266" i="3"/>
  <c r="D266" i="3" s="1"/>
  <c r="B265" i="3"/>
  <c r="H266" i="3" l="1"/>
  <c r="I266" i="3"/>
  <c r="F265" i="3"/>
  <c r="G265" i="3" s="1"/>
  <c r="L265" i="3"/>
  <c r="N264" i="3"/>
  <c r="O264" i="3" s="1"/>
  <c r="P264" i="3" s="1"/>
  <c r="C266" i="3"/>
  <c r="J265" i="3"/>
  <c r="K265" i="3" s="1"/>
  <c r="M265" i="3"/>
  <c r="Q263" i="3"/>
  <c r="E266" i="3"/>
  <c r="A267" i="3"/>
  <c r="D267" i="3" s="1"/>
  <c r="B266" i="3"/>
  <c r="H267" i="3" l="1"/>
  <c r="I267" i="3"/>
  <c r="N265" i="3"/>
  <c r="O265" i="3" s="1"/>
  <c r="P265" i="3" s="1"/>
  <c r="F266" i="3"/>
  <c r="G266" i="3" s="1"/>
  <c r="L266" i="3"/>
  <c r="C267" i="3"/>
  <c r="J266" i="3"/>
  <c r="K266" i="3" s="1"/>
  <c r="M266" i="3"/>
  <c r="Q264" i="3"/>
  <c r="E267" i="3"/>
  <c r="A268" i="3"/>
  <c r="D268" i="3" s="1"/>
  <c r="B267" i="3"/>
  <c r="H268" i="3" l="1"/>
  <c r="I268" i="3"/>
  <c r="F267" i="3"/>
  <c r="G267" i="3" s="1"/>
  <c r="L267" i="3"/>
  <c r="N266" i="3"/>
  <c r="O266" i="3" s="1"/>
  <c r="P266" i="3" s="1"/>
  <c r="C268" i="3"/>
  <c r="J267" i="3"/>
  <c r="K267" i="3" s="1"/>
  <c r="M267" i="3"/>
  <c r="Q265" i="3"/>
  <c r="E268" i="3"/>
  <c r="A269" i="3"/>
  <c r="D269" i="3" s="1"/>
  <c r="B268" i="3"/>
  <c r="H269" i="3" l="1"/>
  <c r="I269" i="3"/>
  <c r="N267" i="3"/>
  <c r="O267" i="3" s="1"/>
  <c r="P267" i="3" s="1"/>
  <c r="L268" i="3"/>
  <c r="F268" i="3"/>
  <c r="G268" i="3" s="1"/>
  <c r="C269" i="3"/>
  <c r="J268" i="3"/>
  <c r="K268" i="3" s="1"/>
  <c r="M268" i="3"/>
  <c r="Q266" i="3"/>
  <c r="E269" i="3"/>
  <c r="A270" i="3"/>
  <c r="D270" i="3" s="1"/>
  <c r="B269" i="3"/>
  <c r="H270" i="3" l="1"/>
  <c r="I270" i="3"/>
  <c r="F269" i="3"/>
  <c r="G269" i="3" s="1"/>
  <c r="N268" i="3"/>
  <c r="O268" i="3" s="1"/>
  <c r="P268" i="3" s="1"/>
  <c r="L269" i="3"/>
  <c r="C270" i="3"/>
  <c r="J269" i="3"/>
  <c r="K269" i="3" s="1"/>
  <c r="M269" i="3"/>
  <c r="Q267" i="3"/>
  <c r="E270" i="3"/>
  <c r="A271" i="3"/>
  <c r="D271" i="3" s="1"/>
  <c r="B270" i="3"/>
  <c r="H271" i="3" l="1"/>
  <c r="I271" i="3"/>
  <c r="F270" i="3"/>
  <c r="G270" i="3" s="1"/>
  <c r="N269" i="3"/>
  <c r="O269" i="3" s="1"/>
  <c r="P269" i="3" s="1"/>
  <c r="L270" i="3"/>
  <c r="C271" i="3"/>
  <c r="J270" i="3"/>
  <c r="K270" i="3" s="1"/>
  <c r="M270" i="3"/>
  <c r="Q268" i="3"/>
  <c r="E271" i="3"/>
  <c r="A272" i="3"/>
  <c r="D272" i="3" s="1"/>
  <c r="B271" i="3"/>
  <c r="H272" i="3" l="1"/>
  <c r="I272" i="3"/>
  <c r="F271" i="3"/>
  <c r="G271" i="3" s="1"/>
  <c r="N270" i="3"/>
  <c r="O270" i="3" s="1"/>
  <c r="P270" i="3" s="1"/>
  <c r="L271" i="3"/>
  <c r="C272" i="3"/>
  <c r="J271" i="3"/>
  <c r="K271" i="3" s="1"/>
  <c r="M271" i="3"/>
  <c r="Q269" i="3"/>
  <c r="E272" i="3"/>
  <c r="A273" i="3"/>
  <c r="D273" i="3" s="1"/>
  <c r="B272" i="3"/>
  <c r="H273" i="3" l="1"/>
  <c r="I273" i="3"/>
  <c r="F272" i="3"/>
  <c r="G272" i="3" s="1"/>
  <c r="L272" i="3"/>
  <c r="N271" i="3"/>
  <c r="O271" i="3" s="1"/>
  <c r="P271" i="3" s="1"/>
  <c r="C273" i="3"/>
  <c r="J272" i="3"/>
  <c r="K272" i="3" s="1"/>
  <c r="M272" i="3"/>
  <c r="Q270" i="3"/>
  <c r="E273" i="3"/>
  <c r="A274" i="3"/>
  <c r="D274" i="3" s="1"/>
  <c r="B273" i="3"/>
  <c r="H274" i="3" l="1"/>
  <c r="I274" i="3"/>
  <c r="N272" i="3"/>
  <c r="O272" i="3" s="1"/>
  <c r="P272" i="3" s="1"/>
  <c r="F273" i="3"/>
  <c r="G273" i="3" s="1"/>
  <c r="L273" i="3"/>
  <c r="C274" i="3"/>
  <c r="J273" i="3"/>
  <c r="K273" i="3" s="1"/>
  <c r="M273" i="3"/>
  <c r="Q271" i="3"/>
  <c r="E274" i="3"/>
  <c r="A275" i="3"/>
  <c r="D275" i="3" s="1"/>
  <c r="B274" i="3"/>
  <c r="H275" i="3" l="1"/>
  <c r="I275" i="3"/>
  <c r="F274" i="3"/>
  <c r="G274" i="3" s="1"/>
  <c r="N273" i="3"/>
  <c r="O273" i="3" s="1"/>
  <c r="P273" i="3" s="1"/>
  <c r="L274" i="3"/>
  <c r="C275" i="3"/>
  <c r="J274" i="3"/>
  <c r="K274" i="3" s="1"/>
  <c r="M274" i="3"/>
  <c r="Q272" i="3"/>
  <c r="E275" i="3"/>
  <c r="A276" i="3"/>
  <c r="D276" i="3" s="1"/>
  <c r="B275" i="3"/>
  <c r="H276" i="3" l="1"/>
  <c r="I276" i="3"/>
  <c r="F275" i="3"/>
  <c r="G275" i="3" s="1"/>
  <c r="N274" i="3"/>
  <c r="O274" i="3" s="1"/>
  <c r="P274" i="3" s="1"/>
  <c r="L275" i="3"/>
  <c r="C276" i="3"/>
  <c r="J275" i="3"/>
  <c r="K275" i="3" s="1"/>
  <c r="M275" i="3"/>
  <c r="Q273" i="3"/>
  <c r="E276" i="3"/>
  <c r="A277" i="3"/>
  <c r="D277" i="3" s="1"/>
  <c r="B276" i="3"/>
  <c r="H277" i="3" l="1"/>
  <c r="I277" i="3"/>
  <c r="N275" i="3"/>
  <c r="O275" i="3" s="1"/>
  <c r="P275" i="3" s="1"/>
  <c r="F276" i="3"/>
  <c r="G276" i="3" s="1"/>
  <c r="L276" i="3"/>
  <c r="C277" i="3"/>
  <c r="J276" i="3"/>
  <c r="K276" i="3" s="1"/>
  <c r="M276" i="3"/>
  <c r="Q274" i="3"/>
  <c r="E277" i="3"/>
  <c r="A278" i="3"/>
  <c r="D278" i="3" s="1"/>
  <c r="B277" i="3"/>
  <c r="H278" i="3" l="1"/>
  <c r="I278" i="3"/>
  <c r="N276" i="3"/>
  <c r="O276" i="3" s="1"/>
  <c r="P276" i="3" s="1"/>
  <c r="F277" i="3"/>
  <c r="G277" i="3" s="1"/>
  <c r="L277" i="3"/>
  <c r="C278" i="3"/>
  <c r="J277" i="3"/>
  <c r="K277" i="3" s="1"/>
  <c r="M277" i="3"/>
  <c r="Q275" i="3"/>
  <c r="E278" i="3"/>
  <c r="A279" i="3"/>
  <c r="D279" i="3" s="1"/>
  <c r="B278" i="3"/>
  <c r="H279" i="3" l="1"/>
  <c r="I279" i="3"/>
  <c r="F278" i="3"/>
  <c r="G278" i="3" s="1"/>
  <c r="N277" i="3"/>
  <c r="O277" i="3" s="1"/>
  <c r="P277" i="3" s="1"/>
  <c r="L278" i="3"/>
  <c r="J278" i="3"/>
  <c r="K278" i="3" s="1"/>
  <c r="M278" i="3"/>
  <c r="C279" i="3"/>
  <c r="Q276" i="3"/>
  <c r="E279" i="3"/>
  <c r="A280" i="3"/>
  <c r="D280" i="3" s="1"/>
  <c r="B279" i="3"/>
  <c r="H280" i="3" l="1"/>
  <c r="I280" i="3"/>
  <c r="L279" i="3"/>
  <c r="F279" i="3"/>
  <c r="G279" i="3" s="1"/>
  <c r="N278" i="3"/>
  <c r="O278" i="3" s="1"/>
  <c r="P278" i="3" s="1"/>
  <c r="C280" i="3"/>
  <c r="J279" i="3"/>
  <c r="K279" i="3" s="1"/>
  <c r="M279" i="3"/>
  <c r="Q277" i="3"/>
  <c r="E280" i="3"/>
  <c r="A281" i="3"/>
  <c r="D281" i="3" s="1"/>
  <c r="B280" i="3"/>
  <c r="H281" i="3" l="1"/>
  <c r="I281" i="3"/>
  <c r="F280" i="3"/>
  <c r="G280" i="3" s="1"/>
  <c r="N279" i="3"/>
  <c r="O279" i="3" s="1"/>
  <c r="P279" i="3" s="1"/>
  <c r="L280" i="3"/>
  <c r="C281" i="3"/>
  <c r="J280" i="3"/>
  <c r="K280" i="3" s="1"/>
  <c r="M280" i="3"/>
  <c r="Q278" i="3"/>
  <c r="E281" i="3"/>
  <c r="A282" i="3"/>
  <c r="D282" i="3" s="1"/>
  <c r="B281" i="3"/>
  <c r="H282" i="3" l="1"/>
  <c r="I282" i="3"/>
  <c r="F281" i="3"/>
  <c r="G281" i="3" s="1"/>
  <c r="L281" i="3"/>
  <c r="N280" i="3"/>
  <c r="O280" i="3" s="1"/>
  <c r="P280" i="3" s="1"/>
  <c r="C282" i="3"/>
  <c r="J281" i="3"/>
  <c r="K281" i="3" s="1"/>
  <c r="M281" i="3"/>
  <c r="Q279" i="3"/>
  <c r="E282" i="3"/>
  <c r="A283" i="3"/>
  <c r="D283" i="3" s="1"/>
  <c r="B282" i="3"/>
  <c r="H283" i="3" l="1"/>
  <c r="I283" i="3"/>
  <c r="N281" i="3"/>
  <c r="O281" i="3" s="1"/>
  <c r="P281" i="3" s="1"/>
  <c r="F282" i="3"/>
  <c r="G282" i="3" s="1"/>
  <c r="L282" i="3"/>
  <c r="C283" i="3"/>
  <c r="J282" i="3"/>
  <c r="K282" i="3" s="1"/>
  <c r="M282" i="3"/>
  <c r="Q280" i="3"/>
  <c r="E283" i="3"/>
  <c r="A284" i="3"/>
  <c r="D284" i="3" s="1"/>
  <c r="B283" i="3"/>
  <c r="H284" i="3" l="1"/>
  <c r="I284" i="3"/>
  <c r="F283" i="3"/>
  <c r="G283" i="3" s="1"/>
  <c r="L283" i="3"/>
  <c r="N282" i="3"/>
  <c r="O282" i="3" s="1"/>
  <c r="P282" i="3" s="1"/>
  <c r="C284" i="3"/>
  <c r="J283" i="3"/>
  <c r="K283" i="3" s="1"/>
  <c r="M283" i="3"/>
  <c r="Q281" i="3"/>
  <c r="E284" i="3"/>
  <c r="A285" i="3"/>
  <c r="D285" i="3" s="1"/>
  <c r="B284" i="3"/>
  <c r="H285" i="3" l="1"/>
  <c r="I285" i="3"/>
  <c r="N283" i="3"/>
  <c r="O283" i="3" s="1"/>
  <c r="P283" i="3" s="1"/>
  <c r="F284" i="3"/>
  <c r="G284" i="3" s="1"/>
  <c r="L284" i="3"/>
  <c r="C285" i="3"/>
  <c r="J284" i="3"/>
  <c r="K284" i="3" s="1"/>
  <c r="M284" i="3"/>
  <c r="Q282" i="3"/>
  <c r="E285" i="3"/>
  <c r="A286" i="3"/>
  <c r="D286" i="3" s="1"/>
  <c r="B285" i="3"/>
  <c r="H286" i="3" l="1"/>
  <c r="I286" i="3"/>
  <c r="N284" i="3"/>
  <c r="O284" i="3" s="1"/>
  <c r="P284" i="3" s="1"/>
  <c r="F285" i="3"/>
  <c r="G285" i="3" s="1"/>
  <c r="L285" i="3"/>
  <c r="C286" i="3"/>
  <c r="J285" i="3"/>
  <c r="K285" i="3" s="1"/>
  <c r="M285" i="3"/>
  <c r="Q283" i="3"/>
  <c r="E286" i="3"/>
  <c r="A287" i="3"/>
  <c r="D287" i="3" s="1"/>
  <c r="B286" i="3"/>
  <c r="H287" i="3" l="1"/>
  <c r="I287" i="3"/>
  <c r="F286" i="3"/>
  <c r="G286" i="3" s="1"/>
  <c r="L286" i="3"/>
  <c r="N285" i="3"/>
  <c r="O285" i="3" s="1"/>
  <c r="P285" i="3" s="1"/>
  <c r="C287" i="3"/>
  <c r="J286" i="3"/>
  <c r="K286" i="3" s="1"/>
  <c r="M286" i="3"/>
  <c r="Q284" i="3"/>
  <c r="E287" i="3"/>
  <c r="A288" i="3"/>
  <c r="D288" i="3" s="1"/>
  <c r="B287" i="3"/>
  <c r="H288" i="3" l="1"/>
  <c r="I288" i="3"/>
  <c r="F287" i="3"/>
  <c r="G287" i="3" s="1"/>
  <c r="N286" i="3"/>
  <c r="O286" i="3" s="1"/>
  <c r="P286" i="3" s="1"/>
  <c r="L287" i="3"/>
  <c r="C288" i="3"/>
  <c r="J287" i="3"/>
  <c r="K287" i="3" s="1"/>
  <c r="M287" i="3"/>
  <c r="Q285" i="3"/>
  <c r="E288" i="3"/>
  <c r="A289" i="3"/>
  <c r="D289" i="3" s="1"/>
  <c r="B288" i="3"/>
  <c r="H289" i="3" l="1"/>
  <c r="I289" i="3"/>
  <c r="F288" i="3"/>
  <c r="G288" i="3" s="1"/>
  <c r="N287" i="3"/>
  <c r="O287" i="3" s="1"/>
  <c r="P287" i="3" s="1"/>
  <c r="L288" i="3"/>
  <c r="C289" i="3"/>
  <c r="J288" i="3"/>
  <c r="K288" i="3" s="1"/>
  <c r="M288" i="3"/>
  <c r="Q286" i="3"/>
  <c r="E289" i="3"/>
  <c r="A290" i="3"/>
  <c r="D290" i="3" s="1"/>
  <c r="B289" i="3"/>
  <c r="H290" i="3" l="1"/>
  <c r="I290" i="3"/>
  <c r="F289" i="3"/>
  <c r="G289" i="3" s="1"/>
  <c r="N288" i="3"/>
  <c r="O288" i="3" s="1"/>
  <c r="P288" i="3" s="1"/>
  <c r="L289" i="3"/>
  <c r="C290" i="3"/>
  <c r="J289" i="3"/>
  <c r="K289" i="3" s="1"/>
  <c r="M289" i="3"/>
  <c r="Q287" i="3"/>
  <c r="E290" i="3"/>
  <c r="A291" i="3"/>
  <c r="D291" i="3" s="1"/>
  <c r="B290" i="3"/>
  <c r="H291" i="3" l="1"/>
  <c r="I291" i="3"/>
  <c r="F290" i="3"/>
  <c r="G290" i="3" s="1"/>
  <c r="L290" i="3"/>
  <c r="N289" i="3"/>
  <c r="O289" i="3" s="1"/>
  <c r="P289" i="3" s="1"/>
  <c r="C291" i="3"/>
  <c r="J290" i="3"/>
  <c r="K290" i="3" s="1"/>
  <c r="M290" i="3"/>
  <c r="Q288" i="3"/>
  <c r="E291" i="3"/>
  <c r="A292" i="3"/>
  <c r="D292" i="3" s="1"/>
  <c r="B291" i="3"/>
  <c r="H292" i="3" l="1"/>
  <c r="I292" i="3"/>
  <c r="N290" i="3"/>
  <c r="O290" i="3" s="1"/>
  <c r="P290" i="3" s="1"/>
  <c r="F291" i="3"/>
  <c r="G291" i="3" s="1"/>
  <c r="L291" i="3"/>
  <c r="C292" i="3"/>
  <c r="J291" i="3"/>
  <c r="K291" i="3" s="1"/>
  <c r="M291" i="3"/>
  <c r="Q289" i="3"/>
  <c r="E292" i="3"/>
  <c r="A293" i="3"/>
  <c r="D293" i="3" s="1"/>
  <c r="B292" i="3"/>
  <c r="H293" i="3" l="1"/>
  <c r="I293" i="3"/>
  <c r="F292" i="3"/>
  <c r="G292" i="3" s="1"/>
  <c r="N291" i="3"/>
  <c r="O291" i="3" s="1"/>
  <c r="P291" i="3" s="1"/>
  <c r="L292" i="3"/>
  <c r="C293" i="3"/>
  <c r="J292" i="3"/>
  <c r="K292" i="3" s="1"/>
  <c r="M292" i="3"/>
  <c r="Q290" i="3"/>
  <c r="E293" i="3"/>
  <c r="A294" i="3"/>
  <c r="D294" i="3" s="1"/>
  <c r="B293" i="3"/>
  <c r="H294" i="3" l="1"/>
  <c r="I294" i="3"/>
  <c r="F293" i="3"/>
  <c r="G293" i="3" s="1"/>
  <c r="N292" i="3"/>
  <c r="O292" i="3" s="1"/>
  <c r="P292" i="3" s="1"/>
  <c r="L293" i="3"/>
  <c r="C294" i="3"/>
  <c r="J293" i="3"/>
  <c r="K293" i="3" s="1"/>
  <c r="M293" i="3"/>
  <c r="Q291" i="3"/>
  <c r="E294" i="3"/>
  <c r="A295" i="3"/>
  <c r="D295" i="3" s="1"/>
  <c r="B294" i="3"/>
  <c r="H295" i="3" l="1"/>
  <c r="I295" i="3"/>
  <c r="F294" i="3"/>
  <c r="G294" i="3" s="1"/>
  <c r="N293" i="3"/>
  <c r="O293" i="3" s="1"/>
  <c r="P293" i="3" s="1"/>
  <c r="L294" i="3"/>
  <c r="C295" i="3"/>
  <c r="J294" i="3"/>
  <c r="K294" i="3" s="1"/>
  <c r="M294" i="3"/>
  <c r="Q292" i="3"/>
  <c r="E295" i="3"/>
  <c r="A296" i="3"/>
  <c r="D296" i="3" s="1"/>
  <c r="B295" i="3"/>
  <c r="H296" i="3" l="1"/>
  <c r="I296" i="3"/>
  <c r="F295" i="3"/>
  <c r="G295" i="3" s="1"/>
  <c r="L295" i="3"/>
  <c r="N294" i="3"/>
  <c r="O294" i="3" s="1"/>
  <c r="P294" i="3" s="1"/>
  <c r="C296" i="3"/>
  <c r="J295" i="3"/>
  <c r="K295" i="3" s="1"/>
  <c r="M295" i="3"/>
  <c r="Q293" i="3"/>
  <c r="E296" i="3"/>
  <c r="A297" i="3"/>
  <c r="D297" i="3" s="1"/>
  <c r="B296" i="3"/>
  <c r="H297" i="3" l="1"/>
  <c r="I297" i="3"/>
  <c r="F296" i="3"/>
  <c r="G296" i="3" s="1"/>
  <c r="N295" i="3"/>
  <c r="O295" i="3" s="1"/>
  <c r="P295" i="3" s="1"/>
  <c r="L296" i="3"/>
  <c r="C297" i="3"/>
  <c r="J296" i="3"/>
  <c r="K296" i="3" s="1"/>
  <c r="M296" i="3"/>
  <c r="Q294" i="3"/>
  <c r="E297" i="3"/>
  <c r="A298" i="3"/>
  <c r="D298" i="3" s="1"/>
  <c r="B297" i="3"/>
  <c r="H298" i="3" l="1"/>
  <c r="I298" i="3"/>
  <c r="F297" i="3"/>
  <c r="G297" i="3" s="1"/>
  <c r="N296" i="3"/>
  <c r="O296" i="3" s="1"/>
  <c r="P296" i="3" s="1"/>
  <c r="L297" i="3"/>
  <c r="C298" i="3"/>
  <c r="J297" i="3"/>
  <c r="K297" i="3" s="1"/>
  <c r="M297" i="3"/>
  <c r="Q295" i="3"/>
  <c r="E298" i="3"/>
  <c r="A299" i="3"/>
  <c r="D299" i="3" s="1"/>
  <c r="B298" i="3"/>
  <c r="H299" i="3" l="1"/>
  <c r="I299" i="3"/>
  <c r="F298" i="3"/>
  <c r="G298" i="3" s="1"/>
  <c r="N297" i="3"/>
  <c r="O297" i="3" s="1"/>
  <c r="P297" i="3" s="1"/>
  <c r="L298" i="3"/>
  <c r="C299" i="3"/>
  <c r="J298" i="3"/>
  <c r="K298" i="3" s="1"/>
  <c r="M298" i="3"/>
  <c r="Q296" i="3"/>
  <c r="E299" i="3"/>
  <c r="A300" i="3"/>
  <c r="D300" i="3" s="1"/>
  <c r="B299" i="3"/>
  <c r="H300" i="3" l="1"/>
  <c r="I300" i="3"/>
  <c r="F299" i="3"/>
  <c r="G299" i="3" s="1"/>
  <c r="N298" i="3"/>
  <c r="O298" i="3" s="1"/>
  <c r="P298" i="3" s="1"/>
  <c r="L299" i="3"/>
  <c r="C300" i="3"/>
  <c r="J299" i="3"/>
  <c r="K299" i="3" s="1"/>
  <c r="M299" i="3"/>
  <c r="Q297" i="3"/>
  <c r="E300" i="3"/>
  <c r="A301" i="3"/>
  <c r="D301" i="3" s="1"/>
  <c r="B300" i="3"/>
  <c r="H301" i="3" l="1"/>
  <c r="I301" i="3"/>
  <c r="F300" i="3"/>
  <c r="G300" i="3" s="1"/>
  <c r="L300" i="3"/>
  <c r="N299" i="3"/>
  <c r="O299" i="3" s="1"/>
  <c r="P299" i="3" s="1"/>
  <c r="C301" i="3"/>
  <c r="J300" i="3"/>
  <c r="K300" i="3" s="1"/>
  <c r="M300" i="3"/>
  <c r="Q298" i="3"/>
  <c r="E301" i="3"/>
  <c r="A302" i="3"/>
  <c r="D302" i="3" s="1"/>
  <c r="B301" i="3"/>
  <c r="H302" i="3" l="1"/>
  <c r="I302" i="3"/>
  <c r="F301" i="3"/>
  <c r="G301" i="3" s="1"/>
  <c r="N300" i="3"/>
  <c r="O300" i="3" s="1"/>
  <c r="P300" i="3" s="1"/>
  <c r="L301" i="3"/>
  <c r="C302" i="3"/>
  <c r="J301" i="3"/>
  <c r="K301" i="3" s="1"/>
  <c r="M301" i="3"/>
  <c r="Q299" i="3"/>
  <c r="E302" i="3"/>
  <c r="A303" i="3"/>
  <c r="D303" i="3" s="1"/>
  <c r="B302" i="3"/>
  <c r="H303" i="3" l="1"/>
  <c r="I303" i="3"/>
  <c r="N301" i="3"/>
  <c r="O301" i="3" s="1"/>
  <c r="P301" i="3" s="1"/>
  <c r="F302" i="3"/>
  <c r="G302" i="3" s="1"/>
  <c r="L302" i="3"/>
  <c r="J302" i="3"/>
  <c r="K302" i="3" s="1"/>
  <c r="M302" i="3"/>
  <c r="C303" i="3"/>
  <c r="Q300" i="3"/>
  <c r="E303" i="3"/>
  <c r="A304" i="3"/>
  <c r="D304" i="3" s="1"/>
  <c r="B303" i="3"/>
  <c r="I304" i="3" l="1"/>
  <c r="H304" i="3"/>
  <c r="F303" i="3"/>
  <c r="G303" i="3" s="1"/>
  <c r="N302" i="3"/>
  <c r="O302" i="3" s="1"/>
  <c r="P302" i="3" s="1"/>
  <c r="L303" i="3"/>
  <c r="C304" i="3"/>
  <c r="J303" i="3"/>
  <c r="K303" i="3" s="1"/>
  <c r="M303" i="3"/>
  <c r="Q301" i="3"/>
  <c r="E304" i="3"/>
  <c r="A305" i="3"/>
  <c r="D305" i="3" s="1"/>
  <c r="B304" i="3"/>
  <c r="H305" i="3" l="1"/>
  <c r="I305" i="3"/>
  <c r="N303" i="3"/>
  <c r="O303" i="3" s="1"/>
  <c r="P303" i="3" s="1"/>
  <c r="L304" i="3"/>
  <c r="F304" i="3"/>
  <c r="G304" i="3" s="1"/>
  <c r="C305" i="3"/>
  <c r="J304" i="3"/>
  <c r="K304" i="3" s="1"/>
  <c r="M304" i="3"/>
  <c r="Q302" i="3"/>
  <c r="E305" i="3"/>
  <c r="A306" i="3"/>
  <c r="D306" i="3" s="1"/>
  <c r="B305" i="3"/>
  <c r="H306" i="3" l="1"/>
  <c r="I306" i="3"/>
  <c r="F305" i="3"/>
  <c r="G305" i="3" s="1"/>
  <c r="N304" i="3"/>
  <c r="O304" i="3" s="1"/>
  <c r="P304" i="3" s="1"/>
  <c r="L305" i="3"/>
  <c r="C306" i="3"/>
  <c r="J305" i="3"/>
  <c r="K305" i="3" s="1"/>
  <c r="M305" i="3"/>
  <c r="Q303" i="3"/>
  <c r="E306" i="3"/>
  <c r="A307" i="3"/>
  <c r="D307" i="3" s="1"/>
  <c r="B306" i="3"/>
  <c r="H307" i="3" l="1"/>
  <c r="I307" i="3"/>
  <c r="F306" i="3"/>
  <c r="G306" i="3" s="1"/>
  <c r="L306" i="3"/>
  <c r="N305" i="3"/>
  <c r="O305" i="3" s="1"/>
  <c r="P305" i="3" s="1"/>
  <c r="C307" i="3"/>
  <c r="J306" i="3"/>
  <c r="K306" i="3" s="1"/>
  <c r="M306" i="3"/>
  <c r="Q304" i="3"/>
  <c r="E307" i="3"/>
  <c r="A308" i="3"/>
  <c r="D308" i="3" s="1"/>
  <c r="B307" i="3"/>
  <c r="H308" i="3" l="1"/>
  <c r="I308" i="3"/>
  <c r="F307" i="3"/>
  <c r="G307" i="3" s="1"/>
  <c r="N306" i="3"/>
  <c r="O306" i="3" s="1"/>
  <c r="P306" i="3" s="1"/>
  <c r="L307" i="3"/>
  <c r="C308" i="3"/>
  <c r="J307" i="3"/>
  <c r="K307" i="3" s="1"/>
  <c r="M307" i="3"/>
  <c r="Q305" i="3"/>
  <c r="E308" i="3"/>
  <c r="A309" i="3"/>
  <c r="D309" i="3" s="1"/>
  <c r="B308" i="3"/>
  <c r="H309" i="3" l="1"/>
  <c r="I309" i="3"/>
  <c r="F308" i="3"/>
  <c r="G308" i="3" s="1"/>
  <c r="N307" i="3"/>
  <c r="O307" i="3" s="1"/>
  <c r="P307" i="3" s="1"/>
  <c r="L308" i="3"/>
  <c r="C309" i="3"/>
  <c r="J308" i="3"/>
  <c r="K308" i="3" s="1"/>
  <c r="M308" i="3"/>
  <c r="Q306" i="3"/>
  <c r="E309" i="3"/>
  <c r="A310" i="3"/>
  <c r="D310" i="3" s="1"/>
  <c r="B309" i="3"/>
  <c r="H310" i="3" l="1"/>
  <c r="I310" i="3"/>
  <c r="F309" i="3"/>
  <c r="G309" i="3" s="1"/>
  <c r="N308" i="3"/>
  <c r="O308" i="3" s="1"/>
  <c r="P308" i="3" s="1"/>
  <c r="L309" i="3"/>
  <c r="C310" i="3"/>
  <c r="J309" i="3"/>
  <c r="K309" i="3" s="1"/>
  <c r="M309" i="3"/>
  <c r="Q307" i="3"/>
  <c r="E310" i="3"/>
  <c r="A311" i="3"/>
  <c r="D311" i="3" s="1"/>
  <c r="B310" i="3"/>
  <c r="H311" i="3" l="1"/>
  <c r="I311" i="3"/>
  <c r="N309" i="3"/>
  <c r="O309" i="3" s="1"/>
  <c r="P309" i="3" s="1"/>
  <c r="F310" i="3"/>
  <c r="G310" i="3" s="1"/>
  <c r="L310" i="3"/>
  <c r="C311" i="3"/>
  <c r="J310" i="3"/>
  <c r="K310" i="3" s="1"/>
  <c r="M310" i="3"/>
  <c r="Q308" i="3"/>
  <c r="E311" i="3"/>
  <c r="A312" i="3"/>
  <c r="D312" i="3" s="1"/>
  <c r="B311" i="3"/>
  <c r="H312" i="3" l="1"/>
  <c r="I312" i="3"/>
  <c r="F311" i="3"/>
  <c r="G311" i="3" s="1"/>
  <c r="N310" i="3"/>
  <c r="O310" i="3" s="1"/>
  <c r="P310" i="3" s="1"/>
  <c r="L311" i="3"/>
  <c r="C312" i="3"/>
  <c r="J311" i="3"/>
  <c r="K311" i="3" s="1"/>
  <c r="M311" i="3"/>
  <c r="Q309" i="3"/>
  <c r="E312" i="3"/>
  <c r="A313" i="3"/>
  <c r="D313" i="3" s="1"/>
  <c r="B312" i="3"/>
  <c r="H313" i="3" l="1"/>
  <c r="I313" i="3"/>
  <c r="N311" i="3"/>
  <c r="O311" i="3" s="1"/>
  <c r="P311" i="3" s="1"/>
  <c r="F312" i="3"/>
  <c r="G312" i="3" s="1"/>
  <c r="L312" i="3"/>
  <c r="C313" i="3"/>
  <c r="J312" i="3"/>
  <c r="K312" i="3" s="1"/>
  <c r="M312" i="3"/>
  <c r="Q310" i="3"/>
  <c r="E313" i="3"/>
  <c r="A314" i="3"/>
  <c r="D314" i="3" s="1"/>
  <c r="B313" i="3"/>
  <c r="H314" i="3" l="1"/>
  <c r="I314" i="3"/>
  <c r="N312" i="3"/>
  <c r="O312" i="3" s="1"/>
  <c r="P312" i="3" s="1"/>
  <c r="F313" i="3"/>
  <c r="G313" i="3" s="1"/>
  <c r="L313" i="3"/>
  <c r="C314" i="3"/>
  <c r="J313" i="3"/>
  <c r="K313" i="3" s="1"/>
  <c r="M313" i="3"/>
  <c r="Q311" i="3"/>
  <c r="E314" i="3"/>
  <c r="A315" i="3"/>
  <c r="D315" i="3" s="1"/>
  <c r="B314" i="3"/>
  <c r="H315" i="3" l="1"/>
  <c r="I315" i="3"/>
  <c r="F314" i="3"/>
  <c r="G314" i="3" s="1"/>
  <c r="N313" i="3"/>
  <c r="O313" i="3" s="1"/>
  <c r="P313" i="3" s="1"/>
  <c r="L314" i="3"/>
  <c r="C315" i="3"/>
  <c r="J314" i="3"/>
  <c r="K314" i="3" s="1"/>
  <c r="M314" i="3"/>
  <c r="Q312" i="3"/>
  <c r="E315" i="3"/>
  <c r="A316" i="3"/>
  <c r="D316" i="3" s="1"/>
  <c r="B315" i="3"/>
  <c r="H316" i="3" l="1"/>
  <c r="I316" i="3"/>
  <c r="F315" i="3"/>
  <c r="G315" i="3" s="1"/>
  <c r="N314" i="3"/>
  <c r="O314" i="3" s="1"/>
  <c r="P314" i="3" s="1"/>
  <c r="L315" i="3"/>
  <c r="C316" i="3"/>
  <c r="J315" i="3"/>
  <c r="K315" i="3" s="1"/>
  <c r="M315" i="3"/>
  <c r="Q313" i="3"/>
  <c r="E316" i="3"/>
  <c r="A317" i="3"/>
  <c r="D317" i="3" s="1"/>
  <c r="B316" i="3"/>
  <c r="H317" i="3" l="1"/>
  <c r="I317" i="3"/>
  <c r="F316" i="3"/>
  <c r="G316" i="3" s="1"/>
  <c r="N315" i="3"/>
  <c r="O315" i="3" s="1"/>
  <c r="P315" i="3" s="1"/>
  <c r="L316" i="3"/>
  <c r="C317" i="3"/>
  <c r="J316" i="3"/>
  <c r="K316" i="3" s="1"/>
  <c r="M316" i="3"/>
  <c r="Q314" i="3"/>
  <c r="E317" i="3"/>
  <c r="A318" i="3"/>
  <c r="D318" i="3" s="1"/>
  <c r="B317" i="3"/>
  <c r="H318" i="3" l="1"/>
  <c r="I318" i="3"/>
  <c r="F317" i="3"/>
  <c r="G317" i="3" s="1"/>
  <c r="N316" i="3"/>
  <c r="O316" i="3" s="1"/>
  <c r="P316" i="3" s="1"/>
  <c r="L317" i="3"/>
  <c r="C318" i="3"/>
  <c r="J317" i="3"/>
  <c r="K317" i="3" s="1"/>
  <c r="M317" i="3"/>
  <c r="Q315" i="3"/>
  <c r="E318" i="3"/>
  <c r="A319" i="3"/>
  <c r="D319" i="3" s="1"/>
  <c r="B318" i="3"/>
  <c r="H319" i="3" l="1"/>
  <c r="I319" i="3"/>
  <c r="L318" i="3"/>
  <c r="N317" i="3"/>
  <c r="O317" i="3" s="1"/>
  <c r="P317" i="3" s="1"/>
  <c r="F318" i="3"/>
  <c r="G318" i="3" s="1"/>
  <c r="C319" i="3"/>
  <c r="J318" i="3"/>
  <c r="K318" i="3" s="1"/>
  <c r="M318" i="3"/>
  <c r="Q316" i="3"/>
  <c r="E319" i="3"/>
  <c r="A320" i="3"/>
  <c r="D320" i="3" s="1"/>
  <c r="B319" i="3"/>
  <c r="I320" i="3" l="1"/>
  <c r="H320" i="3"/>
  <c r="N318" i="3"/>
  <c r="O318" i="3" s="1"/>
  <c r="P318" i="3" s="1"/>
  <c r="F319" i="3"/>
  <c r="G319" i="3" s="1"/>
  <c r="L319" i="3"/>
  <c r="C320" i="3"/>
  <c r="J319" i="3"/>
  <c r="K319" i="3" s="1"/>
  <c r="M319" i="3"/>
  <c r="Q317" i="3"/>
  <c r="E320" i="3"/>
  <c r="A321" i="3"/>
  <c r="D321" i="3" s="1"/>
  <c r="B320" i="3"/>
  <c r="H321" i="3" l="1"/>
  <c r="I321" i="3"/>
  <c r="F320" i="3"/>
  <c r="G320" i="3" s="1"/>
  <c r="N319" i="3"/>
  <c r="O319" i="3" s="1"/>
  <c r="P319" i="3" s="1"/>
  <c r="L320" i="3"/>
  <c r="C321" i="3"/>
  <c r="J320" i="3"/>
  <c r="K320" i="3" s="1"/>
  <c r="M320" i="3"/>
  <c r="Q318" i="3"/>
  <c r="E321" i="3"/>
  <c r="A322" i="3"/>
  <c r="D322" i="3" s="1"/>
  <c r="B321" i="3"/>
  <c r="H322" i="3" l="1"/>
  <c r="I322" i="3"/>
  <c r="F321" i="3"/>
  <c r="G321" i="3" s="1"/>
  <c r="N320" i="3"/>
  <c r="O320" i="3" s="1"/>
  <c r="P320" i="3" s="1"/>
  <c r="L321" i="3"/>
  <c r="C322" i="3"/>
  <c r="J321" i="3"/>
  <c r="K321" i="3" s="1"/>
  <c r="M321" i="3"/>
  <c r="Q319" i="3"/>
  <c r="E322" i="3"/>
  <c r="A323" i="3"/>
  <c r="D323" i="3" s="1"/>
  <c r="B322" i="3"/>
  <c r="H323" i="3" l="1"/>
  <c r="I323" i="3"/>
  <c r="F322" i="3"/>
  <c r="G322" i="3" s="1"/>
  <c r="N321" i="3"/>
  <c r="O321" i="3" s="1"/>
  <c r="P321" i="3" s="1"/>
  <c r="L322" i="3"/>
  <c r="C323" i="3"/>
  <c r="J322" i="3"/>
  <c r="K322" i="3" s="1"/>
  <c r="M322" i="3"/>
  <c r="Q320" i="3"/>
  <c r="E323" i="3"/>
  <c r="A324" i="3"/>
  <c r="D324" i="3" s="1"/>
  <c r="B323" i="3"/>
  <c r="H324" i="3" l="1"/>
  <c r="I324" i="3"/>
  <c r="F323" i="3"/>
  <c r="G323" i="3" s="1"/>
  <c r="L323" i="3"/>
  <c r="N322" i="3"/>
  <c r="O322" i="3" s="1"/>
  <c r="P322" i="3" s="1"/>
  <c r="C324" i="3"/>
  <c r="J323" i="3"/>
  <c r="K323" i="3" s="1"/>
  <c r="M323" i="3"/>
  <c r="Q321" i="3"/>
  <c r="E324" i="3"/>
  <c r="A325" i="3"/>
  <c r="D325" i="3" s="1"/>
  <c r="B324" i="3"/>
  <c r="H325" i="3" l="1"/>
  <c r="I325" i="3"/>
  <c r="N323" i="3"/>
  <c r="O323" i="3" s="1"/>
  <c r="P323" i="3" s="1"/>
  <c r="F324" i="3"/>
  <c r="G324" i="3" s="1"/>
  <c r="L324" i="3"/>
  <c r="C325" i="3"/>
  <c r="J324" i="3"/>
  <c r="K324" i="3" s="1"/>
  <c r="M324" i="3"/>
  <c r="Q322" i="3"/>
  <c r="E325" i="3"/>
  <c r="A326" i="3"/>
  <c r="D326" i="3" s="1"/>
  <c r="B325" i="3"/>
  <c r="H326" i="3" l="1"/>
  <c r="I326" i="3"/>
  <c r="F325" i="3"/>
  <c r="G325" i="3" s="1"/>
  <c r="N324" i="3"/>
  <c r="O324" i="3" s="1"/>
  <c r="P324" i="3" s="1"/>
  <c r="L325" i="3"/>
  <c r="C326" i="3"/>
  <c r="J325" i="3"/>
  <c r="K325" i="3" s="1"/>
  <c r="M325" i="3"/>
  <c r="Q323" i="3"/>
  <c r="E326" i="3"/>
  <c r="A327" i="3"/>
  <c r="D327" i="3" s="1"/>
  <c r="B326" i="3"/>
  <c r="H327" i="3" l="1"/>
  <c r="I327" i="3"/>
  <c r="N325" i="3"/>
  <c r="O325" i="3" s="1"/>
  <c r="P325" i="3" s="1"/>
  <c r="L326" i="3"/>
  <c r="F326" i="3"/>
  <c r="G326" i="3" s="1"/>
  <c r="C327" i="3"/>
  <c r="J326" i="3"/>
  <c r="K326" i="3" s="1"/>
  <c r="M326" i="3"/>
  <c r="Q324" i="3"/>
  <c r="E327" i="3"/>
  <c r="A328" i="3"/>
  <c r="D328" i="3" s="1"/>
  <c r="B327" i="3"/>
  <c r="H328" i="3" l="1"/>
  <c r="I328" i="3"/>
  <c r="N326" i="3"/>
  <c r="O326" i="3" s="1"/>
  <c r="P326" i="3" s="1"/>
  <c r="F327" i="3"/>
  <c r="G327" i="3" s="1"/>
  <c r="L327" i="3"/>
  <c r="C328" i="3"/>
  <c r="J327" i="3"/>
  <c r="K327" i="3" s="1"/>
  <c r="M327" i="3"/>
  <c r="Q325" i="3"/>
  <c r="E328" i="3"/>
  <c r="A329" i="3"/>
  <c r="D329" i="3" s="1"/>
  <c r="B328" i="3"/>
  <c r="H329" i="3" l="1"/>
  <c r="I329" i="3"/>
  <c r="N327" i="3"/>
  <c r="O327" i="3" s="1"/>
  <c r="P327" i="3" s="1"/>
  <c r="F328" i="3"/>
  <c r="G328" i="3" s="1"/>
  <c r="L328" i="3"/>
  <c r="C329" i="3"/>
  <c r="J328" i="3"/>
  <c r="K328" i="3" s="1"/>
  <c r="M328" i="3"/>
  <c r="Q326" i="3"/>
  <c r="E329" i="3"/>
  <c r="A330" i="3"/>
  <c r="D330" i="3" s="1"/>
  <c r="B329" i="3"/>
  <c r="H330" i="3" l="1"/>
  <c r="I330" i="3"/>
  <c r="N328" i="3"/>
  <c r="O328" i="3" s="1"/>
  <c r="P328" i="3" s="1"/>
  <c r="F329" i="3"/>
  <c r="G329" i="3" s="1"/>
  <c r="L329" i="3"/>
  <c r="C330" i="3"/>
  <c r="J329" i="3"/>
  <c r="K329" i="3" s="1"/>
  <c r="M329" i="3"/>
  <c r="Q327" i="3"/>
  <c r="E330" i="3"/>
  <c r="A331" i="3"/>
  <c r="D331" i="3" s="1"/>
  <c r="B330" i="3"/>
  <c r="H331" i="3" l="1"/>
  <c r="I331" i="3"/>
  <c r="N329" i="3"/>
  <c r="O329" i="3" s="1"/>
  <c r="P329" i="3" s="1"/>
  <c r="F330" i="3"/>
  <c r="G330" i="3" s="1"/>
  <c r="L330" i="3"/>
  <c r="C331" i="3"/>
  <c r="J330" i="3"/>
  <c r="K330" i="3" s="1"/>
  <c r="M330" i="3"/>
  <c r="Q328" i="3"/>
  <c r="E331" i="3"/>
  <c r="A332" i="3"/>
  <c r="D332" i="3" s="1"/>
  <c r="B331" i="3"/>
  <c r="H332" i="3" l="1"/>
  <c r="I332" i="3"/>
  <c r="F331" i="3"/>
  <c r="G331" i="3" s="1"/>
  <c r="N330" i="3"/>
  <c r="O330" i="3" s="1"/>
  <c r="P330" i="3" s="1"/>
  <c r="L331" i="3"/>
  <c r="C332" i="3"/>
  <c r="J331" i="3"/>
  <c r="K331" i="3" s="1"/>
  <c r="M331" i="3"/>
  <c r="Q329" i="3"/>
  <c r="E332" i="3"/>
  <c r="A333" i="3"/>
  <c r="D333" i="3" s="1"/>
  <c r="B332" i="3"/>
  <c r="H333" i="3" l="1"/>
  <c r="I333" i="3"/>
  <c r="F332" i="3"/>
  <c r="G332" i="3" s="1"/>
  <c r="L332" i="3"/>
  <c r="N331" i="3"/>
  <c r="O331" i="3" s="1"/>
  <c r="P331" i="3" s="1"/>
  <c r="C333" i="3"/>
  <c r="J332" i="3"/>
  <c r="K332" i="3" s="1"/>
  <c r="M332" i="3"/>
  <c r="Q330" i="3"/>
  <c r="E333" i="3"/>
  <c r="A334" i="3"/>
  <c r="D334" i="3" s="1"/>
  <c r="B333" i="3"/>
  <c r="H334" i="3" l="1"/>
  <c r="I334" i="3"/>
  <c r="F333" i="3"/>
  <c r="G333" i="3" s="1"/>
  <c r="N332" i="3"/>
  <c r="O332" i="3" s="1"/>
  <c r="P332" i="3" s="1"/>
  <c r="L333" i="3"/>
  <c r="C334" i="3"/>
  <c r="J333" i="3"/>
  <c r="K333" i="3" s="1"/>
  <c r="M333" i="3"/>
  <c r="Q331" i="3"/>
  <c r="E334" i="3"/>
  <c r="A335" i="3"/>
  <c r="D335" i="3" s="1"/>
  <c r="B334" i="3"/>
  <c r="H335" i="3" l="1"/>
  <c r="I335" i="3"/>
  <c r="F334" i="3"/>
  <c r="G334" i="3" s="1"/>
  <c r="N333" i="3"/>
  <c r="O333" i="3" s="1"/>
  <c r="P333" i="3" s="1"/>
  <c r="L334" i="3"/>
  <c r="C335" i="3"/>
  <c r="J334" i="3"/>
  <c r="K334" i="3" s="1"/>
  <c r="M334" i="3"/>
  <c r="Q332" i="3"/>
  <c r="E335" i="3"/>
  <c r="A336" i="3"/>
  <c r="D336" i="3" s="1"/>
  <c r="B335" i="3"/>
  <c r="H336" i="3" l="1"/>
  <c r="I336" i="3"/>
  <c r="N334" i="3"/>
  <c r="O334" i="3" s="1"/>
  <c r="P334" i="3" s="1"/>
  <c r="L335" i="3"/>
  <c r="F335" i="3"/>
  <c r="G335" i="3" s="1"/>
  <c r="C336" i="3"/>
  <c r="J335" i="3"/>
  <c r="K335" i="3" s="1"/>
  <c r="M335" i="3"/>
  <c r="Q333" i="3"/>
  <c r="E336" i="3"/>
  <c r="A337" i="3"/>
  <c r="D337" i="3" s="1"/>
  <c r="B336" i="3"/>
  <c r="H337" i="3" l="1"/>
  <c r="I337" i="3"/>
  <c r="F336" i="3"/>
  <c r="G336" i="3" s="1"/>
  <c r="N335" i="3"/>
  <c r="O335" i="3" s="1"/>
  <c r="P335" i="3" s="1"/>
  <c r="L336" i="3"/>
  <c r="C337" i="3"/>
  <c r="J336" i="3"/>
  <c r="K336" i="3" s="1"/>
  <c r="M336" i="3"/>
  <c r="Q334" i="3"/>
  <c r="E337" i="3"/>
  <c r="A338" i="3"/>
  <c r="D338" i="3" s="1"/>
  <c r="B337" i="3"/>
  <c r="H338" i="3" l="1"/>
  <c r="I338" i="3"/>
  <c r="N336" i="3"/>
  <c r="O336" i="3" s="1"/>
  <c r="P336" i="3" s="1"/>
  <c r="F337" i="3"/>
  <c r="G337" i="3" s="1"/>
  <c r="L337" i="3"/>
  <c r="C338" i="3"/>
  <c r="J337" i="3"/>
  <c r="K337" i="3" s="1"/>
  <c r="M337" i="3"/>
  <c r="Q335" i="3"/>
  <c r="E338" i="3"/>
  <c r="A339" i="3"/>
  <c r="D339" i="3" s="1"/>
  <c r="B338" i="3"/>
  <c r="H339" i="3" l="1"/>
  <c r="I339" i="3"/>
  <c r="F338" i="3"/>
  <c r="G338" i="3" s="1"/>
  <c r="N337" i="3"/>
  <c r="O337" i="3" s="1"/>
  <c r="P337" i="3" s="1"/>
  <c r="L338" i="3"/>
  <c r="C339" i="3"/>
  <c r="J338" i="3"/>
  <c r="K338" i="3" s="1"/>
  <c r="M338" i="3"/>
  <c r="Q336" i="3"/>
  <c r="E339" i="3"/>
  <c r="A340" i="3"/>
  <c r="D340" i="3" s="1"/>
  <c r="B339" i="3"/>
  <c r="H340" i="3" l="1"/>
  <c r="I340" i="3"/>
  <c r="F339" i="3"/>
  <c r="G339" i="3" s="1"/>
  <c r="N338" i="3"/>
  <c r="O338" i="3" s="1"/>
  <c r="P338" i="3" s="1"/>
  <c r="L339" i="3"/>
  <c r="C340" i="3"/>
  <c r="J339" i="3"/>
  <c r="K339" i="3" s="1"/>
  <c r="M339" i="3"/>
  <c r="Q337" i="3"/>
  <c r="E340" i="3"/>
  <c r="A341" i="3"/>
  <c r="D341" i="3" s="1"/>
  <c r="B340" i="3"/>
  <c r="H341" i="3" l="1"/>
  <c r="I341" i="3"/>
  <c r="F340" i="3"/>
  <c r="G340" i="3" s="1"/>
  <c r="N339" i="3"/>
  <c r="O339" i="3" s="1"/>
  <c r="P339" i="3" s="1"/>
  <c r="L340" i="3"/>
  <c r="C341" i="3"/>
  <c r="J340" i="3"/>
  <c r="K340" i="3" s="1"/>
  <c r="M340" i="3"/>
  <c r="Q338" i="3"/>
  <c r="E341" i="3"/>
  <c r="A342" i="3"/>
  <c r="D342" i="3" s="1"/>
  <c r="B341" i="3"/>
  <c r="H342" i="3" l="1"/>
  <c r="I342" i="3"/>
  <c r="F341" i="3"/>
  <c r="G341" i="3" s="1"/>
  <c r="N340" i="3"/>
  <c r="O340" i="3" s="1"/>
  <c r="P340" i="3" s="1"/>
  <c r="L341" i="3"/>
  <c r="C342" i="3"/>
  <c r="J341" i="3"/>
  <c r="K341" i="3" s="1"/>
  <c r="M341" i="3"/>
  <c r="Q339" i="3"/>
  <c r="E342" i="3"/>
  <c r="A343" i="3"/>
  <c r="D343" i="3" s="1"/>
  <c r="B342" i="3"/>
  <c r="H343" i="3" l="1"/>
  <c r="I343" i="3"/>
  <c r="F342" i="3"/>
  <c r="G342" i="3" s="1"/>
  <c r="N341" i="3"/>
  <c r="O341" i="3" s="1"/>
  <c r="P341" i="3" s="1"/>
  <c r="L342" i="3"/>
  <c r="C343" i="3"/>
  <c r="J342" i="3"/>
  <c r="K342" i="3" s="1"/>
  <c r="M342" i="3"/>
  <c r="Q340" i="3"/>
  <c r="E343" i="3"/>
  <c r="A344" i="3"/>
  <c r="D344" i="3" s="1"/>
  <c r="B343" i="3"/>
  <c r="H344" i="3" l="1"/>
  <c r="M344" i="3" s="1"/>
  <c r="I344" i="3"/>
  <c r="N342" i="3"/>
  <c r="O342" i="3" s="1"/>
  <c r="P342" i="3" s="1"/>
  <c r="F343" i="3"/>
  <c r="G343" i="3" s="1"/>
  <c r="L343" i="3"/>
  <c r="C344" i="3"/>
  <c r="J343" i="3"/>
  <c r="K343" i="3" s="1"/>
  <c r="M343" i="3"/>
  <c r="Q341" i="3"/>
  <c r="E344" i="3"/>
  <c r="A345" i="3"/>
  <c r="D345" i="3" s="1"/>
  <c r="B344" i="3"/>
  <c r="H345" i="3" l="1"/>
  <c r="I345" i="3"/>
  <c r="N343" i="3"/>
  <c r="O343" i="3" s="1"/>
  <c r="P343" i="3" s="1"/>
  <c r="F344" i="3"/>
  <c r="G344" i="3" s="1"/>
  <c r="J344" i="3"/>
  <c r="K344" i="3" s="1"/>
  <c r="L344" i="3"/>
  <c r="N344" i="3" s="1"/>
  <c r="C345" i="3"/>
  <c r="Q342" i="3"/>
  <c r="E345" i="3"/>
  <c r="A346" i="3"/>
  <c r="D346" i="3" s="1"/>
  <c r="B345" i="3"/>
  <c r="H346" i="3" l="1"/>
  <c r="I346" i="3"/>
  <c r="O344" i="3"/>
  <c r="P344" i="3" s="1"/>
  <c r="F345" i="3"/>
  <c r="G345" i="3" s="1"/>
  <c r="L345" i="3"/>
  <c r="J345" i="3"/>
  <c r="K345" i="3" s="1"/>
  <c r="M345" i="3"/>
  <c r="C346" i="3"/>
  <c r="Q343" i="3"/>
  <c r="E346" i="3"/>
  <c r="A347" i="3"/>
  <c r="D347" i="3" s="1"/>
  <c r="B346" i="3"/>
  <c r="H347" i="3" l="1"/>
  <c r="I347" i="3"/>
  <c r="N345" i="3"/>
  <c r="O345" i="3" s="1"/>
  <c r="P345" i="3" s="1"/>
  <c r="F346" i="3"/>
  <c r="G346" i="3" s="1"/>
  <c r="L346" i="3"/>
  <c r="C347" i="3"/>
  <c r="J346" i="3"/>
  <c r="K346" i="3" s="1"/>
  <c r="M346" i="3"/>
  <c r="Q344" i="3"/>
  <c r="E347" i="3"/>
  <c r="A348" i="3"/>
  <c r="D348" i="3" s="1"/>
  <c r="B347" i="3"/>
  <c r="H348" i="3" l="1"/>
  <c r="I348" i="3"/>
  <c r="F347" i="3"/>
  <c r="G347" i="3" s="1"/>
  <c r="N346" i="3"/>
  <c r="O346" i="3" s="1"/>
  <c r="P346" i="3" s="1"/>
  <c r="L347" i="3"/>
  <c r="C348" i="3"/>
  <c r="J347" i="3"/>
  <c r="K347" i="3" s="1"/>
  <c r="M347" i="3"/>
  <c r="Q345" i="3"/>
  <c r="E348" i="3"/>
  <c r="A349" i="3"/>
  <c r="D349" i="3" s="1"/>
  <c r="B348" i="3"/>
  <c r="H349" i="3" l="1"/>
  <c r="I349" i="3"/>
  <c r="F348" i="3"/>
  <c r="G348" i="3" s="1"/>
  <c r="N347" i="3"/>
  <c r="O347" i="3" s="1"/>
  <c r="P347" i="3" s="1"/>
  <c r="L348" i="3"/>
  <c r="C349" i="3"/>
  <c r="J348" i="3"/>
  <c r="K348" i="3" s="1"/>
  <c r="M348" i="3"/>
  <c r="Q346" i="3"/>
  <c r="E349" i="3"/>
  <c r="A350" i="3"/>
  <c r="D350" i="3" s="1"/>
  <c r="B349" i="3"/>
  <c r="H350" i="3" l="1"/>
  <c r="I350" i="3"/>
  <c r="N348" i="3"/>
  <c r="O348" i="3" s="1"/>
  <c r="P348" i="3" s="1"/>
  <c r="L349" i="3"/>
  <c r="F349" i="3"/>
  <c r="G349" i="3" s="1"/>
  <c r="C350" i="3"/>
  <c r="J349" i="3"/>
  <c r="K349" i="3" s="1"/>
  <c r="M349" i="3"/>
  <c r="Q347" i="3"/>
  <c r="E350" i="3"/>
  <c r="A351" i="3"/>
  <c r="D351" i="3" s="1"/>
  <c r="B350" i="3"/>
  <c r="H351" i="3" l="1"/>
  <c r="I351" i="3"/>
  <c r="F350" i="3"/>
  <c r="G350" i="3" s="1"/>
  <c r="N349" i="3"/>
  <c r="O349" i="3" s="1"/>
  <c r="P349" i="3" s="1"/>
  <c r="L350" i="3"/>
  <c r="C351" i="3"/>
  <c r="J350" i="3"/>
  <c r="K350" i="3" s="1"/>
  <c r="M350" i="3"/>
  <c r="Q348" i="3"/>
  <c r="E351" i="3"/>
  <c r="A352" i="3"/>
  <c r="D352" i="3" s="1"/>
  <c r="B351" i="3"/>
  <c r="H352" i="3" l="1"/>
  <c r="I352" i="3"/>
  <c r="F351" i="3"/>
  <c r="G351" i="3" s="1"/>
  <c r="N350" i="3"/>
  <c r="O350" i="3" s="1"/>
  <c r="P350" i="3" s="1"/>
  <c r="L351" i="3"/>
  <c r="C352" i="3"/>
  <c r="J351" i="3"/>
  <c r="K351" i="3" s="1"/>
  <c r="M351" i="3"/>
  <c r="Q349" i="3"/>
  <c r="E352" i="3"/>
  <c r="A353" i="3"/>
  <c r="D353" i="3" s="1"/>
  <c r="B352" i="3"/>
  <c r="H353" i="3" l="1"/>
  <c r="I353" i="3"/>
  <c r="F352" i="3"/>
  <c r="G352" i="3" s="1"/>
  <c r="N351" i="3"/>
  <c r="O351" i="3" s="1"/>
  <c r="P351" i="3" s="1"/>
  <c r="L352" i="3"/>
  <c r="C353" i="3"/>
  <c r="J352" i="3"/>
  <c r="K352" i="3" s="1"/>
  <c r="M352" i="3"/>
  <c r="Q350" i="3"/>
  <c r="E353" i="3"/>
  <c r="A354" i="3"/>
  <c r="D354" i="3" s="1"/>
  <c r="B353" i="3"/>
  <c r="H354" i="3" l="1"/>
  <c r="I354" i="3"/>
  <c r="N352" i="3"/>
  <c r="O352" i="3" s="1"/>
  <c r="P352" i="3" s="1"/>
  <c r="F353" i="3"/>
  <c r="G353" i="3" s="1"/>
  <c r="L353" i="3"/>
  <c r="C354" i="3"/>
  <c r="J353" i="3"/>
  <c r="K353" i="3" s="1"/>
  <c r="M353" i="3"/>
  <c r="Q351" i="3"/>
  <c r="E354" i="3"/>
  <c r="A355" i="3"/>
  <c r="D355" i="3" s="1"/>
  <c r="B354" i="3"/>
  <c r="H355" i="3" l="1"/>
  <c r="I355" i="3"/>
  <c r="F354" i="3"/>
  <c r="G354" i="3" s="1"/>
  <c r="N353" i="3"/>
  <c r="O353" i="3" s="1"/>
  <c r="P353" i="3" s="1"/>
  <c r="L354" i="3"/>
  <c r="C355" i="3"/>
  <c r="J354" i="3"/>
  <c r="K354" i="3" s="1"/>
  <c r="M354" i="3"/>
  <c r="Q352" i="3"/>
  <c r="E355" i="3"/>
  <c r="A356" i="3"/>
  <c r="D356" i="3" s="1"/>
  <c r="B355" i="3"/>
  <c r="H356" i="3" l="1"/>
  <c r="I356" i="3"/>
  <c r="F355" i="3"/>
  <c r="G355" i="3" s="1"/>
  <c r="N354" i="3"/>
  <c r="O354" i="3" s="1"/>
  <c r="P354" i="3" s="1"/>
  <c r="L355" i="3"/>
  <c r="C356" i="3"/>
  <c r="J355" i="3"/>
  <c r="K355" i="3" s="1"/>
  <c r="M355" i="3"/>
  <c r="Q353" i="3"/>
  <c r="E356" i="3"/>
  <c r="A357" i="3"/>
  <c r="D357" i="3" s="1"/>
  <c r="B356" i="3"/>
  <c r="H357" i="3" l="1"/>
  <c r="I357" i="3"/>
  <c r="F356" i="3"/>
  <c r="G356" i="3" s="1"/>
  <c r="N355" i="3"/>
  <c r="O355" i="3" s="1"/>
  <c r="P355" i="3" s="1"/>
  <c r="L356" i="3"/>
  <c r="C357" i="3"/>
  <c r="J356" i="3"/>
  <c r="K356" i="3" s="1"/>
  <c r="M356" i="3"/>
  <c r="Q354" i="3"/>
  <c r="E357" i="3"/>
  <c r="A358" i="3"/>
  <c r="D358" i="3" s="1"/>
  <c r="B357" i="3"/>
  <c r="H358" i="3" l="1"/>
  <c r="I358" i="3"/>
  <c r="F357" i="3"/>
  <c r="G357" i="3" s="1"/>
  <c r="N356" i="3"/>
  <c r="O356" i="3" s="1"/>
  <c r="P356" i="3" s="1"/>
  <c r="L357" i="3"/>
  <c r="C358" i="3"/>
  <c r="J357" i="3"/>
  <c r="K357" i="3" s="1"/>
  <c r="M357" i="3"/>
  <c r="Q355" i="3"/>
  <c r="E358" i="3"/>
  <c r="A359" i="3"/>
  <c r="D359" i="3" s="1"/>
  <c r="B358" i="3"/>
  <c r="H359" i="3" l="1"/>
  <c r="I359" i="3"/>
  <c r="N357" i="3"/>
  <c r="O357" i="3" s="1"/>
  <c r="P357" i="3" s="1"/>
  <c r="F358" i="3"/>
  <c r="G358" i="3" s="1"/>
  <c r="L358" i="3"/>
  <c r="C359" i="3"/>
  <c r="J358" i="3"/>
  <c r="K358" i="3" s="1"/>
  <c r="M358" i="3"/>
  <c r="Q356" i="3"/>
  <c r="E359" i="3"/>
  <c r="A360" i="3"/>
  <c r="D360" i="3" s="1"/>
  <c r="B359" i="3"/>
  <c r="H360" i="3" l="1"/>
  <c r="I360" i="3"/>
  <c r="N358" i="3"/>
  <c r="O358" i="3" s="1"/>
  <c r="P358" i="3" s="1"/>
  <c r="F359" i="3"/>
  <c r="G359" i="3" s="1"/>
  <c r="L359" i="3"/>
  <c r="C360" i="3"/>
  <c r="J359" i="3"/>
  <c r="K359" i="3" s="1"/>
  <c r="M359" i="3"/>
  <c r="Q357" i="3"/>
  <c r="E360" i="3"/>
  <c r="A361" i="3"/>
  <c r="D361" i="3" s="1"/>
  <c r="B360" i="3"/>
  <c r="H361" i="3" l="1"/>
  <c r="I361" i="3"/>
  <c r="F360" i="3"/>
  <c r="G360" i="3" s="1"/>
  <c r="N359" i="3"/>
  <c r="O359" i="3" s="1"/>
  <c r="P359" i="3" s="1"/>
  <c r="L360" i="3"/>
  <c r="C361" i="3"/>
  <c r="J360" i="3"/>
  <c r="K360" i="3" s="1"/>
  <c r="M360" i="3"/>
  <c r="Q358" i="3"/>
  <c r="E361" i="3"/>
  <c r="A362" i="3"/>
  <c r="D362" i="3" s="1"/>
  <c r="B361" i="3"/>
  <c r="H362" i="3" l="1"/>
  <c r="I362" i="3"/>
  <c r="F361" i="3"/>
  <c r="G361" i="3" s="1"/>
  <c r="N360" i="3"/>
  <c r="O360" i="3" s="1"/>
  <c r="P360" i="3" s="1"/>
  <c r="L361" i="3"/>
  <c r="C362" i="3"/>
  <c r="J361" i="3"/>
  <c r="K361" i="3" s="1"/>
  <c r="M361" i="3"/>
  <c r="Q359" i="3"/>
  <c r="E362" i="3"/>
  <c r="A363" i="3"/>
  <c r="D363" i="3" s="1"/>
  <c r="B362" i="3"/>
  <c r="H363" i="3" l="1"/>
  <c r="I363" i="3"/>
  <c r="F362" i="3"/>
  <c r="G362" i="3" s="1"/>
  <c r="L362" i="3"/>
  <c r="N361" i="3"/>
  <c r="O361" i="3" s="1"/>
  <c r="P361" i="3" s="1"/>
  <c r="C363" i="3"/>
  <c r="J362" i="3"/>
  <c r="K362" i="3" s="1"/>
  <c r="M362" i="3"/>
  <c r="Q360" i="3"/>
  <c r="E363" i="3"/>
  <c r="A364" i="3"/>
  <c r="D364" i="3" s="1"/>
  <c r="B363" i="3"/>
  <c r="H364" i="3" l="1"/>
  <c r="I364" i="3"/>
  <c r="L363" i="3"/>
  <c r="N362" i="3"/>
  <c r="O362" i="3" s="1"/>
  <c r="P362" i="3" s="1"/>
  <c r="F363" i="3"/>
  <c r="G363" i="3" s="1"/>
  <c r="C364" i="3"/>
  <c r="J363" i="3"/>
  <c r="K363" i="3" s="1"/>
  <c r="M363" i="3"/>
  <c r="Q361" i="3"/>
  <c r="E364" i="3"/>
  <c r="A365" i="3"/>
  <c r="D365" i="3" s="1"/>
  <c r="B364" i="3"/>
  <c r="H365" i="3" l="1"/>
  <c r="I365" i="3"/>
  <c r="N363" i="3"/>
  <c r="O363" i="3" s="1"/>
  <c r="P363" i="3" s="1"/>
  <c r="F364" i="3"/>
  <c r="G364" i="3" s="1"/>
  <c r="L364" i="3"/>
  <c r="C365" i="3"/>
  <c r="J364" i="3"/>
  <c r="K364" i="3" s="1"/>
  <c r="M364" i="3"/>
  <c r="Q362" i="3"/>
  <c r="E365" i="3"/>
  <c r="A366" i="3"/>
  <c r="D366" i="3" s="1"/>
  <c r="B365" i="3"/>
  <c r="H366" i="3" l="1"/>
  <c r="I366" i="3"/>
  <c r="F365" i="3"/>
  <c r="G365" i="3" s="1"/>
  <c r="N364" i="3"/>
  <c r="O364" i="3" s="1"/>
  <c r="P364" i="3" s="1"/>
  <c r="L365" i="3"/>
  <c r="C366" i="3"/>
  <c r="J365" i="3"/>
  <c r="K365" i="3" s="1"/>
  <c r="M365" i="3"/>
  <c r="Q363" i="3"/>
  <c r="E366" i="3"/>
  <c r="A367" i="3"/>
  <c r="D367" i="3" s="1"/>
  <c r="B366" i="3"/>
  <c r="H367" i="3" l="1"/>
  <c r="I367" i="3"/>
  <c r="N365" i="3"/>
  <c r="O365" i="3" s="1"/>
  <c r="P365" i="3" s="1"/>
  <c r="L366" i="3"/>
  <c r="F366" i="3"/>
  <c r="G366" i="3" s="1"/>
  <c r="C367" i="3"/>
  <c r="J366" i="3"/>
  <c r="K366" i="3" s="1"/>
  <c r="M366" i="3"/>
  <c r="Q364" i="3"/>
  <c r="E367" i="3"/>
  <c r="A368" i="3"/>
  <c r="D368" i="3" s="1"/>
  <c r="B367" i="3"/>
  <c r="H368" i="3" l="1"/>
  <c r="I368" i="3"/>
  <c r="F367" i="3"/>
  <c r="G367" i="3" s="1"/>
  <c r="N366" i="3"/>
  <c r="O366" i="3" s="1"/>
  <c r="P366" i="3" s="1"/>
  <c r="L367" i="3"/>
  <c r="C368" i="3"/>
  <c r="J367" i="3"/>
  <c r="K367" i="3" s="1"/>
  <c r="M367" i="3"/>
  <c r="Q365" i="3"/>
  <c r="E368" i="3"/>
  <c r="A369" i="3"/>
  <c r="D369" i="3" s="1"/>
  <c r="B368" i="3"/>
  <c r="H369" i="3" l="1"/>
  <c r="I369" i="3"/>
  <c r="L368" i="3"/>
  <c r="N367" i="3"/>
  <c r="O367" i="3" s="1"/>
  <c r="P367" i="3" s="1"/>
  <c r="F368" i="3"/>
  <c r="G368" i="3" s="1"/>
  <c r="C369" i="3"/>
  <c r="J368" i="3"/>
  <c r="K368" i="3" s="1"/>
  <c r="M368" i="3"/>
  <c r="Q366" i="3"/>
  <c r="E369" i="3"/>
  <c r="A370" i="3"/>
  <c r="D370" i="3" s="1"/>
  <c r="B369" i="3"/>
  <c r="H370" i="3" l="1"/>
  <c r="I370" i="3"/>
  <c r="F369" i="3"/>
  <c r="G369" i="3" s="1"/>
  <c r="N368" i="3"/>
  <c r="O368" i="3" s="1"/>
  <c r="P368" i="3" s="1"/>
  <c r="L369" i="3"/>
  <c r="C370" i="3"/>
  <c r="J369" i="3"/>
  <c r="K369" i="3" s="1"/>
  <c r="M369" i="3"/>
  <c r="Q367" i="3"/>
  <c r="E370" i="3"/>
  <c r="A371" i="3"/>
  <c r="D371" i="3" s="1"/>
  <c r="B370" i="3"/>
  <c r="H371" i="3" l="1"/>
  <c r="I371" i="3"/>
  <c r="L370" i="3"/>
  <c r="N369" i="3"/>
  <c r="O369" i="3" s="1"/>
  <c r="P369" i="3" s="1"/>
  <c r="F370" i="3"/>
  <c r="G370" i="3" s="1"/>
  <c r="C371" i="3"/>
  <c r="J370" i="3"/>
  <c r="K370" i="3" s="1"/>
  <c r="M370" i="3"/>
  <c r="Q368" i="3"/>
  <c r="E371" i="3"/>
  <c r="A372" i="3"/>
  <c r="D372" i="3" s="1"/>
  <c r="B371" i="3"/>
  <c r="H372" i="3" l="1"/>
  <c r="I372" i="3"/>
  <c r="N370" i="3"/>
  <c r="O370" i="3" s="1"/>
  <c r="P370" i="3" s="1"/>
  <c r="F371" i="3"/>
  <c r="G371" i="3" s="1"/>
  <c r="L371" i="3"/>
  <c r="C372" i="3"/>
  <c r="J371" i="3"/>
  <c r="K371" i="3" s="1"/>
  <c r="M371" i="3"/>
  <c r="Q369" i="3"/>
  <c r="E372" i="3"/>
  <c r="A373" i="3"/>
  <c r="D373" i="3" s="1"/>
  <c r="B372" i="3"/>
  <c r="H373" i="3" l="1"/>
  <c r="I373" i="3"/>
  <c r="F372" i="3"/>
  <c r="G372" i="3" s="1"/>
  <c r="N371" i="3"/>
  <c r="O371" i="3" s="1"/>
  <c r="P371" i="3" s="1"/>
  <c r="L372" i="3"/>
  <c r="C373" i="3"/>
  <c r="J372" i="3"/>
  <c r="K372" i="3" s="1"/>
  <c r="M372" i="3"/>
  <c r="Q370" i="3"/>
  <c r="E373" i="3"/>
  <c r="A374" i="3"/>
  <c r="D374" i="3" s="1"/>
  <c r="B373" i="3"/>
  <c r="H374" i="3" l="1"/>
  <c r="I374" i="3"/>
  <c r="F373" i="3"/>
  <c r="G373" i="3" s="1"/>
  <c r="N372" i="3"/>
  <c r="O372" i="3" s="1"/>
  <c r="P372" i="3" s="1"/>
  <c r="L373" i="3"/>
  <c r="C374" i="3"/>
  <c r="J373" i="3"/>
  <c r="K373" i="3" s="1"/>
  <c r="M373" i="3"/>
  <c r="Q371" i="3"/>
  <c r="E374" i="3"/>
  <c r="A375" i="3"/>
  <c r="D375" i="3" s="1"/>
  <c r="B374" i="3"/>
  <c r="H375" i="3" l="1"/>
  <c r="I375" i="3"/>
  <c r="F374" i="3"/>
  <c r="G374" i="3" s="1"/>
  <c r="L374" i="3"/>
  <c r="N373" i="3"/>
  <c r="O373" i="3" s="1"/>
  <c r="P373" i="3" s="1"/>
  <c r="C375" i="3"/>
  <c r="J374" i="3"/>
  <c r="K374" i="3" s="1"/>
  <c r="M374" i="3"/>
  <c r="Q372" i="3"/>
  <c r="E375" i="3"/>
  <c r="A376" i="3"/>
  <c r="D376" i="3" s="1"/>
  <c r="B375" i="3"/>
  <c r="H376" i="3" l="1"/>
  <c r="I376" i="3"/>
  <c r="F375" i="3"/>
  <c r="G375" i="3" s="1"/>
  <c r="N374" i="3"/>
  <c r="O374" i="3" s="1"/>
  <c r="P374" i="3" s="1"/>
  <c r="L375" i="3"/>
  <c r="C376" i="3"/>
  <c r="J375" i="3"/>
  <c r="K375" i="3" s="1"/>
  <c r="M375" i="3"/>
  <c r="Q373" i="3"/>
  <c r="E376" i="3"/>
  <c r="A377" i="3"/>
  <c r="D377" i="3" s="1"/>
  <c r="B376" i="3"/>
  <c r="H377" i="3" l="1"/>
  <c r="I377" i="3"/>
  <c r="F376" i="3"/>
  <c r="G376" i="3" s="1"/>
  <c r="N375" i="3"/>
  <c r="O375" i="3" s="1"/>
  <c r="P375" i="3" s="1"/>
  <c r="L376" i="3"/>
  <c r="J376" i="3"/>
  <c r="K376" i="3" s="1"/>
  <c r="M376" i="3"/>
  <c r="C377" i="3"/>
  <c r="Q374" i="3"/>
  <c r="E377" i="3"/>
  <c r="A378" i="3"/>
  <c r="D378" i="3" s="1"/>
  <c r="B377" i="3"/>
  <c r="H378" i="3" l="1"/>
  <c r="I378" i="3"/>
  <c r="N376" i="3"/>
  <c r="O376" i="3" s="1"/>
  <c r="P376" i="3" s="1"/>
  <c r="L377" i="3"/>
  <c r="F377" i="3"/>
  <c r="G377" i="3" s="1"/>
  <c r="C378" i="3"/>
  <c r="J377" i="3"/>
  <c r="K377" i="3" s="1"/>
  <c r="M377" i="3"/>
  <c r="Q375" i="3"/>
  <c r="E378" i="3"/>
  <c r="A379" i="3"/>
  <c r="D379" i="3" s="1"/>
  <c r="B378" i="3"/>
  <c r="H379" i="3" l="1"/>
  <c r="I379" i="3"/>
  <c r="F378" i="3"/>
  <c r="G378" i="3" s="1"/>
  <c r="N377" i="3"/>
  <c r="O377" i="3" s="1"/>
  <c r="P377" i="3" s="1"/>
  <c r="L378" i="3"/>
  <c r="C379" i="3"/>
  <c r="J378" i="3"/>
  <c r="K378" i="3" s="1"/>
  <c r="M378" i="3"/>
  <c r="Q376" i="3"/>
  <c r="E379" i="3"/>
  <c r="A380" i="3"/>
  <c r="D380" i="3" s="1"/>
  <c r="B379" i="3"/>
  <c r="H380" i="3" l="1"/>
  <c r="I380" i="3"/>
  <c r="F379" i="3"/>
  <c r="G379" i="3" s="1"/>
  <c r="N378" i="3"/>
  <c r="O378" i="3" s="1"/>
  <c r="P378" i="3" s="1"/>
  <c r="L379" i="3"/>
  <c r="C380" i="3"/>
  <c r="J379" i="3"/>
  <c r="K379" i="3" s="1"/>
  <c r="M379" i="3"/>
  <c r="Q377" i="3"/>
  <c r="E380" i="3"/>
  <c r="A381" i="3"/>
  <c r="D381" i="3" s="1"/>
  <c r="B380" i="3"/>
  <c r="H381" i="3" l="1"/>
  <c r="I381" i="3"/>
  <c r="F380" i="3"/>
  <c r="G380" i="3" s="1"/>
  <c r="N379" i="3"/>
  <c r="O379" i="3" s="1"/>
  <c r="P379" i="3" s="1"/>
  <c r="L380" i="3"/>
  <c r="C381" i="3"/>
  <c r="J380" i="3"/>
  <c r="K380" i="3" s="1"/>
  <c r="M380" i="3"/>
  <c r="Q378" i="3"/>
  <c r="E381" i="3"/>
  <c r="A382" i="3"/>
  <c r="D382" i="3" s="1"/>
  <c r="B381" i="3"/>
  <c r="H382" i="3" l="1"/>
  <c r="I382" i="3"/>
  <c r="F381" i="3"/>
  <c r="G381" i="3" s="1"/>
  <c r="N380" i="3"/>
  <c r="O380" i="3" s="1"/>
  <c r="P380" i="3" s="1"/>
  <c r="L381" i="3"/>
  <c r="C382" i="3"/>
  <c r="J381" i="3"/>
  <c r="K381" i="3" s="1"/>
  <c r="M381" i="3"/>
  <c r="Q379" i="3"/>
  <c r="E382" i="3"/>
  <c r="A383" i="3"/>
  <c r="D383" i="3" s="1"/>
  <c r="B382" i="3"/>
  <c r="H383" i="3" l="1"/>
  <c r="I383" i="3"/>
  <c r="N381" i="3"/>
  <c r="O381" i="3" s="1"/>
  <c r="P381" i="3" s="1"/>
  <c r="F382" i="3"/>
  <c r="G382" i="3" s="1"/>
  <c r="L382" i="3"/>
  <c r="C383" i="3"/>
  <c r="J382" i="3"/>
  <c r="K382" i="3" s="1"/>
  <c r="M382" i="3"/>
  <c r="Q380" i="3"/>
  <c r="E383" i="3"/>
  <c r="A384" i="3"/>
  <c r="D384" i="3" s="1"/>
  <c r="B383" i="3"/>
  <c r="H384" i="3" l="1"/>
  <c r="I384" i="3"/>
  <c r="N382" i="3"/>
  <c r="O382" i="3" s="1"/>
  <c r="P382" i="3" s="1"/>
  <c r="F383" i="3"/>
  <c r="G383" i="3" s="1"/>
  <c r="L383" i="3"/>
  <c r="C384" i="3"/>
  <c r="J383" i="3"/>
  <c r="K383" i="3" s="1"/>
  <c r="M383" i="3"/>
  <c r="Q381" i="3"/>
  <c r="E384" i="3"/>
  <c r="A385" i="3"/>
  <c r="D385" i="3" s="1"/>
  <c r="B384" i="3"/>
  <c r="H385" i="3" l="1"/>
  <c r="I385" i="3"/>
  <c r="F384" i="3"/>
  <c r="G384" i="3" s="1"/>
  <c r="N383" i="3"/>
  <c r="O383" i="3" s="1"/>
  <c r="P383" i="3" s="1"/>
  <c r="L384" i="3"/>
  <c r="C385" i="3"/>
  <c r="J384" i="3"/>
  <c r="K384" i="3" s="1"/>
  <c r="M384" i="3"/>
  <c r="Q382" i="3"/>
  <c r="E385" i="3"/>
  <c r="A386" i="3"/>
  <c r="D386" i="3" s="1"/>
  <c r="B385" i="3"/>
  <c r="H386" i="3" l="1"/>
  <c r="I386" i="3"/>
  <c r="F385" i="3"/>
  <c r="G385" i="3" s="1"/>
  <c r="N384" i="3"/>
  <c r="O384" i="3" s="1"/>
  <c r="P384" i="3" s="1"/>
  <c r="L385" i="3"/>
  <c r="C386" i="3"/>
  <c r="J385" i="3"/>
  <c r="K385" i="3" s="1"/>
  <c r="M385" i="3"/>
  <c r="Q383" i="3"/>
  <c r="E386" i="3"/>
  <c r="A387" i="3"/>
  <c r="D387" i="3" s="1"/>
  <c r="B386" i="3"/>
  <c r="H387" i="3" l="1"/>
  <c r="I387" i="3"/>
  <c r="F386" i="3"/>
  <c r="G386" i="3" s="1"/>
  <c r="N385" i="3"/>
  <c r="O385" i="3" s="1"/>
  <c r="P385" i="3" s="1"/>
  <c r="L386" i="3"/>
  <c r="C387" i="3"/>
  <c r="J386" i="3"/>
  <c r="K386" i="3" s="1"/>
  <c r="M386" i="3"/>
  <c r="Q384" i="3"/>
  <c r="E387" i="3"/>
  <c r="A388" i="3"/>
  <c r="D388" i="3" s="1"/>
  <c r="B387" i="3"/>
  <c r="H388" i="3" l="1"/>
  <c r="I388" i="3"/>
  <c r="F387" i="3"/>
  <c r="G387" i="3" s="1"/>
  <c r="N386" i="3"/>
  <c r="O386" i="3" s="1"/>
  <c r="P386" i="3" s="1"/>
  <c r="L387" i="3"/>
  <c r="C388" i="3"/>
  <c r="J387" i="3"/>
  <c r="K387" i="3" s="1"/>
  <c r="M387" i="3"/>
  <c r="Q385" i="3"/>
  <c r="E388" i="3"/>
  <c r="A389" i="3"/>
  <c r="D389" i="3" s="1"/>
  <c r="B388" i="3"/>
  <c r="H389" i="3" l="1"/>
  <c r="I389" i="3"/>
  <c r="N387" i="3"/>
  <c r="O387" i="3" s="1"/>
  <c r="P387" i="3" s="1"/>
  <c r="F388" i="3"/>
  <c r="G388" i="3" s="1"/>
  <c r="L388" i="3"/>
  <c r="C389" i="3"/>
  <c r="J388" i="3"/>
  <c r="K388" i="3" s="1"/>
  <c r="M388" i="3"/>
  <c r="Q386" i="3"/>
  <c r="E389" i="3"/>
  <c r="A390" i="3"/>
  <c r="D390" i="3" s="1"/>
  <c r="B389" i="3"/>
  <c r="H390" i="3" l="1"/>
  <c r="I390" i="3"/>
  <c r="F389" i="3"/>
  <c r="G389" i="3" s="1"/>
  <c r="N388" i="3"/>
  <c r="O388" i="3" s="1"/>
  <c r="P388" i="3" s="1"/>
  <c r="L389" i="3"/>
  <c r="C390" i="3"/>
  <c r="J389" i="3"/>
  <c r="K389" i="3" s="1"/>
  <c r="M389" i="3"/>
  <c r="Q387" i="3"/>
  <c r="E390" i="3"/>
  <c r="A391" i="3"/>
  <c r="D391" i="3" s="1"/>
  <c r="B390" i="3"/>
  <c r="H391" i="3" l="1"/>
  <c r="I391" i="3"/>
  <c r="F390" i="3"/>
  <c r="G390" i="3" s="1"/>
  <c r="L390" i="3"/>
  <c r="N389" i="3"/>
  <c r="O389" i="3" s="1"/>
  <c r="P389" i="3" s="1"/>
  <c r="C391" i="3"/>
  <c r="J390" i="3"/>
  <c r="K390" i="3" s="1"/>
  <c r="M390" i="3"/>
  <c r="Q388" i="3"/>
  <c r="E391" i="3"/>
  <c r="A392" i="3"/>
  <c r="D392" i="3" s="1"/>
  <c r="B391" i="3"/>
  <c r="H392" i="3" l="1"/>
  <c r="I392" i="3"/>
  <c r="N390" i="3"/>
  <c r="O390" i="3" s="1"/>
  <c r="P390" i="3" s="1"/>
  <c r="F391" i="3"/>
  <c r="G391" i="3" s="1"/>
  <c r="L391" i="3"/>
  <c r="C392" i="3"/>
  <c r="J391" i="3"/>
  <c r="K391" i="3" s="1"/>
  <c r="M391" i="3"/>
  <c r="Q389" i="3"/>
  <c r="E392" i="3"/>
  <c r="A393" i="3"/>
  <c r="D393" i="3" s="1"/>
  <c r="B392" i="3"/>
  <c r="H393" i="3" l="1"/>
  <c r="I393" i="3"/>
  <c r="N391" i="3"/>
  <c r="O391" i="3" s="1"/>
  <c r="P391" i="3" s="1"/>
  <c r="F392" i="3"/>
  <c r="G392" i="3" s="1"/>
  <c r="L392" i="3"/>
  <c r="C393" i="3"/>
  <c r="J392" i="3"/>
  <c r="K392" i="3" s="1"/>
  <c r="M392" i="3"/>
  <c r="Q390" i="3"/>
  <c r="E393" i="3"/>
  <c r="A394" i="3"/>
  <c r="D394" i="3" s="1"/>
  <c r="B393" i="3"/>
  <c r="H394" i="3" l="1"/>
  <c r="I394" i="3"/>
  <c r="N392" i="3"/>
  <c r="O392" i="3" s="1"/>
  <c r="P392" i="3" s="1"/>
  <c r="F393" i="3"/>
  <c r="G393" i="3" s="1"/>
  <c r="L393" i="3"/>
  <c r="C394" i="3"/>
  <c r="J393" i="3"/>
  <c r="K393" i="3" s="1"/>
  <c r="M393" i="3"/>
  <c r="Q391" i="3"/>
  <c r="E394" i="3"/>
  <c r="A395" i="3"/>
  <c r="D395" i="3" s="1"/>
  <c r="B394" i="3"/>
  <c r="H395" i="3" l="1"/>
  <c r="I395" i="3"/>
  <c r="F394" i="3"/>
  <c r="G394" i="3" s="1"/>
  <c r="N393" i="3"/>
  <c r="O393" i="3" s="1"/>
  <c r="P393" i="3" s="1"/>
  <c r="L394" i="3"/>
  <c r="C395" i="3"/>
  <c r="J394" i="3"/>
  <c r="K394" i="3" s="1"/>
  <c r="M394" i="3"/>
  <c r="Q392" i="3"/>
  <c r="E395" i="3"/>
  <c r="A396" i="3"/>
  <c r="D396" i="3" s="1"/>
  <c r="B395" i="3"/>
  <c r="H396" i="3" l="1"/>
  <c r="I396" i="3"/>
  <c r="F395" i="3"/>
  <c r="G395" i="3" s="1"/>
  <c r="N394" i="3"/>
  <c r="O394" i="3" s="1"/>
  <c r="P394" i="3" s="1"/>
  <c r="L395" i="3"/>
  <c r="C396" i="3"/>
  <c r="J395" i="3"/>
  <c r="K395" i="3" s="1"/>
  <c r="M395" i="3"/>
  <c r="Q393" i="3"/>
  <c r="E396" i="3"/>
  <c r="A397" i="3"/>
  <c r="D397" i="3" s="1"/>
  <c r="B396" i="3"/>
  <c r="H397" i="3" l="1"/>
  <c r="I397" i="3"/>
  <c r="F396" i="3"/>
  <c r="G396" i="3" s="1"/>
  <c r="N395" i="3"/>
  <c r="O395" i="3" s="1"/>
  <c r="P395" i="3" s="1"/>
  <c r="L396" i="3"/>
  <c r="C397" i="3"/>
  <c r="J396" i="3"/>
  <c r="K396" i="3" s="1"/>
  <c r="M396" i="3"/>
  <c r="Q394" i="3"/>
  <c r="E397" i="3"/>
  <c r="A398" i="3"/>
  <c r="D398" i="3" s="1"/>
  <c r="B397" i="3"/>
  <c r="H398" i="3" l="1"/>
  <c r="I398" i="3"/>
  <c r="F397" i="3"/>
  <c r="G397" i="3" s="1"/>
  <c r="N396" i="3"/>
  <c r="O396" i="3" s="1"/>
  <c r="P396" i="3" s="1"/>
  <c r="L397" i="3"/>
  <c r="C398" i="3"/>
  <c r="J397" i="3"/>
  <c r="K397" i="3" s="1"/>
  <c r="M397" i="3"/>
  <c r="Q395" i="3"/>
  <c r="E398" i="3"/>
  <c r="A399" i="3"/>
  <c r="D399" i="3" s="1"/>
  <c r="B398" i="3"/>
  <c r="I399" i="3" l="1"/>
  <c r="H399" i="3"/>
  <c r="N397" i="3"/>
  <c r="O397" i="3" s="1"/>
  <c r="P397" i="3" s="1"/>
  <c r="F398" i="3"/>
  <c r="G398" i="3" s="1"/>
  <c r="L398" i="3"/>
  <c r="C399" i="3"/>
  <c r="J398" i="3"/>
  <c r="K398" i="3" s="1"/>
  <c r="M398" i="3"/>
  <c r="Q396" i="3"/>
  <c r="E399" i="3"/>
  <c r="A400" i="3"/>
  <c r="D400" i="3" s="1"/>
  <c r="B399" i="3"/>
  <c r="H400" i="3" l="1"/>
  <c r="I400" i="3"/>
  <c r="F399" i="3"/>
  <c r="G399" i="3" s="1"/>
  <c r="N398" i="3"/>
  <c r="O398" i="3" s="1"/>
  <c r="P398" i="3" s="1"/>
  <c r="L399" i="3"/>
  <c r="C400" i="3"/>
  <c r="J399" i="3"/>
  <c r="K399" i="3" s="1"/>
  <c r="M399" i="3"/>
  <c r="Q397" i="3"/>
  <c r="E400" i="3"/>
  <c r="A401" i="3"/>
  <c r="D401" i="3" s="1"/>
  <c r="B400" i="3"/>
  <c r="H401" i="3" l="1"/>
  <c r="I401" i="3"/>
  <c r="N399" i="3"/>
  <c r="O399" i="3" s="1"/>
  <c r="P399" i="3" s="1"/>
  <c r="F400" i="3"/>
  <c r="G400" i="3" s="1"/>
  <c r="L400" i="3"/>
  <c r="C401" i="3"/>
  <c r="J400" i="3"/>
  <c r="K400" i="3" s="1"/>
  <c r="M400" i="3"/>
  <c r="Q398" i="3"/>
  <c r="E401" i="3"/>
  <c r="A402" i="3"/>
  <c r="D402" i="3" s="1"/>
  <c r="B401" i="3"/>
  <c r="H402" i="3" l="1"/>
  <c r="I402" i="3"/>
  <c r="F401" i="3"/>
  <c r="G401" i="3" s="1"/>
  <c r="N400" i="3"/>
  <c r="O400" i="3" s="1"/>
  <c r="P400" i="3" s="1"/>
  <c r="L401" i="3"/>
  <c r="C402" i="3"/>
  <c r="J401" i="3"/>
  <c r="K401" i="3" s="1"/>
  <c r="M401" i="3"/>
  <c r="Q399" i="3"/>
  <c r="E402" i="3"/>
  <c r="A403" i="3"/>
  <c r="D403" i="3" s="1"/>
  <c r="B402" i="3"/>
  <c r="H403" i="3" l="1"/>
  <c r="I403" i="3"/>
  <c r="L402" i="3"/>
  <c r="N401" i="3"/>
  <c r="O401" i="3" s="1"/>
  <c r="P401" i="3" s="1"/>
  <c r="F402" i="3"/>
  <c r="G402" i="3" s="1"/>
  <c r="C403" i="3"/>
  <c r="J402" i="3"/>
  <c r="K402" i="3" s="1"/>
  <c r="M402" i="3"/>
  <c r="Q400" i="3"/>
  <c r="E403" i="3"/>
  <c r="A404" i="3"/>
  <c r="D404" i="3" s="1"/>
  <c r="B403" i="3"/>
  <c r="H404" i="3" l="1"/>
  <c r="I404" i="3"/>
  <c r="F403" i="3"/>
  <c r="G403" i="3" s="1"/>
  <c r="N402" i="3"/>
  <c r="O402" i="3" s="1"/>
  <c r="P402" i="3" s="1"/>
  <c r="L403" i="3"/>
  <c r="C404" i="3"/>
  <c r="J403" i="3"/>
  <c r="K403" i="3" s="1"/>
  <c r="M403" i="3"/>
  <c r="Q401" i="3"/>
  <c r="E404" i="3"/>
  <c r="A405" i="3"/>
  <c r="D405" i="3" s="1"/>
  <c r="B404" i="3"/>
  <c r="H405" i="3" l="1"/>
  <c r="I405" i="3"/>
  <c r="N403" i="3"/>
  <c r="O403" i="3" s="1"/>
  <c r="P403" i="3" s="1"/>
  <c r="L404" i="3"/>
  <c r="F404" i="3"/>
  <c r="G404" i="3" s="1"/>
  <c r="C405" i="3"/>
  <c r="J404" i="3"/>
  <c r="K404" i="3" s="1"/>
  <c r="M404" i="3"/>
  <c r="Q402" i="3"/>
  <c r="E405" i="3"/>
  <c r="A406" i="3"/>
  <c r="D406" i="3" s="1"/>
  <c r="B405" i="3"/>
  <c r="I406" i="3" l="1"/>
  <c r="H406" i="3"/>
  <c r="F405" i="3"/>
  <c r="G405" i="3" s="1"/>
  <c r="N404" i="3"/>
  <c r="O404" i="3" s="1"/>
  <c r="P404" i="3" s="1"/>
  <c r="L405" i="3"/>
  <c r="C406" i="3"/>
  <c r="J405" i="3"/>
  <c r="K405" i="3" s="1"/>
  <c r="M405" i="3"/>
  <c r="Q403" i="3"/>
  <c r="E406" i="3"/>
  <c r="A407" i="3"/>
  <c r="D407" i="3" s="1"/>
  <c r="B406" i="3"/>
  <c r="H407" i="3" l="1"/>
  <c r="I407" i="3"/>
  <c r="N405" i="3"/>
  <c r="O405" i="3" s="1"/>
  <c r="P405" i="3" s="1"/>
  <c r="F406" i="3"/>
  <c r="G406" i="3" s="1"/>
  <c r="L406" i="3"/>
  <c r="C407" i="3"/>
  <c r="J406" i="3"/>
  <c r="K406" i="3" s="1"/>
  <c r="M406" i="3"/>
  <c r="Q404" i="3"/>
  <c r="E407" i="3"/>
  <c r="B407" i="3"/>
  <c r="A408" i="3"/>
  <c r="D408" i="3" s="1"/>
  <c r="H408" i="3" l="1"/>
  <c r="I408" i="3"/>
  <c r="F407" i="3"/>
  <c r="G407" i="3" s="1"/>
  <c r="N406" i="3"/>
  <c r="O406" i="3" s="1"/>
  <c r="P406" i="3" s="1"/>
  <c r="L407" i="3"/>
  <c r="C408" i="3"/>
  <c r="J407" i="3"/>
  <c r="K407" i="3" s="1"/>
  <c r="M407" i="3"/>
  <c r="Q405" i="3"/>
  <c r="E408" i="3"/>
  <c r="A409" i="3"/>
  <c r="D409" i="3" s="1"/>
  <c r="B408" i="3"/>
  <c r="H409" i="3" l="1"/>
  <c r="I409" i="3"/>
  <c r="N407" i="3"/>
  <c r="O407" i="3" s="1"/>
  <c r="P407" i="3" s="1"/>
  <c r="F408" i="3"/>
  <c r="G408" i="3" s="1"/>
  <c r="C409" i="3"/>
  <c r="J408" i="3"/>
  <c r="K408" i="3" s="1"/>
  <c r="M408" i="3"/>
  <c r="L408" i="3"/>
  <c r="Q406" i="3"/>
  <c r="E409" i="3"/>
  <c r="A410" i="3"/>
  <c r="D410" i="3" s="1"/>
  <c r="B409" i="3"/>
  <c r="H410" i="3" l="1"/>
  <c r="I410" i="3"/>
  <c r="F409" i="3"/>
  <c r="G409" i="3" s="1"/>
  <c r="N408" i="3"/>
  <c r="O408" i="3" s="1"/>
  <c r="P408" i="3" s="1"/>
  <c r="J409" i="3"/>
  <c r="K409" i="3" s="1"/>
  <c r="M409" i="3"/>
  <c r="L409" i="3"/>
  <c r="C410" i="3"/>
  <c r="Q407" i="3"/>
  <c r="E410" i="3"/>
  <c r="A411" i="3"/>
  <c r="D411" i="3" s="1"/>
  <c r="B410" i="3"/>
  <c r="H411" i="3" l="1"/>
  <c r="I411" i="3"/>
  <c r="L410" i="3"/>
  <c r="N409" i="3"/>
  <c r="O409" i="3" s="1"/>
  <c r="P409" i="3" s="1"/>
  <c r="F410" i="3"/>
  <c r="G410" i="3" s="1"/>
  <c r="J410" i="3"/>
  <c r="K410" i="3" s="1"/>
  <c r="M410" i="3"/>
  <c r="C411" i="3"/>
  <c r="Q408" i="3"/>
  <c r="E411" i="3"/>
  <c r="A412" i="3"/>
  <c r="D412" i="3" s="1"/>
  <c r="B411" i="3"/>
  <c r="H412" i="3" l="1"/>
  <c r="I412" i="3"/>
  <c r="N410" i="3"/>
  <c r="O410" i="3" s="1"/>
  <c r="P410" i="3" s="1"/>
  <c r="L411" i="3"/>
  <c r="F411" i="3"/>
  <c r="G411" i="3" s="1"/>
  <c r="C412" i="3"/>
  <c r="J411" i="3"/>
  <c r="K411" i="3" s="1"/>
  <c r="M411" i="3"/>
  <c r="Q409" i="3"/>
  <c r="E412" i="3"/>
  <c r="A413" i="3"/>
  <c r="D413" i="3" s="1"/>
  <c r="B412" i="3"/>
  <c r="H413" i="3" l="1"/>
  <c r="I413" i="3"/>
  <c r="F412" i="3"/>
  <c r="G412" i="3" s="1"/>
  <c r="N411" i="3"/>
  <c r="O411" i="3" s="1"/>
  <c r="P411" i="3" s="1"/>
  <c r="L412" i="3"/>
  <c r="C413" i="3"/>
  <c r="J412" i="3"/>
  <c r="K412" i="3" s="1"/>
  <c r="M412" i="3"/>
  <c r="Q410" i="3"/>
  <c r="E413" i="3"/>
  <c r="A414" i="3"/>
  <c r="D414" i="3" s="1"/>
  <c r="B413" i="3"/>
  <c r="H414" i="3" l="1"/>
  <c r="I414" i="3"/>
  <c r="N412" i="3"/>
  <c r="O412" i="3" s="1"/>
  <c r="P412" i="3" s="1"/>
  <c r="F413" i="3"/>
  <c r="G413" i="3" s="1"/>
  <c r="L413" i="3"/>
  <c r="C414" i="3"/>
  <c r="J413" i="3"/>
  <c r="K413" i="3" s="1"/>
  <c r="M413" i="3"/>
  <c r="Q411" i="3"/>
  <c r="E414" i="3"/>
  <c r="A415" i="3"/>
  <c r="D415" i="3" s="1"/>
  <c r="B414" i="3"/>
  <c r="H415" i="3" l="1"/>
  <c r="I415" i="3"/>
  <c r="F414" i="3"/>
  <c r="G414" i="3" s="1"/>
  <c r="N413" i="3"/>
  <c r="O413" i="3" s="1"/>
  <c r="P413" i="3" s="1"/>
  <c r="L414" i="3"/>
  <c r="C415" i="3"/>
  <c r="J414" i="3"/>
  <c r="K414" i="3" s="1"/>
  <c r="M414" i="3"/>
  <c r="Q412" i="3"/>
  <c r="E415" i="3"/>
  <c r="A416" i="3"/>
  <c r="D416" i="3" s="1"/>
  <c r="B415" i="3"/>
  <c r="H416" i="3" l="1"/>
  <c r="I416" i="3"/>
  <c r="F415" i="3"/>
  <c r="G415" i="3" s="1"/>
  <c r="N414" i="3"/>
  <c r="O414" i="3" s="1"/>
  <c r="P414" i="3" s="1"/>
  <c r="L415" i="3"/>
  <c r="C416" i="3"/>
  <c r="J415" i="3"/>
  <c r="K415" i="3" s="1"/>
  <c r="M415" i="3"/>
  <c r="Q413" i="3"/>
  <c r="E416" i="3"/>
  <c r="A417" i="3"/>
  <c r="D417" i="3" s="1"/>
  <c r="B416" i="3"/>
  <c r="H417" i="3" l="1"/>
  <c r="I417" i="3"/>
  <c r="F416" i="3"/>
  <c r="G416" i="3" s="1"/>
  <c r="N415" i="3"/>
  <c r="O415" i="3" s="1"/>
  <c r="P415" i="3" s="1"/>
  <c r="L416" i="3"/>
  <c r="C417" i="3"/>
  <c r="J416" i="3"/>
  <c r="K416" i="3" s="1"/>
  <c r="M416" i="3"/>
  <c r="Q414" i="3"/>
  <c r="E417" i="3"/>
  <c r="A418" i="3"/>
  <c r="D418" i="3" s="1"/>
  <c r="B417" i="3"/>
  <c r="I418" i="3" l="1"/>
  <c r="H418" i="3"/>
  <c r="N416" i="3"/>
  <c r="O416" i="3" s="1"/>
  <c r="P416" i="3" s="1"/>
  <c r="F417" i="3"/>
  <c r="G417" i="3" s="1"/>
  <c r="L417" i="3"/>
  <c r="C418" i="3"/>
  <c r="J417" i="3"/>
  <c r="K417" i="3" s="1"/>
  <c r="M417" i="3"/>
  <c r="Q415" i="3"/>
  <c r="E418" i="3"/>
  <c r="A419" i="3"/>
  <c r="D419" i="3" s="1"/>
  <c r="B418" i="3"/>
  <c r="H419" i="3" l="1"/>
  <c r="I419" i="3"/>
  <c r="N417" i="3"/>
  <c r="O417" i="3" s="1"/>
  <c r="P417" i="3" s="1"/>
  <c r="F418" i="3"/>
  <c r="G418" i="3" s="1"/>
  <c r="L418" i="3"/>
  <c r="C419" i="3"/>
  <c r="J418" i="3"/>
  <c r="K418" i="3" s="1"/>
  <c r="M418" i="3"/>
  <c r="Q416" i="3"/>
  <c r="E419" i="3"/>
  <c r="A420" i="3"/>
  <c r="D420" i="3" s="1"/>
  <c r="B419" i="3"/>
  <c r="H420" i="3" l="1"/>
  <c r="I420" i="3"/>
  <c r="N418" i="3"/>
  <c r="O418" i="3" s="1"/>
  <c r="P418" i="3" s="1"/>
  <c r="F419" i="3"/>
  <c r="G419" i="3" s="1"/>
  <c r="L419" i="3"/>
  <c r="C420" i="3"/>
  <c r="J419" i="3"/>
  <c r="K419" i="3" s="1"/>
  <c r="M419" i="3"/>
  <c r="Q417" i="3"/>
  <c r="E420" i="3"/>
  <c r="A421" i="3"/>
  <c r="D421" i="3" s="1"/>
  <c r="B420" i="3"/>
  <c r="H421" i="3" l="1"/>
  <c r="I421" i="3"/>
  <c r="N419" i="3"/>
  <c r="O419" i="3" s="1"/>
  <c r="P419" i="3" s="1"/>
  <c r="F420" i="3"/>
  <c r="G420" i="3" s="1"/>
  <c r="L420" i="3"/>
  <c r="C421" i="3"/>
  <c r="J420" i="3"/>
  <c r="K420" i="3" s="1"/>
  <c r="M420" i="3"/>
  <c r="Q418" i="3"/>
  <c r="E421" i="3"/>
  <c r="A422" i="3"/>
  <c r="D422" i="3" s="1"/>
  <c r="B421" i="3"/>
  <c r="H422" i="3" l="1"/>
  <c r="I422" i="3"/>
  <c r="F421" i="3"/>
  <c r="G421" i="3" s="1"/>
  <c r="N420" i="3"/>
  <c r="O420" i="3" s="1"/>
  <c r="P420" i="3" s="1"/>
  <c r="L421" i="3"/>
  <c r="C422" i="3"/>
  <c r="J421" i="3"/>
  <c r="K421" i="3" s="1"/>
  <c r="M421" i="3"/>
  <c r="Q419" i="3"/>
  <c r="E422" i="3"/>
  <c r="A423" i="3"/>
  <c r="D423" i="3" s="1"/>
  <c r="B422" i="3"/>
  <c r="H423" i="3" l="1"/>
  <c r="I423" i="3"/>
  <c r="L422" i="3"/>
  <c r="N421" i="3"/>
  <c r="O421" i="3" s="1"/>
  <c r="P421" i="3" s="1"/>
  <c r="F422" i="3"/>
  <c r="G422" i="3" s="1"/>
  <c r="C423" i="3"/>
  <c r="J422" i="3"/>
  <c r="K422" i="3" s="1"/>
  <c r="M422" i="3"/>
  <c r="Q420" i="3"/>
  <c r="E423" i="3"/>
  <c r="A424" i="3"/>
  <c r="D424" i="3" s="1"/>
  <c r="B423" i="3"/>
  <c r="H424" i="3" l="1"/>
  <c r="I424" i="3"/>
  <c r="N422" i="3"/>
  <c r="O422" i="3" s="1"/>
  <c r="P422" i="3" s="1"/>
  <c r="F423" i="3"/>
  <c r="G423" i="3" s="1"/>
  <c r="L423" i="3"/>
  <c r="C424" i="3"/>
  <c r="J423" i="3"/>
  <c r="K423" i="3" s="1"/>
  <c r="M423" i="3"/>
  <c r="Q421" i="3"/>
  <c r="E424" i="3"/>
  <c r="A425" i="3"/>
  <c r="D425" i="3" s="1"/>
  <c r="B424" i="3"/>
  <c r="H425" i="3" l="1"/>
  <c r="I425" i="3"/>
  <c r="N423" i="3"/>
  <c r="O423" i="3" s="1"/>
  <c r="P423" i="3" s="1"/>
  <c r="F424" i="3"/>
  <c r="G424" i="3" s="1"/>
  <c r="L424" i="3"/>
  <c r="C425" i="3"/>
  <c r="J424" i="3"/>
  <c r="K424" i="3" s="1"/>
  <c r="M424" i="3"/>
  <c r="Q422" i="3"/>
  <c r="E425" i="3"/>
  <c r="A426" i="3"/>
  <c r="D426" i="3" s="1"/>
  <c r="B425" i="3"/>
  <c r="H426" i="3" l="1"/>
  <c r="I426" i="3"/>
  <c r="F425" i="3"/>
  <c r="G425" i="3" s="1"/>
  <c r="N424" i="3"/>
  <c r="O424" i="3" s="1"/>
  <c r="P424" i="3" s="1"/>
  <c r="L425" i="3"/>
  <c r="C426" i="3"/>
  <c r="J425" i="3"/>
  <c r="K425" i="3" s="1"/>
  <c r="M425" i="3"/>
  <c r="Q423" i="3"/>
  <c r="E426" i="3"/>
  <c r="A427" i="3"/>
  <c r="D427" i="3" s="1"/>
  <c r="B426" i="3"/>
  <c r="H427" i="3" l="1"/>
  <c r="I427" i="3"/>
  <c r="F426" i="3"/>
  <c r="G426" i="3" s="1"/>
  <c r="N425" i="3"/>
  <c r="O425" i="3" s="1"/>
  <c r="P425" i="3" s="1"/>
  <c r="L426" i="3"/>
  <c r="C427" i="3"/>
  <c r="J426" i="3"/>
  <c r="K426" i="3" s="1"/>
  <c r="M426" i="3"/>
  <c r="Q424" i="3"/>
  <c r="E427" i="3"/>
  <c r="A428" i="3"/>
  <c r="D428" i="3" s="1"/>
  <c r="B427" i="3"/>
  <c r="H428" i="3" l="1"/>
  <c r="I428" i="3"/>
  <c r="F427" i="3"/>
  <c r="G427" i="3" s="1"/>
  <c r="N426" i="3"/>
  <c r="O426" i="3" s="1"/>
  <c r="P426" i="3" s="1"/>
  <c r="L427" i="3"/>
  <c r="C428" i="3"/>
  <c r="J427" i="3"/>
  <c r="K427" i="3" s="1"/>
  <c r="M427" i="3"/>
  <c r="Q425" i="3"/>
  <c r="E428" i="3"/>
  <c r="A429" i="3"/>
  <c r="D429" i="3" s="1"/>
  <c r="B428" i="3"/>
  <c r="H429" i="3" l="1"/>
  <c r="I429" i="3"/>
  <c r="F428" i="3"/>
  <c r="G428" i="3" s="1"/>
  <c r="N427" i="3"/>
  <c r="O427" i="3" s="1"/>
  <c r="P427" i="3" s="1"/>
  <c r="L428" i="3"/>
  <c r="C429" i="3"/>
  <c r="J428" i="3"/>
  <c r="K428" i="3" s="1"/>
  <c r="M428" i="3"/>
  <c r="Q426" i="3"/>
  <c r="E429" i="3"/>
  <c r="A430" i="3"/>
  <c r="D430" i="3" s="1"/>
  <c r="B429" i="3"/>
  <c r="H430" i="3" l="1"/>
  <c r="I430" i="3"/>
  <c r="F429" i="3"/>
  <c r="G429" i="3" s="1"/>
  <c r="N428" i="3"/>
  <c r="O428" i="3" s="1"/>
  <c r="P428" i="3" s="1"/>
  <c r="L429" i="3"/>
  <c r="C430" i="3"/>
  <c r="J429" i="3"/>
  <c r="K429" i="3" s="1"/>
  <c r="M429" i="3"/>
  <c r="Q427" i="3"/>
  <c r="E430" i="3"/>
  <c r="A431" i="3"/>
  <c r="D431" i="3" s="1"/>
  <c r="B430" i="3"/>
  <c r="H431" i="3" l="1"/>
  <c r="I431" i="3"/>
  <c r="F430" i="3"/>
  <c r="G430" i="3" s="1"/>
  <c r="N429" i="3"/>
  <c r="O429" i="3" s="1"/>
  <c r="P429" i="3" s="1"/>
  <c r="L430" i="3"/>
  <c r="C431" i="3"/>
  <c r="J430" i="3"/>
  <c r="K430" i="3" s="1"/>
  <c r="M430" i="3"/>
  <c r="Q428" i="3"/>
  <c r="E431" i="3"/>
  <c r="A432" i="3"/>
  <c r="D432" i="3" s="1"/>
  <c r="B431" i="3"/>
  <c r="H432" i="3" l="1"/>
  <c r="I432" i="3"/>
  <c r="N430" i="3"/>
  <c r="O430" i="3" s="1"/>
  <c r="P430" i="3" s="1"/>
  <c r="L431" i="3"/>
  <c r="F431" i="3"/>
  <c r="G431" i="3" s="1"/>
  <c r="C432" i="3"/>
  <c r="J431" i="3"/>
  <c r="K431" i="3" s="1"/>
  <c r="M431" i="3"/>
  <c r="Q429" i="3"/>
  <c r="E432" i="3"/>
  <c r="A433" i="3"/>
  <c r="D433" i="3" s="1"/>
  <c r="B432" i="3"/>
  <c r="H433" i="3" l="1"/>
  <c r="I433" i="3"/>
  <c r="F432" i="3"/>
  <c r="G432" i="3" s="1"/>
  <c r="N431" i="3"/>
  <c r="O431" i="3" s="1"/>
  <c r="P431" i="3" s="1"/>
  <c r="L432" i="3"/>
  <c r="C433" i="3"/>
  <c r="J432" i="3"/>
  <c r="K432" i="3" s="1"/>
  <c r="M432" i="3"/>
  <c r="Q430" i="3"/>
  <c r="E433" i="3"/>
  <c r="A434" i="3"/>
  <c r="D434" i="3" s="1"/>
  <c r="B433" i="3"/>
  <c r="H434" i="3" l="1"/>
  <c r="I434" i="3"/>
  <c r="F433" i="3"/>
  <c r="G433" i="3" s="1"/>
  <c r="N432" i="3"/>
  <c r="O432" i="3" s="1"/>
  <c r="P432" i="3" s="1"/>
  <c r="L433" i="3"/>
  <c r="C434" i="3"/>
  <c r="J433" i="3"/>
  <c r="K433" i="3" s="1"/>
  <c r="M433" i="3"/>
  <c r="Q431" i="3"/>
  <c r="E434" i="3"/>
  <c r="A435" i="3"/>
  <c r="D435" i="3" s="1"/>
  <c r="B434" i="3"/>
  <c r="H435" i="3" l="1"/>
  <c r="I435" i="3"/>
  <c r="N433" i="3"/>
  <c r="O433" i="3" s="1"/>
  <c r="P433" i="3" s="1"/>
  <c r="F434" i="3"/>
  <c r="G434" i="3" s="1"/>
  <c r="L434" i="3"/>
  <c r="C435" i="3"/>
  <c r="J434" i="3"/>
  <c r="K434" i="3" s="1"/>
  <c r="M434" i="3"/>
  <c r="Q432" i="3"/>
  <c r="E435" i="3"/>
  <c r="A436" i="3"/>
  <c r="D436" i="3" s="1"/>
  <c r="B435" i="3"/>
  <c r="H436" i="3" l="1"/>
  <c r="I436" i="3"/>
  <c r="F435" i="3"/>
  <c r="G435" i="3" s="1"/>
  <c r="N434" i="3"/>
  <c r="O434" i="3" s="1"/>
  <c r="P434" i="3" s="1"/>
  <c r="L435" i="3"/>
  <c r="C436" i="3"/>
  <c r="J435" i="3"/>
  <c r="K435" i="3" s="1"/>
  <c r="M435" i="3"/>
  <c r="Q433" i="3"/>
  <c r="E436" i="3"/>
  <c r="A437" i="3"/>
  <c r="D437" i="3" s="1"/>
  <c r="B436" i="3"/>
  <c r="H437" i="3" l="1"/>
  <c r="I437" i="3"/>
  <c r="F436" i="3"/>
  <c r="G436" i="3" s="1"/>
  <c r="N435" i="3"/>
  <c r="O435" i="3" s="1"/>
  <c r="P435" i="3" s="1"/>
  <c r="L436" i="3"/>
  <c r="C437" i="3"/>
  <c r="J436" i="3"/>
  <c r="K436" i="3" s="1"/>
  <c r="M436" i="3"/>
  <c r="Q434" i="3"/>
  <c r="E437" i="3"/>
  <c r="A438" i="3"/>
  <c r="D438" i="3" s="1"/>
  <c r="B437" i="3"/>
  <c r="I438" i="3" l="1"/>
  <c r="H438" i="3"/>
  <c r="F437" i="3"/>
  <c r="G437" i="3" s="1"/>
  <c r="N436" i="3"/>
  <c r="O436" i="3" s="1"/>
  <c r="P436" i="3" s="1"/>
  <c r="L437" i="3"/>
  <c r="C438" i="3"/>
  <c r="J437" i="3"/>
  <c r="K437" i="3" s="1"/>
  <c r="M437" i="3"/>
  <c r="Q435" i="3"/>
  <c r="E438" i="3"/>
  <c r="A439" i="3"/>
  <c r="D439" i="3" s="1"/>
  <c r="B438" i="3"/>
  <c r="H439" i="3" l="1"/>
  <c r="I439" i="3"/>
  <c r="N437" i="3"/>
  <c r="O437" i="3" s="1"/>
  <c r="P437" i="3" s="1"/>
  <c r="F438" i="3"/>
  <c r="G438" i="3" s="1"/>
  <c r="L438" i="3"/>
  <c r="C439" i="3"/>
  <c r="J438" i="3"/>
  <c r="K438" i="3" s="1"/>
  <c r="M438" i="3"/>
  <c r="Q436" i="3"/>
  <c r="E439" i="3"/>
  <c r="A440" i="3"/>
  <c r="D440" i="3" s="1"/>
  <c r="B439" i="3"/>
  <c r="H440" i="3" l="1"/>
  <c r="I440" i="3"/>
  <c r="F439" i="3"/>
  <c r="G439" i="3" s="1"/>
  <c r="N438" i="3"/>
  <c r="O438" i="3" s="1"/>
  <c r="P438" i="3" s="1"/>
  <c r="L439" i="3"/>
  <c r="C440" i="3"/>
  <c r="J439" i="3"/>
  <c r="K439" i="3" s="1"/>
  <c r="M439" i="3"/>
  <c r="Q437" i="3"/>
  <c r="E440" i="3"/>
  <c r="A441" i="3"/>
  <c r="D441" i="3" s="1"/>
  <c r="B440" i="3"/>
  <c r="H441" i="3" l="1"/>
  <c r="I441" i="3"/>
  <c r="L440" i="3"/>
  <c r="N439" i="3"/>
  <c r="O439" i="3" s="1"/>
  <c r="P439" i="3" s="1"/>
  <c r="F440" i="3"/>
  <c r="G440" i="3" s="1"/>
  <c r="C441" i="3"/>
  <c r="J440" i="3"/>
  <c r="K440" i="3" s="1"/>
  <c r="M440" i="3"/>
  <c r="Q438" i="3"/>
  <c r="E441" i="3"/>
  <c r="A442" i="3"/>
  <c r="D442" i="3" s="1"/>
  <c r="B441" i="3"/>
  <c r="H442" i="3" l="1"/>
  <c r="I442" i="3"/>
  <c r="F441" i="3"/>
  <c r="G441" i="3" s="1"/>
  <c r="N440" i="3"/>
  <c r="O440" i="3" s="1"/>
  <c r="P440" i="3" s="1"/>
  <c r="L441" i="3"/>
  <c r="C442" i="3"/>
  <c r="J441" i="3"/>
  <c r="K441" i="3" s="1"/>
  <c r="M441" i="3"/>
  <c r="Q439" i="3"/>
  <c r="E442" i="3"/>
  <c r="A443" i="3"/>
  <c r="D443" i="3" s="1"/>
  <c r="B442" i="3"/>
  <c r="H443" i="3" l="1"/>
  <c r="I443" i="3"/>
  <c r="L442" i="3"/>
  <c r="N441" i="3"/>
  <c r="O441" i="3" s="1"/>
  <c r="P441" i="3" s="1"/>
  <c r="F442" i="3"/>
  <c r="G442" i="3" s="1"/>
  <c r="C443" i="3"/>
  <c r="J442" i="3"/>
  <c r="K442" i="3" s="1"/>
  <c r="M442" i="3"/>
  <c r="Q440" i="3"/>
  <c r="E443" i="3"/>
  <c r="A444" i="3"/>
  <c r="D444" i="3" s="1"/>
  <c r="B443" i="3"/>
  <c r="H444" i="3" l="1"/>
  <c r="I444" i="3"/>
  <c r="F443" i="3"/>
  <c r="G443" i="3" s="1"/>
  <c r="N442" i="3"/>
  <c r="O442" i="3" s="1"/>
  <c r="P442" i="3" s="1"/>
  <c r="L443" i="3"/>
  <c r="C444" i="3"/>
  <c r="J443" i="3"/>
  <c r="K443" i="3" s="1"/>
  <c r="M443" i="3"/>
  <c r="Q441" i="3"/>
  <c r="E444" i="3"/>
  <c r="A445" i="3"/>
  <c r="D445" i="3" s="1"/>
  <c r="B444" i="3"/>
  <c r="H445" i="3" l="1"/>
  <c r="I445" i="3"/>
  <c r="F444" i="3"/>
  <c r="G444" i="3" s="1"/>
  <c r="N443" i="3"/>
  <c r="O443" i="3" s="1"/>
  <c r="P443" i="3" s="1"/>
  <c r="L444" i="3"/>
  <c r="C445" i="3"/>
  <c r="J444" i="3"/>
  <c r="K444" i="3" s="1"/>
  <c r="M444" i="3"/>
  <c r="Q442" i="3"/>
  <c r="E445" i="3"/>
  <c r="A446" i="3"/>
  <c r="D446" i="3" s="1"/>
  <c r="B445" i="3"/>
  <c r="H446" i="3" l="1"/>
  <c r="I446" i="3"/>
  <c r="L445" i="3"/>
  <c r="N444" i="3"/>
  <c r="O444" i="3" s="1"/>
  <c r="P444" i="3" s="1"/>
  <c r="F445" i="3"/>
  <c r="G445" i="3" s="1"/>
  <c r="C446" i="3"/>
  <c r="J445" i="3"/>
  <c r="K445" i="3" s="1"/>
  <c r="M445" i="3"/>
  <c r="Q443" i="3"/>
  <c r="E446" i="3"/>
  <c r="A447" i="3"/>
  <c r="D447" i="3" s="1"/>
  <c r="B446" i="3"/>
  <c r="H447" i="3" l="1"/>
  <c r="I447" i="3"/>
  <c r="F446" i="3"/>
  <c r="G446" i="3" s="1"/>
  <c r="N445" i="3"/>
  <c r="O445" i="3" s="1"/>
  <c r="P445" i="3" s="1"/>
  <c r="L446" i="3"/>
  <c r="C447" i="3"/>
  <c r="J446" i="3"/>
  <c r="K446" i="3" s="1"/>
  <c r="M446" i="3"/>
  <c r="Q444" i="3"/>
  <c r="E447" i="3"/>
  <c r="A448" i="3"/>
  <c r="D448" i="3" s="1"/>
  <c r="B447" i="3"/>
  <c r="H448" i="3" l="1"/>
  <c r="I448" i="3"/>
  <c r="F447" i="3"/>
  <c r="G447" i="3" s="1"/>
  <c r="N446" i="3"/>
  <c r="O446" i="3" s="1"/>
  <c r="P446" i="3" s="1"/>
  <c r="L447" i="3"/>
  <c r="C448" i="3"/>
  <c r="J447" i="3"/>
  <c r="K447" i="3" s="1"/>
  <c r="M447" i="3"/>
  <c r="Q445" i="3"/>
  <c r="E448" i="3"/>
  <c r="A449" i="3"/>
  <c r="D449" i="3" s="1"/>
  <c r="B448" i="3"/>
  <c r="H449" i="3" l="1"/>
  <c r="I449" i="3"/>
  <c r="F448" i="3"/>
  <c r="G448" i="3" s="1"/>
  <c r="N447" i="3"/>
  <c r="O447" i="3" s="1"/>
  <c r="P447" i="3" s="1"/>
  <c r="L448" i="3"/>
  <c r="C449" i="3"/>
  <c r="J448" i="3"/>
  <c r="K448" i="3" s="1"/>
  <c r="M448" i="3"/>
  <c r="Q446" i="3"/>
  <c r="E449" i="3"/>
  <c r="A450" i="3"/>
  <c r="D450" i="3" s="1"/>
  <c r="B449" i="3"/>
  <c r="H450" i="3" l="1"/>
  <c r="I450" i="3"/>
  <c r="N448" i="3"/>
  <c r="O448" i="3" s="1"/>
  <c r="P448" i="3" s="1"/>
  <c r="F449" i="3"/>
  <c r="G449" i="3" s="1"/>
  <c r="L449" i="3"/>
  <c r="C450" i="3"/>
  <c r="J449" i="3"/>
  <c r="K449" i="3" s="1"/>
  <c r="M449" i="3"/>
  <c r="Q447" i="3"/>
  <c r="E450" i="3"/>
  <c r="A451" i="3"/>
  <c r="D451" i="3" s="1"/>
  <c r="B450" i="3"/>
  <c r="H451" i="3" l="1"/>
  <c r="I451" i="3"/>
  <c r="F450" i="3"/>
  <c r="G450" i="3" s="1"/>
  <c r="N449" i="3"/>
  <c r="O449" i="3" s="1"/>
  <c r="P449" i="3" s="1"/>
  <c r="L450" i="3"/>
  <c r="C451" i="3"/>
  <c r="J450" i="3"/>
  <c r="K450" i="3" s="1"/>
  <c r="M450" i="3"/>
  <c r="Q448" i="3"/>
  <c r="E451" i="3"/>
  <c r="A452" i="3"/>
  <c r="D452" i="3" s="1"/>
  <c r="B451" i="3"/>
  <c r="H452" i="3" l="1"/>
  <c r="I452" i="3"/>
  <c r="F451" i="3"/>
  <c r="G451" i="3" s="1"/>
  <c r="N450" i="3"/>
  <c r="O450" i="3" s="1"/>
  <c r="P450" i="3" s="1"/>
  <c r="L451" i="3"/>
  <c r="C452" i="3"/>
  <c r="J451" i="3"/>
  <c r="K451" i="3" s="1"/>
  <c r="M451" i="3"/>
  <c r="Q449" i="3"/>
  <c r="E452" i="3"/>
  <c r="A453" i="3"/>
  <c r="D453" i="3" s="1"/>
  <c r="B452" i="3"/>
  <c r="H453" i="3" l="1"/>
  <c r="I453" i="3"/>
  <c r="N451" i="3"/>
  <c r="O451" i="3" s="1"/>
  <c r="P451" i="3" s="1"/>
  <c r="L452" i="3"/>
  <c r="F452" i="3"/>
  <c r="G452" i="3" s="1"/>
  <c r="C453" i="3"/>
  <c r="J452" i="3"/>
  <c r="K452" i="3" s="1"/>
  <c r="M452" i="3"/>
  <c r="Q450" i="3"/>
  <c r="E453" i="3"/>
  <c r="A454" i="3"/>
  <c r="D454" i="3" s="1"/>
  <c r="B453" i="3"/>
  <c r="H454" i="3" l="1"/>
  <c r="I454" i="3"/>
  <c r="F453" i="3"/>
  <c r="G453" i="3" s="1"/>
  <c r="N452" i="3"/>
  <c r="O452" i="3" s="1"/>
  <c r="P452" i="3" s="1"/>
  <c r="L453" i="3"/>
  <c r="C454" i="3"/>
  <c r="J453" i="3"/>
  <c r="K453" i="3" s="1"/>
  <c r="M453" i="3"/>
  <c r="Q451" i="3"/>
  <c r="E454" i="3"/>
  <c r="A455" i="3"/>
  <c r="D455" i="3" s="1"/>
  <c r="B454" i="3"/>
  <c r="H455" i="3" l="1"/>
  <c r="I455" i="3"/>
  <c r="F454" i="3"/>
  <c r="G454" i="3" s="1"/>
  <c r="N453" i="3"/>
  <c r="O453" i="3" s="1"/>
  <c r="P453" i="3" s="1"/>
  <c r="L454" i="3"/>
  <c r="C455" i="3"/>
  <c r="J454" i="3"/>
  <c r="K454" i="3" s="1"/>
  <c r="M454" i="3"/>
  <c r="Q452" i="3"/>
  <c r="E455" i="3"/>
  <c r="A456" i="3"/>
  <c r="D456" i="3" s="1"/>
  <c r="B455" i="3"/>
  <c r="H456" i="3" l="1"/>
  <c r="I456" i="3"/>
  <c r="F455" i="3"/>
  <c r="G455" i="3" s="1"/>
  <c r="N454" i="3"/>
  <c r="O454" i="3" s="1"/>
  <c r="P454" i="3" s="1"/>
  <c r="L455" i="3"/>
  <c r="C456" i="3"/>
  <c r="J455" i="3"/>
  <c r="K455" i="3" s="1"/>
  <c r="M455" i="3"/>
  <c r="Q453" i="3"/>
  <c r="E456" i="3"/>
  <c r="A457" i="3"/>
  <c r="D457" i="3" s="1"/>
  <c r="B456" i="3"/>
  <c r="H457" i="3" l="1"/>
  <c r="I457" i="3"/>
  <c r="N455" i="3"/>
  <c r="O455" i="3" s="1"/>
  <c r="P455" i="3" s="1"/>
  <c r="F456" i="3"/>
  <c r="G456" i="3" s="1"/>
  <c r="L456" i="3"/>
  <c r="C457" i="3"/>
  <c r="J456" i="3"/>
  <c r="K456" i="3" s="1"/>
  <c r="M456" i="3"/>
  <c r="Q454" i="3"/>
  <c r="E457" i="3"/>
  <c r="A458" i="3"/>
  <c r="D458" i="3" s="1"/>
  <c r="B457" i="3"/>
  <c r="H458" i="3" l="1"/>
  <c r="I458" i="3"/>
  <c r="N456" i="3"/>
  <c r="O456" i="3" s="1"/>
  <c r="P456" i="3" s="1"/>
  <c r="F457" i="3"/>
  <c r="G457" i="3" s="1"/>
  <c r="L457" i="3"/>
  <c r="C458" i="3"/>
  <c r="J457" i="3"/>
  <c r="K457" i="3" s="1"/>
  <c r="M457" i="3"/>
  <c r="Q455" i="3"/>
  <c r="E458" i="3"/>
  <c r="A459" i="3"/>
  <c r="D459" i="3" s="1"/>
  <c r="B458" i="3"/>
  <c r="H459" i="3" l="1"/>
  <c r="I459" i="3"/>
  <c r="N457" i="3"/>
  <c r="O457" i="3" s="1"/>
  <c r="P457" i="3" s="1"/>
  <c r="F458" i="3"/>
  <c r="G458" i="3" s="1"/>
  <c r="L458" i="3"/>
  <c r="C459" i="3"/>
  <c r="J458" i="3"/>
  <c r="K458" i="3" s="1"/>
  <c r="M458" i="3"/>
  <c r="Q456" i="3"/>
  <c r="E459" i="3"/>
  <c r="A460" i="3"/>
  <c r="D460" i="3" s="1"/>
  <c r="B459" i="3"/>
  <c r="H460" i="3" l="1"/>
  <c r="I460" i="3"/>
  <c r="F459" i="3"/>
  <c r="G459" i="3" s="1"/>
  <c r="N458" i="3"/>
  <c r="O458" i="3" s="1"/>
  <c r="P458" i="3" s="1"/>
  <c r="L459" i="3"/>
  <c r="C460" i="3"/>
  <c r="J459" i="3"/>
  <c r="K459" i="3" s="1"/>
  <c r="M459" i="3"/>
  <c r="Q457" i="3"/>
  <c r="E460" i="3"/>
  <c r="A461" i="3"/>
  <c r="D461" i="3" s="1"/>
  <c r="B460" i="3"/>
  <c r="H461" i="3" l="1"/>
  <c r="I461" i="3"/>
  <c r="N459" i="3"/>
  <c r="O459" i="3" s="1"/>
  <c r="P459" i="3" s="1"/>
  <c r="F460" i="3"/>
  <c r="G460" i="3" s="1"/>
  <c r="L460" i="3"/>
  <c r="C461" i="3"/>
  <c r="J460" i="3"/>
  <c r="K460" i="3" s="1"/>
  <c r="M460" i="3"/>
  <c r="Q458" i="3"/>
  <c r="E461" i="3"/>
  <c r="A462" i="3"/>
  <c r="D462" i="3" s="1"/>
  <c r="B461" i="3"/>
  <c r="H462" i="3" l="1"/>
  <c r="I462" i="3"/>
  <c r="F461" i="3"/>
  <c r="G461" i="3" s="1"/>
  <c r="N460" i="3"/>
  <c r="O460" i="3" s="1"/>
  <c r="P460" i="3" s="1"/>
  <c r="L461" i="3"/>
  <c r="J461" i="3"/>
  <c r="K461" i="3" s="1"/>
  <c r="M461" i="3"/>
  <c r="C462" i="3"/>
  <c r="Q459" i="3"/>
  <c r="E462" i="3"/>
  <c r="A463" i="3"/>
  <c r="D463" i="3" s="1"/>
  <c r="B462" i="3"/>
  <c r="H463" i="3" l="1"/>
  <c r="I463" i="3"/>
  <c r="N461" i="3"/>
  <c r="O461" i="3" s="1"/>
  <c r="P461" i="3" s="1"/>
  <c r="L462" i="3"/>
  <c r="F462" i="3"/>
  <c r="G462" i="3" s="1"/>
  <c r="J462" i="3"/>
  <c r="K462" i="3" s="1"/>
  <c r="M462" i="3"/>
  <c r="C463" i="3"/>
  <c r="Q460" i="3"/>
  <c r="E463" i="3"/>
  <c r="A464" i="3"/>
  <c r="D464" i="3" s="1"/>
  <c r="B463" i="3"/>
  <c r="H464" i="3" l="1"/>
  <c r="I464" i="3"/>
  <c r="N462" i="3"/>
  <c r="O462" i="3" s="1"/>
  <c r="P462" i="3" s="1"/>
  <c r="F463" i="3"/>
  <c r="G463" i="3" s="1"/>
  <c r="L463" i="3"/>
  <c r="J463" i="3"/>
  <c r="K463" i="3" s="1"/>
  <c r="M463" i="3"/>
  <c r="C464" i="3"/>
  <c r="Q461" i="3"/>
  <c r="E464" i="3"/>
  <c r="A465" i="3"/>
  <c r="D465" i="3" s="1"/>
  <c r="B464" i="3"/>
  <c r="H465" i="3" l="1"/>
  <c r="I465" i="3"/>
  <c r="N463" i="3"/>
  <c r="O463" i="3" s="1"/>
  <c r="P463" i="3" s="1"/>
  <c r="F464" i="3"/>
  <c r="G464" i="3" s="1"/>
  <c r="L464" i="3"/>
  <c r="C465" i="3"/>
  <c r="J464" i="3"/>
  <c r="K464" i="3" s="1"/>
  <c r="M464" i="3"/>
  <c r="Q462" i="3"/>
  <c r="E465" i="3"/>
  <c r="A466" i="3"/>
  <c r="D466" i="3" s="1"/>
  <c r="B465" i="3"/>
  <c r="H466" i="3" l="1"/>
  <c r="I466" i="3"/>
  <c r="F465" i="3"/>
  <c r="G465" i="3" s="1"/>
  <c r="N464" i="3"/>
  <c r="O464" i="3" s="1"/>
  <c r="P464" i="3" s="1"/>
  <c r="L465" i="3"/>
  <c r="J465" i="3"/>
  <c r="K465" i="3" s="1"/>
  <c r="M465" i="3"/>
  <c r="C466" i="3"/>
  <c r="Q463" i="3"/>
  <c r="E466" i="3"/>
  <c r="A467" i="3"/>
  <c r="D467" i="3" s="1"/>
  <c r="B466" i="3"/>
  <c r="H467" i="3" l="1"/>
  <c r="I467" i="3"/>
  <c r="N465" i="3"/>
  <c r="O465" i="3" s="1"/>
  <c r="P465" i="3" s="1"/>
  <c r="L466" i="3"/>
  <c r="F466" i="3"/>
  <c r="G466" i="3" s="1"/>
  <c r="J466" i="3"/>
  <c r="K466" i="3" s="1"/>
  <c r="M466" i="3"/>
  <c r="C467" i="3"/>
  <c r="Q464" i="3"/>
  <c r="E467" i="3"/>
  <c r="A468" i="3"/>
  <c r="D468" i="3" s="1"/>
  <c r="B467" i="3"/>
  <c r="H468" i="3" l="1"/>
  <c r="I468" i="3"/>
  <c r="N466" i="3"/>
  <c r="O466" i="3" s="1"/>
  <c r="P466" i="3" s="1"/>
  <c r="L467" i="3"/>
  <c r="F467" i="3"/>
  <c r="G467" i="3" s="1"/>
  <c r="J467" i="3"/>
  <c r="K467" i="3" s="1"/>
  <c r="M467" i="3"/>
  <c r="C468" i="3"/>
  <c r="Q465" i="3"/>
  <c r="E468" i="3"/>
  <c r="A469" i="3"/>
  <c r="D469" i="3" s="1"/>
  <c r="B468" i="3"/>
  <c r="H469" i="3" l="1"/>
  <c r="I469" i="3"/>
  <c r="N467" i="3"/>
  <c r="O467" i="3" s="1"/>
  <c r="P467" i="3" s="1"/>
  <c r="L468" i="3"/>
  <c r="F468" i="3"/>
  <c r="G468" i="3" s="1"/>
  <c r="J468" i="3"/>
  <c r="K468" i="3" s="1"/>
  <c r="M468" i="3"/>
  <c r="C469" i="3"/>
  <c r="Q466" i="3"/>
  <c r="E469" i="3"/>
  <c r="A470" i="3"/>
  <c r="D470" i="3" s="1"/>
  <c r="B469" i="3"/>
  <c r="H470" i="3" l="1"/>
  <c r="I470" i="3"/>
  <c r="N468" i="3"/>
  <c r="O468" i="3" s="1"/>
  <c r="P468" i="3" s="1"/>
  <c r="L469" i="3"/>
  <c r="F469" i="3"/>
  <c r="G469" i="3" s="1"/>
  <c r="C470" i="3"/>
  <c r="J469" i="3"/>
  <c r="K469" i="3" s="1"/>
  <c r="M469" i="3"/>
  <c r="Q467" i="3"/>
  <c r="E470" i="3"/>
  <c r="A471" i="3"/>
  <c r="D471" i="3" s="1"/>
  <c r="B470" i="3"/>
  <c r="I471" i="3" l="1"/>
  <c r="H471" i="3"/>
  <c r="F470" i="3"/>
  <c r="G470" i="3" s="1"/>
  <c r="N469" i="3"/>
  <c r="O469" i="3" s="1"/>
  <c r="P469" i="3" s="1"/>
  <c r="L470" i="3"/>
  <c r="C471" i="3"/>
  <c r="J470" i="3"/>
  <c r="K470" i="3" s="1"/>
  <c r="M470" i="3"/>
  <c r="Q468" i="3"/>
  <c r="E471" i="3"/>
  <c r="A472" i="3"/>
  <c r="D472" i="3" s="1"/>
  <c r="B471" i="3"/>
  <c r="H472" i="3" l="1"/>
  <c r="I472" i="3"/>
  <c r="N470" i="3"/>
  <c r="O470" i="3" s="1"/>
  <c r="P470" i="3" s="1"/>
  <c r="F471" i="3"/>
  <c r="G471" i="3" s="1"/>
  <c r="L471" i="3"/>
  <c r="J471" i="3"/>
  <c r="K471" i="3" s="1"/>
  <c r="M471" i="3"/>
  <c r="C472" i="3"/>
  <c r="Q469" i="3"/>
  <c r="E472" i="3"/>
  <c r="A473" i="3"/>
  <c r="D473" i="3" s="1"/>
  <c r="B472" i="3"/>
  <c r="H473" i="3" l="1"/>
  <c r="I473" i="3"/>
  <c r="N471" i="3"/>
  <c r="O471" i="3" s="1"/>
  <c r="P471" i="3" s="1"/>
  <c r="F472" i="3"/>
  <c r="G472" i="3" s="1"/>
  <c r="L472" i="3"/>
  <c r="J472" i="3"/>
  <c r="K472" i="3" s="1"/>
  <c r="M472" i="3"/>
  <c r="C473" i="3"/>
  <c r="Q470" i="3"/>
  <c r="E473" i="3"/>
  <c r="A474" i="3"/>
  <c r="D474" i="3" s="1"/>
  <c r="B473" i="3"/>
  <c r="H474" i="3" l="1"/>
  <c r="I474" i="3"/>
  <c r="N472" i="3"/>
  <c r="O472" i="3" s="1"/>
  <c r="P472" i="3" s="1"/>
  <c r="F473" i="3"/>
  <c r="G473" i="3" s="1"/>
  <c r="J473" i="3"/>
  <c r="K473" i="3" s="1"/>
  <c r="M473" i="3"/>
  <c r="L473" i="3"/>
  <c r="C474" i="3"/>
  <c r="Q471" i="3"/>
  <c r="E474" i="3"/>
  <c r="A475" i="3"/>
  <c r="D475" i="3" s="1"/>
  <c r="B474" i="3"/>
  <c r="H475" i="3" l="1"/>
  <c r="I475" i="3"/>
  <c r="F474" i="3"/>
  <c r="G474" i="3" s="1"/>
  <c r="L474" i="3"/>
  <c r="N473" i="3"/>
  <c r="O473" i="3" s="1"/>
  <c r="P473" i="3" s="1"/>
  <c r="C475" i="3"/>
  <c r="J474" i="3"/>
  <c r="K474" i="3" s="1"/>
  <c r="M474" i="3"/>
  <c r="Q472" i="3"/>
  <c r="E475" i="3"/>
  <c r="A476" i="3"/>
  <c r="D476" i="3" s="1"/>
  <c r="B475" i="3"/>
  <c r="H476" i="3" l="1"/>
  <c r="I476" i="3"/>
  <c r="F475" i="3"/>
  <c r="G475" i="3" s="1"/>
  <c r="N474" i="3"/>
  <c r="O474" i="3" s="1"/>
  <c r="P474" i="3" s="1"/>
  <c r="L475" i="3"/>
  <c r="C476" i="3"/>
  <c r="J475" i="3"/>
  <c r="K475" i="3" s="1"/>
  <c r="M475" i="3"/>
  <c r="Q473" i="3"/>
  <c r="E476" i="3"/>
  <c r="A477" i="3"/>
  <c r="D477" i="3" s="1"/>
  <c r="B476" i="3"/>
  <c r="H477" i="3" l="1"/>
  <c r="I477" i="3"/>
  <c r="F476" i="3"/>
  <c r="G476" i="3" s="1"/>
  <c r="N475" i="3"/>
  <c r="O475" i="3" s="1"/>
  <c r="P475" i="3" s="1"/>
  <c r="L476" i="3"/>
  <c r="J476" i="3"/>
  <c r="K476" i="3" s="1"/>
  <c r="M476" i="3"/>
  <c r="C477" i="3"/>
  <c r="Q474" i="3"/>
  <c r="E477" i="3"/>
  <c r="A478" i="3"/>
  <c r="D478" i="3" s="1"/>
  <c r="B477" i="3"/>
  <c r="H478" i="3" l="1"/>
  <c r="I478" i="3"/>
  <c r="N476" i="3"/>
  <c r="O476" i="3" s="1"/>
  <c r="P476" i="3" s="1"/>
  <c r="F477" i="3"/>
  <c r="G477" i="3" s="1"/>
  <c r="J477" i="3"/>
  <c r="K477" i="3" s="1"/>
  <c r="M477" i="3"/>
  <c r="L477" i="3"/>
  <c r="C478" i="3"/>
  <c r="Q475" i="3"/>
  <c r="E478" i="3"/>
  <c r="A479" i="3"/>
  <c r="D479" i="3" s="1"/>
  <c r="B478" i="3"/>
  <c r="H479" i="3" l="1"/>
  <c r="I479" i="3"/>
  <c r="F478" i="3"/>
  <c r="G478" i="3" s="1"/>
  <c r="N477" i="3"/>
  <c r="O477" i="3" s="1"/>
  <c r="P477" i="3" s="1"/>
  <c r="L478" i="3"/>
  <c r="C479" i="3"/>
  <c r="J478" i="3"/>
  <c r="K478" i="3" s="1"/>
  <c r="M478" i="3"/>
  <c r="Q476" i="3"/>
  <c r="E479" i="3"/>
  <c r="A480" i="3"/>
  <c r="D480" i="3" s="1"/>
  <c r="B479" i="3"/>
  <c r="H480" i="3" l="1"/>
  <c r="I480" i="3"/>
  <c r="N478" i="3"/>
  <c r="O478" i="3" s="1"/>
  <c r="P478" i="3" s="1"/>
  <c r="L479" i="3"/>
  <c r="F479" i="3"/>
  <c r="G479" i="3" s="1"/>
  <c r="J479" i="3"/>
  <c r="K479" i="3" s="1"/>
  <c r="M479" i="3"/>
  <c r="C480" i="3"/>
  <c r="Q477" i="3"/>
  <c r="E480" i="3"/>
  <c r="A481" i="3"/>
  <c r="D481" i="3" s="1"/>
  <c r="B480" i="3"/>
  <c r="H481" i="3" l="1"/>
  <c r="I481" i="3"/>
  <c r="N479" i="3"/>
  <c r="O479" i="3" s="1"/>
  <c r="P479" i="3" s="1"/>
  <c r="F480" i="3"/>
  <c r="G480" i="3" s="1"/>
  <c r="L480" i="3"/>
  <c r="J480" i="3"/>
  <c r="K480" i="3" s="1"/>
  <c r="M480" i="3"/>
  <c r="C481" i="3"/>
  <c r="Q478" i="3"/>
  <c r="E481" i="3"/>
  <c r="A482" i="3"/>
  <c r="D482" i="3" s="1"/>
  <c r="B481" i="3"/>
  <c r="H482" i="3" l="1"/>
  <c r="I482" i="3"/>
  <c r="N480" i="3"/>
  <c r="O480" i="3" s="1"/>
  <c r="P480" i="3" s="1"/>
  <c r="F481" i="3"/>
  <c r="G481" i="3" s="1"/>
  <c r="L481" i="3"/>
  <c r="C482" i="3"/>
  <c r="J481" i="3"/>
  <c r="K481" i="3" s="1"/>
  <c r="M481" i="3"/>
  <c r="Q479" i="3"/>
  <c r="E482" i="3"/>
  <c r="A483" i="3"/>
  <c r="D483" i="3" s="1"/>
  <c r="B482" i="3"/>
  <c r="H483" i="3" l="1"/>
  <c r="I483" i="3"/>
  <c r="F482" i="3"/>
  <c r="G482" i="3" s="1"/>
  <c r="N481" i="3"/>
  <c r="O481" i="3" s="1"/>
  <c r="P481" i="3" s="1"/>
  <c r="L482" i="3"/>
  <c r="C483" i="3"/>
  <c r="J482" i="3"/>
  <c r="K482" i="3" s="1"/>
  <c r="M482" i="3"/>
  <c r="Q480" i="3"/>
  <c r="E483" i="3"/>
  <c r="A484" i="3"/>
  <c r="D484" i="3" s="1"/>
  <c r="B483" i="3"/>
  <c r="H484" i="3" l="1"/>
  <c r="I484" i="3"/>
  <c r="N482" i="3"/>
  <c r="O482" i="3" s="1"/>
  <c r="P482" i="3" s="1"/>
  <c r="L483" i="3"/>
  <c r="F483" i="3"/>
  <c r="G483" i="3" s="1"/>
  <c r="J483" i="3"/>
  <c r="K483" i="3" s="1"/>
  <c r="M483" i="3"/>
  <c r="C484" i="3"/>
  <c r="Q481" i="3"/>
  <c r="E484" i="3"/>
  <c r="A485" i="3"/>
  <c r="D485" i="3" s="1"/>
  <c r="B484" i="3"/>
  <c r="H485" i="3" l="1"/>
  <c r="I485" i="3"/>
  <c r="N483" i="3"/>
  <c r="O483" i="3" s="1"/>
  <c r="P483" i="3" s="1"/>
  <c r="F484" i="3"/>
  <c r="G484" i="3" s="1"/>
  <c r="L484" i="3"/>
  <c r="J484" i="3"/>
  <c r="K484" i="3" s="1"/>
  <c r="M484" i="3"/>
  <c r="C485" i="3"/>
  <c r="Q482" i="3"/>
  <c r="E485" i="3"/>
  <c r="A486" i="3"/>
  <c r="D486" i="3" s="1"/>
  <c r="B485" i="3"/>
  <c r="H486" i="3" l="1"/>
  <c r="I486" i="3"/>
  <c r="N484" i="3"/>
  <c r="O484" i="3" s="1"/>
  <c r="P484" i="3" s="1"/>
  <c r="F485" i="3"/>
  <c r="G485" i="3" s="1"/>
  <c r="L485" i="3"/>
  <c r="J485" i="3"/>
  <c r="K485" i="3" s="1"/>
  <c r="M485" i="3"/>
  <c r="C486" i="3"/>
  <c r="Q483" i="3"/>
  <c r="E486" i="3"/>
  <c r="A487" i="3"/>
  <c r="D487" i="3" s="1"/>
  <c r="B486" i="3"/>
  <c r="H487" i="3" l="1"/>
  <c r="I487" i="3"/>
  <c r="N485" i="3"/>
  <c r="O485" i="3" s="1"/>
  <c r="P485" i="3" s="1"/>
  <c r="F486" i="3"/>
  <c r="G486" i="3" s="1"/>
  <c r="L486" i="3"/>
  <c r="C487" i="3"/>
  <c r="J486" i="3"/>
  <c r="K486" i="3" s="1"/>
  <c r="M486" i="3"/>
  <c r="Q484" i="3"/>
  <c r="E487" i="3"/>
  <c r="A488" i="3"/>
  <c r="D488" i="3" s="1"/>
  <c r="B487" i="3"/>
  <c r="H488" i="3" l="1"/>
  <c r="I488" i="3"/>
  <c r="N486" i="3"/>
  <c r="O486" i="3" s="1"/>
  <c r="P486" i="3" s="1"/>
  <c r="F487" i="3"/>
  <c r="G487" i="3" s="1"/>
  <c r="L487" i="3"/>
  <c r="C488" i="3"/>
  <c r="J487" i="3"/>
  <c r="K487" i="3" s="1"/>
  <c r="M487" i="3"/>
  <c r="Q485" i="3"/>
  <c r="E488" i="3"/>
  <c r="A489" i="3"/>
  <c r="D489" i="3" s="1"/>
  <c r="B488" i="3"/>
  <c r="H489" i="3" l="1"/>
  <c r="I489" i="3"/>
  <c r="N487" i="3"/>
  <c r="O487" i="3" s="1"/>
  <c r="P487" i="3" s="1"/>
  <c r="F488" i="3"/>
  <c r="G488" i="3" s="1"/>
  <c r="L488" i="3"/>
  <c r="C489" i="3"/>
  <c r="J488" i="3"/>
  <c r="K488" i="3" s="1"/>
  <c r="M488" i="3"/>
  <c r="Q486" i="3"/>
  <c r="E489" i="3"/>
  <c r="A490" i="3"/>
  <c r="D490" i="3" s="1"/>
  <c r="B489" i="3"/>
  <c r="H490" i="3" l="1"/>
  <c r="I490" i="3"/>
  <c r="N488" i="3"/>
  <c r="O488" i="3" s="1"/>
  <c r="P488" i="3" s="1"/>
  <c r="F489" i="3"/>
  <c r="G489" i="3" s="1"/>
  <c r="L489" i="3"/>
  <c r="J489" i="3"/>
  <c r="K489" i="3" s="1"/>
  <c r="M489" i="3"/>
  <c r="C490" i="3"/>
  <c r="Q487" i="3"/>
  <c r="E490" i="3"/>
  <c r="A491" i="3"/>
  <c r="D491" i="3" s="1"/>
  <c r="B490" i="3"/>
  <c r="H491" i="3" l="1"/>
  <c r="I491" i="3"/>
  <c r="F490" i="3"/>
  <c r="G490" i="3" s="1"/>
  <c r="N489" i="3"/>
  <c r="O489" i="3" s="1"/>
  <c r="P489" i="3" s="1"/>
  <c r="L490" i="3"/>
  <c r="J490" i="3"/>
  <c r="K490" i="3" s="1"/>
  <c r="M490" i="3"/>
  <c r="C491" i="3"/>
  <c r="Q488" i="3"/>
  <c r="E491" i="3"/>
  <c r="A492" i="3"/>
  <c r="D492" i="3" s="1"/>
  <c r="B491" i="3"/>
  <c r="H492" i="3" l="1"/>
  <c r="I492" i="3"/>
  <c r="L491" i="3"/>
  <c r="N490" i="3"/>
  <c r="O490" i="3" s="1"/>
  <c r="P490" i="3" s="1"/>
  <c r="F491" i="3"/>
  <c r="G491" i="3" s="1"/>
  <c r="J491" i="3"/>
  <c r="K491" i="3" s="1"/>
  <c r="M491" i="3"/>
  <c r="C492" i="3"/>
  <c r="Q489" i="3"/>
  <c r="E492" i="3"/>
  <c r="A493" i="3"/>
  <c r="D493" i="3" s="1"/>
  <c r="B492" i="3"/>
  <c r="H493" i="3" l="1"/>
  <c r="I493" i="3"/>
  <c r="N491" i="3"/>
  <c r="O491" i="3" s="1"/>
  <c r="P491" i="3" s="1"/>
  <c r="F492" i="3"/>
  <c r="G492" i="3" s="1"/>
  <c r="L492" i="3"/>
  <c r="J492" i="3"/>
  <c r="K492" i="3" s="1"/>
  <c r="M492" i="3"/>
  <c r="C493" i="3"/>
  <c r="Q490" i="3"/>
  <c r="E493" i="3"/>
  <c r="A494" i="3"/>
  <c r="D494" i="3" s="1"/>
  <c r="B493" i="3"/>
  <c r="H494" i="3" l="1"/>
  <c r="I494" i="3"/>
  <c r="N492" i="3"/>
  <c r="O492" i="3" s="1"/>
  <c r="P492" i="3" s="1"/>
  <c r="F493" i="3"/>
  <c r="G493" i="3" s="1"/>
  <c r="L493" i="3"/>
  <c r="J493" i="3"/>
  <c r="K493" i="3" s="1"/>
  <c r="M493" i="3"/>
  <c r="C494" i="3"/>
  <c r="Q491" i="3"/>
  <c r="E494" i="3"/>
  <c r="A495" i="3"/>
  <c r="D495" i="3" s="1"/>
  <c r="B494" i="3"/>
  <c r="H495" i="3" l="1"/>
  <c r="I495" i="3"/>
  <c r="N493" i="3"/>
  <c r="O493" i="3" s="1"/>
  <c r="P493" i="3" s="1"/>
  <c r="F494" i="3"/>
  <c r="G494" i="3" s="1"/>
  <c r="L494" i="3"/>
  <c r="J494" i="3"/>
  <c r="K494" i="3" s="1"/>
  <c r="M494" i="3"/>
  <c r="C495" i="3"/>
  <c r="Q492" i="3"/>
  <c r="E495" i="3"/>
  <c r="A496" i="3"/>
  <c r="D496" i="3" s="1"/>
  <c r="B495" i="3"/>
  <c r="H496" i="3" l="1"/>
  <c r="I496" i="3"/>
  <c r="N494" i="3"/>
  <c r="O494" i="3" s="1"/>
  <c r="P494" i="3" s="1"/>
  <c r="F495" i="3"/>
  <c r="G495" i="3" s="1"/>
  <c r="L495" i="3"/>
  <c r="J495" i="3"/>
  <c r="K495" i="3" s="1"/>
  <c r="M495" i="3"/>
  <c r="C496" i="3"/>
  <c r="Q493" i="3"/>
  <c r="E496" i="3"/>
  <c r="A497" i="3"/>
  <c r="D497" i="3" s="1"/>
  <c r="B496" i="3"/>
  <c r="H497" i="3" l="1"/>
  <c r="I497" i="3"/>
  <c r="N495" i="3"/>
  <c r="O495" i="3" s="1"/>
  <c r="P495" i="3" s="1"/>
  <c r="F496" i="3"/>
  <c r="G496" i="3" s="1"/>
  <c r="L496" i="3"/>
  <c r="J496" i="3"/>
  <c r="K496" i="3" s="1"/>
  <c r="M496" i="3"/>
  <c r="C497" i="3"/>
  <c r="Q494" i="3"/>
  <c r="E497" i="3"/>
  <c r="A498" i="3"/>
  <c r="D498" i="3" s="1"/>
  <c r="B497" i="3"/>
  <c r="H498" i="3" l="1"/>
  <c r="I498" i="3"/>
  <c r="N496" i="3"/>
  <c r="O496" i="3" s="1"/>
  <c r="P496" i="3" s="1"/>
  <c r="F497" i="3"/>
  <c r="G497" i="3" s="1"/>
  <c r="L497" i="3"/>
  <c r="J497" i="3"/>
  <c r="K497" i="3" s="1"/>
  <c r="M497" i="3"/>
  <c r="C498" i="3"/>
  <c r="Q495" i="3"/>
  <c r="E498" i="3"/>
  <c r="A499" i="3"/>
  <c r="D499" i="3" s="1"/>
  <c r="B498" i="3"/>
  <c r="H499" i="3" l="1"/>
  <c r="I499" i="3"/>
  <c r="L498" i="3"/>
  <c r="N497" i="3"/>
  <c r="O497" i="3" s="1"/>
  <c r="P497" i="3" s="1"/>
  <c r="F498" i="3"/>
  <c r="G498" i="3" s="1"/>
  <c r="J498" i="3"/>
  <c r="K498" i="3" s="1"/>
  <c r="M498" i="3"/>
  <c r="C499" i="3"/>
  <c r="Q496" i="3"/>
  <c r="E499" i="3"/>
  <c r="A500" i="3"/>
  <c r="D500" i="3" s="1"/>
  <c r="B499" i="3"/>
  <c r="H500" i="3" l="1"/>
  <c r="I500" i="3"/>
  <c r="N498" i="3"/>
  <c r="O498" i="3" s="1"/>
  <c r="P498" i="3" s="1"/>
  <c r="L499" i="3"/>
  <c r="F499" i="3"/>
  <c r="G499" i="3" s="1"/>
  <c r="C500" i="3"/>
  <c r="J499" i="3"/>
  <c r="K499" i="3" s="1"/>
  <c r="M499" i="3"/>
  <c r="Q497" i="3"/>
  <c r="E500" i="3"/>
  <c r="A501" i="3"/>
  <c r="D501" i="3" s="1"/>
  <c r="B500" i="3"/>
  <c r="H501" i="3" l="1"/>
  <c r="I501" i="3"/>
  <c r="F500" i="3"/>
  <c r="G500" i="3" s="1"/>
  <c r="N499" i="3"/>
  <c r="O499" i="3" s="1"/>
  <c r="P499" i="3" s="1"/>
  <c r="L500" i="3"/>
  <c r="C501" i="3"/>
  <c r="J500" i="3"/>
  <c r="K500" i="3" s="1"/>
  <c r="M500" i="3"/>
  <c r="Q498" i="3"/>
  <c r="E501" i="3"/>
  <c r="A502" i="3"/>
  <c r="D502" i="3" s="1"/>
  <c r="B501" i="3"/>
  <c r="H502" i="3" l="1"/>
  <c r="I502" i="3"/>
  <c r="F501" i="3"/>
  <c r="G501" i="3" s="1"/>
  <c r="L501" i="3"/>
  <c r="N500" i="3"/>
  <c r="O500" i="3" s="1"/>
  <c r="P500" i="3" s="1"/>
  <c r="C502" i="3"/>
  <c r="J501" i="3"/>
  <c r="K501" i="3" s="1"/>
  <c r="M501" i="3"/>
  <c r="Q499" i="3"/>
  <c r="E502" i="3"/>
  <c r="A503" i="3"/>
  <c r="D503" i="3" s="1"/>
  <c r="B502" i="3"/>
  <c r="I503" i="3" l="1"/>
  <c r="H503" i="3"/>
  <c r="F502" i="3"/>
  <c r="G502" i="3" s="1"/>
  <c r="N501" i="3"/>
  <c r="O501" i="3" s="1"/>
  <c r="P501" i="3" s="1"/>
  <c r="L502" i="3"/>
  <c r="C503" i="3"/>
  <c r="J502" i="3"/>
  <c r="K502" i="3" s="1"/>
  <c r="M502" i="3"/>
  <c r="Q500" i="3"/>
  <c r="E503" i="3"/>
  <c r="A504" i="3"/>
  <c r="D504" i="3" s="1"/>
  <c r="B503" i="3"/>
  <c r="H504" i="3" l="1"/>
  <c r="I504" i="3"/>
  <c r="F503" i="3"/>
  <c r="G503" i="3" s="1"/>
  <c r="N502" i="3"/>
  <c r="O502" i="3" s="1"/>
  <c r="P502" i="3" s="1"/>
  <c r="L503" i="3"/>
  <c r="C504" i="3"/>
  <c r="J503" i="3"/>
  <c r="K503" i="3" s="1"/>
  <c r="M503" i="3"/>
  <c r="Q501" i="3"/>
  <c r="E504" i="3"/>
  <c r="A505" i="3"/>
  <c r="D505" i="3" s="1"/>
  <c r="B504" i="3"/>
  <c r="H505" i="3" l="1"/>
  <c r="I505" i="3"/>
  <c r="N503" i="3"/>
  <c r="O503" i="3" s="1"/>
  <c r="P503" i="3" s="1"/>
  <c r="F504" i="3"/>
  <c r="G504" i="3" s="1"/>
  <c r="L504" i="3"/>
  <c r="C505" i="3"/>
  <c r="J504" i="3"/>
  <c r="K504" i="3" s="1"/>
  <c r="M504" i="3"/>
  <c r="Q502" i="3"/>
  <c r="E505" i="3"/>
  <c r="A506" i="3"/>
  <c r="D506" i="3" s="1"/>
  <c r="B505" i="3"/>
  <c r="H506" i="3" l="1"/>
  <c r="I506" i="3"/>
  <c r="N504" i="3"/>
  <c r="O504" i="3" s="1"/>
  <c r="P504" i="3" s="1"/>
  <c r="F505" i="3"/>
  <c r="G505" i="3" s="1"/>
  <c r="L505" i="3"/>
  <c r="C506" i="3"/>
  <c r="J505" i="3"/>
  <c r="K505" i="3" s="1"/>
  <c r="M505" i="3"/>
  <c r="Q503" i="3"/>
  <c r="E506" i="3"/>
  <c r="A507" i="3"/>
  <c r="D507" i="3" s="1"/>
  <c r="B506" i="3"/>
  <c r="H507" i="3" l="1"/>
  <c r="I507" i="3"/>
  <c r="F506" i="3"/>
  <c r="G506" i="3" s="1"/>
  <c r="N505" i="3"/>
  <c r="O505" i="3" s="1"/>
  <c r="P505" i="3" s="1"/>
  <c r="L506" i="3"/>
  <c r="J506" i="3"/>
  <c r="K506" i="3" s="1"/>
  <c r="M506" i="3"/>
  <c r="C507" i="3"/>
  <c r="Q504" i="3"/>
  <c r="E507" i="3"/>
  <c r="A508" i="3"/>
  <c r="D508" i="3" s="1"/>
  <c r="B507" i="3"/>
  <c r="H508" i="3" l="1"/>
  <c r="I508" i="3"/>
  <c r="N506" i="3"/>
  <c r="O506" i="3" s="1"/>
  <c r="P506" i="3" s="1"/>
  <c r="L507" i="3"/>
  <c r="F507" i="3"/>
  <c r="G507" i="3" s="1"/>
  <c r="J507" i="3"/>
  <c r="K507" i="3" s="1"/>
  <c r="M507" i="3"/>
  <c r="C508" i="3"/>
  <c r="Q505" i="3"/>
  <c r="E508" i="3"/>
  <c r="A509" i="3"/>
  <c r="D509" i="3" s="1"/>
  <c r="B508" i="3"/>
  <c r="H509" i="3" l="1"/>
  <c r="I509" i="3"/>
  <c r="N507" i="3"/>
  <c r="O507" i="3" s="1"/>
  <c r="P507" i="3" s="1"/>
  <c r="L508" i="3"/>
  <c r="F508" i="3"/>
  <c r="G508" i="3" s="1"/>
  <c r="J508" i="3"/>
  <c r="K508" i="3" s="1"/>
  <c r="M508" i="3"/>
  <c r="C509" i="3"/>
  <c r="Q506" i="3"/>
  <c r="E509" i="3"/>
  <c r="A510" i="3"/>
  <c r="D510" i="3" s="1"/>
  <c r="B509" i="3"/>
  <c r="H510" i="3" l="1"/>
  <c r="I510" i="3"/>
  <c r="N508" i="3"/>
  <c r="O508" i="3" s="1"/>
  <c r="P508" i="3" s="1"/>
  <c r="L509" i="3"/>
  <c r="F509" i="3"/>
  <c r="G509" i="3" s="1"/>
  <c r="J509" i="3"/>
  <c r="K509" i="3" s="1"/>
  <c r="M509" i="3"/>
  <c r="C510" i="3"/>
  <c r="Q507" i="3"/>
  <c r="E510" i="3"/>
  <c r="A511" i="3"/>
  <c r="D511" i="3" s="1"/>
  <c r="B510" i="3"/>
  <c r="H511" i="3" l="1"/>
  <c r="I511" i="3"/>
  <c r="N509" i="3"/>
  <c r="O509" i="3" s="1"/>
  <c r="P509" i="3" s="1"/>
  <c r="F510" i="3"/>
  <c r="G510" i="3" s="1"/>
  <c r="L510" i="3"/>
  <c r="J510" i="3"/>
  <c r="K510" i="3" s="1"/>
  <c r="M510" i="3"/>
  <c r="C511" i="3"/>
  <c r="Q508" i="3"/>
  <c r="E511" i="3"/>
  <c r="A512" i="3"/>
  <c r="D512" i="3" s="1"/>
  <c r="B511" i="3"/>
  <c r="I512" i="3" l="1"/>
  <c r="H512" i="3"/>
  <c r="N510" i="3"/>
  <c r="O510" i="3" s="1"/>
  <c r="P510" i="3" s="1"/>
  <c r="F511" i="3"/>
  <c r="G511" i="3" s="1"/>
  <c r="L511" i="3"/>
  <c r="J511" i="3"/>
  <c r="K511" i="3" s="1"/>
  <c r="M511" i="3"/>
  <c r="C512" i="3"/>
  <c r="Q509" i="3"/>
  <c r="E512" i="3"/>
  <c r="A513" i="3"/>
  <c r="D513" i="3" s="1"/>
  <c r="B512" i="3"/>
  <c r="H513" i="3" l="1"/>
  <c r="I513" i="3"/>
  <c r="N511" i="3"/>
  <c r="O511" i="3" s="1"/>
  <c r="P511" i="3" s="1"/>
  <c r="F512" i="3"/>
  <c r="G512" i="3" s="1"/>
  <c r="L512" i="3"/>
  <c r="J512" i="3"/>
  <c r="K512" i="3" s="1"/>
  <c r="M512" i="3"/>
  <c r="C513" i="3"/>
  <c r="Q510" i="3"/>
  <c r="E513" i="3"/>
  <c r="A514" i="3"/>
  <c r="D514" i="3" s="1"/>
  <c r="B513" i="3"/>
  <c r="H514" i="3" l="1"/>
  <c r="I514" i="3"/>
  <c r="F513" i="3"/>
  <c r="G513" i="3" s="1"/>
  <c r="N512" i="3"/>
  <c r="O512" i="3" s="1"/>
  <c r="P512" i="3" s="1"/>
  <c r="L513" i="3"/>
  <c r="J513" i="3"/>
  <c r="K513" i="3" s="1"/>
  <c r="M513" i="3"/>
  <c r="C514" i="3"/>
  <c r="Q511" i="3"/>
  <c r="E514" i="3"/>
  <c r="A515" i="3"/>
  <c r="D515" i="3" s="1"/>
  <c r="B514" i="3"/>
  <c r="H515" i="3" l="1"/>
  <c r="I515" i="3"/>
  <c r="L514" i="3"/>
  <c r="N513" i="3"/>
  <c r="O513" i="3" s="1"/>
  <c r="P513" i="3" s="1"/>
  <c r="F514" i="3"/>
  <c r="G514" i="3" s="1"/>
  <c r="J514" i="3"/>
  <c r="K514" i="3" s="1"/>
  <c r="M514" i="3"/>
  <c r="C515" i="3"/>
  <c r="Q512" i="3"/>
  <c r="E515" i="3"/>
  <c r="A516" i="3"/>
  <c r="D516" i="3" s="1"/>
  <c r="B515" i="3"/>
  <c r="H516" i="3" l="1"/>
  <c r="I516" i="3"/>
  <c r="N514" i="3"/>
  <c r="O514" i="3" s="1"/>
  <c r="P514" i="3" s="1"/>
  <c r="F515" i="3"/>
  <c r="G515" i="3" s="1"/>
  <c r="L515" i="3"/>
  <c r="J515" i="3"/>
  <c r="K515" i="3" s="1"/>
  <c r="M515" i="3"/>
  <c r="C516" i="3"/>
  <c r="Q513" i="3"/>
  <c r="E516" i="3"/>
  <c r="A517" i="3"/>
  <c r="D517" i="3" s="1"/>
  <c r="B516" i="3"/>
  <c r="H517" i="3" l="1"/>
  <c r="I517" i="3"/>
  <c r="N515" i="3"/>
  <c r="O515" i="3" s="1"/>
  <c r="P515" i="3" s="1"/>
  <c r="F516" i="3"/>
  <c r="G516" i="3" s="1"/>
  <c r="L516" i="3"/>
  <c r="J516" i="3"/>
  <c r="K516" i="3" s="1"/>
  <c r="M516" i="3"/>
  <c r="C517" i="3"/>
  <c r="Q514" i="3"/>
  <c r="E517" i="3"/>
  <c r="A518" i="3"/>
  <c r="D518" i="3" s="1"/>
  <c r="B517" i="3"/>
  <c r="H518" i="3" l="1"/>
  <c r="I518" i="3"/>
  <c r="N516" i="3"/>
  <c r="O516" i="3" s="1"/>
  <c r="P516" i="3" s="1"/>
  <c r="F517" i="3"/>
  <c r="G517" i="3" s="1"/>
  <c r="L517" i="3"/>
  <c r="J517" i="3"/>
  <c r="K517" i="3" s="1"/>
  <c r="M517" i="3"/>
  <c r="C518" i="3"/>
  <c r="Q515" i="3"/>
  <c r="E518" i="3"/>
  <c r="A519" i="3"/>
  <c r="D519" i="3" s="1"/>
  <c r="B518" i="3"/>
  <c r="H519" i="3" l="1"/>
  <c r="I519" i="3"/>
  <c r="L518" i="3"/>
  <c r="N517" i="3"/>
  <c r="O517" i="3" s="1"/>
  <c r="P517" i="3" s="1"/>
  <c r="F518" i="3"/>
  <c r="G518" i="3" s="1"/>
  <c r="J518" i="3"/>
  <c r="K518" i="3" s="1"/>
  <c r="M518" i="3"/>
  <c r="C519" i="3"/>
  <c r="Q516" i="3"/>
  <c r="E519" i="3"/>
  <c r="A520" i="3"/>
  <c r="D520" i="3" s="1"/>
  <c r="B519" i="3"/>
  <c r="H520" i="3" l="1"/>
  <c r="I520" i="3"/>
  <c r="N518" i="3"/>
  <c r="O518" i="3" s="1"/>
  <c r="P518" i="3" s="1"/>
  <c r="F519" i="3"/>
  <c r="G519" i="3" s="1"/>
  <c r="L519" i="3"/>
  <c r="J519" i="3"/>
  <c r="K519" i="3" s="1"/>
  <c r="M519" i="3"/>
  <c r="C520" i="3"/>
  <c r="Q517" i="3"/>
  <c r="E520" i="3"/>
  <c r="A521" i="3"/>
  <c r="D521" i="3" s="1"/>
  <c r="B520" i="3"/>
  <c r="H521" i="3" l="1"/>
  <c r="I521" i="3"/>
  <c r="N519" i="3"/>
  <c r="O519" i="3" s="1"/>
  <c r="P519" i="3" s="1"/>
  <c r="F520" i="3"/>
  <c r="G520" i="3" s="1"/>
  <c r="L520" i="3"/>
  <c r="C521" i="3"/>
  <c r="J520" i="3"/>
  <c r="K520" i="3" s="1"/>
  <c r="M520" i="3"/>
  <c r="Q518" i="3"/>
  <c r="E521" i="3"/>
  <c r="A522" i="3"/>
  <c r="D522" i="3" s="1"/>
  <c r="B521" i="3"/>
  <c r="H522" i="3" l="1"/>
  <c r="I522" i="3"/>
  <c r="F521" i="3"/>
  <c r="G521" i="3" s="1"/>
  <c r="N520" i="3"/>
  <c r="O520" i="3" s="1"/>
  <c r="P520" i="3" s="1"/>
  <c r="L521" i="3"/>
  <c r="C522" i="3"/>
  <c r="J521" i="3"/>
  <c r="K521" i="3" s="1"/>
  <c r="M521" i="3"/>
  <c r="Q519" i="3"/>
  <c r="E522" i="3"/>
  <c r="A523" i="3"/>
  <c r="D523" i="3" s="1"/>
  <c r="B522" i="3"/>
  <c r="H523" i="3" l="1"/>
  <c r="I523" i="3"/>
  <c r="F522" i="3"/>
  <c r="G522" i="3" s="1"/>
  <c r="N521" i="3"/>
  <c r="O521" i="3" s="1"/>
  <c r="P521" i="3" s="1"/>
  <c r="L522" i="3"/>
  <c r="J522" i="3"/>
  <c r="K522" i="3" s="1"/>
  <c r="M522" i="3"/>
  <c r="C523" i="3"/>
  <c r="Q520" i="3"/>
  <c r="E523" i="3"/>
  <c r="A524" i="3"/>
  <c r="D524" i="3" s="1"/>
  <c r="B523" i="3"/>
  <c r="H524" i="3" l="1"/>
  <c r="I524" i="3"/>
  <c r="N522" i="3"/>
  <c r="O522" i="3" s="1"/>
  <c r="P522" i="3" s="1"/>
  <c r="L523" i="3"/>
  <c r="F523" i="3"/>
  <c r="G523" i="3" s="1"/>
  <c r="C524" i="3"/>
  <c r="J523" i="3"/>
  <c r="K523" i="3" s="1"/>
  <c r="M523" i="3"/>
  <c r="Q521" i="3"/>
  <c r="E524" i="3"/>
  <c r="A525" i="3"/>
  <c r="D525" i="3" s="1"/>
  <c r="B524" i="3"/>
  <c r="H525" i="3" l="1"/>
  <c r="I525" i="3"/>
  <c r="F524" i="3"/>
  <c r="G524" i="3" s="1"/>
  <c r="N523" i="3"/>
  <c r="O523" i="3" s="1"/>
  <c r="P523" i="3" s="1"/>
  <c r="L524" i="3"/>
  <c r="C525" i="3"/>
  <c r="J524" i="3"/>
  <c r="K524" i="3" s="1"/>
  <c r="M524" i="3"/>
  <c r="Q522" i="3"/>
  <c r="E525" i="3"/>
  <c r="A526" i="3"/>
  <c r="D526" i="3" s="1"/>
  <c r="B525" i="3"/>
  <c r="H526" i="3" l="1"/>
  <c r="I526" i="3"/>
  <c r="N524" i="3"/>
  <c r="O524" i="3" s="1"/>
  <c r="P524" i="3" s="1"/>
  <c r="F525" i="3"/>
  <c r="G525" i="3" s="1"/>
  <c r="L525" i="3"/>
  <c r="C526" i="3"/>
  <c r="J525" i="3"/>
  <c r="K525" i="3" s="1"/>
  <c r="M525" i="3"/>
  <c r="Q523" i="3"/>
  <c r="E526" i="3"/>
  <c r="A527" i="3"/>
  <c r="D527" i="3" s="1"/>
  <c r="B526" i="3"/>
  <c r="H527" i="3" l="1"/>
  <c r="I527" i="3"/>
  <c r="F526" i="3"/>
  <c r="G526" i="3" s="1"/>
  <c r="N525" i="3"/>
  <c r="O525" i="3" s="1"/>
  <c r="P525" i="3" s="1"/>
  <c r="L526" i="3"/>
  <c r="C527" i="3"/>
  <c r="J526" i="3"/>
  <c r="K526" i="3" s="1"/>
  <c r="M526" i="3"/>
  <c r="Q524" i="3"/>
  <c r="E527" i="3"/>
  <c r="A528" i="3"/>
  <c r="D528" i="3" s="1"/>
  <c r="B527" i="3"/>
  <c r="H528" i="3" l="1"/>
  <c r="I528" i="3"/>
  <c r="N526" i="3"/>
  <c r="O526" i="3" s="1"/>
  <c r="P526" i="3" s="1"/>
  <c r="F527" i="3"/>
  <c r="G527" i="3" s="1"/>
  <c r="L527" i="3"/>
  <c r="C528" i="3"/>
  <c r="J527" i="3"/>
  <c r="K527" i="3" s="1"/>
  <c r="M527" i="3"/>
  <c r="Q525" i="3"/>
  <c r="E528" i="3"/>
  <c r="A529" i="3"/>
  <c r="D529" i="3" s="1"/>
  <c r="B528" i="3"/>
  <c r="H529" i="3" l="1"/>
  <c r="I529" i="3"/>
  <c r="N527" i="3"/>
  <c r="O527" i="3" s="1"/>
  <c r="P527" i="3" s="1"/>
  <c r="F528" i="3"/>
  <c r="G528" i="3" s="1"/>
  <c r="L528" i="3"/>
  <c r="C529" i="3"/>
  <c r="J528" i="3"/>
  <c r="K528" i="3" s="1"/>
  <c r="M528" i="3"/>
  <c r="Q526" i="3"/>
  <c r="E529" i="3"/>
  <c r="A530" i="3"/>
  <c r="D530" i="3" s="1"/>
  <c r="B529" i="3"/>
  <c r="H530" i="3" l="1"/>
  <c r="I530" i="3"/>
  <c r="F529" i="3"/>
  <c r="G529" i="3" s="1"/>
  <c r="N528" i="3"/>
  <c r="O528" i="3" s="1"/>
  <c r="P528" i="3" s="1"/>
  <c r="L529" i="3"/>
  <c r="J529" i="3"/>
  <c r="K529" i="3" s="1"/>
  <c r="M529" i="3"/>
  <c r="C530" i="3"/>
  <c r="Q527" i="3"/>
  <c r="E530" i="3"/>
  <c r="A531" i="3"/>
  <c r="D531" i="3" s="1"/>
  <c r="B530" i="3"/>
  <c r="H531" i="3" l="1"/>
  <c r="I531" i="3"/>
  <c r="N529" i="3"/>
  <c r="O529" i="3" s="1"/>
  <c r="P529" i="3" s="1"/>
  <c r="F530" i="3"/>
  <c r="G530" i="3" s="1"/>
  <c r="L530" i="3"/>
  <c r="J530" i="3"/>
  <c r="K530" i="3" s="1"/>
  <c r="M530" i="3"/>
  <c r="C531" i="3"/>
  <c r="Q528" i="3"/>
  <c r="E531" i="3"/>
  <c r="A532" i="3"/>
  <c r="D532" i="3" s="1"/>
  <c r="B531" i="3"/>
  <c r="H532" i="3" l="1"/>
  <c r="I532" i="3"/>
  <c r="L531" i="3"/>
  <c r="N530" i="3"/>
  <c r="O530" i="3" s="1"/>
  <c r="P530" i="3" s="1"/>
  <c r="F531" i="3"/>
  <c r="G531" i="3" s="1"/>
  <c r="J531" i="3"/>
  <c r="K531" i="3" s="1"/>
  <c r="M531" i="3"/>
  <c r="C532" i="3"/>
  <c r="Q529" i="3"/>
  <c r="E532" i="3"/>
  <c r="A533" i="3"/>
  <c r="D533" i="3" s="1"/>
  <c r="B532" i="3"/>
  <c r="H533" i="3" l="1"/>
  <c r="I533" i="3"/>
  <c r="N531" i="3"/>
  <c r="O531" i="3" s="1"/>
  <c r="P531" i="3" s="1"/>
  <c r="L532" i="3"/>
  <c r="F532" i="3"/>
  <c r="G532" i="3" s="1"/>
  <c r="J532" i="3"/>
  <c r="K532" i="3" s="1"/>
  <c r="M532" i="3"/>
  <c r="C533" i="3"/>
  <c r="Q530" i="3"/>
  <c r="E533" i="3"/>
  <c r="A534" i="3"/>
  <c r="D534" i="3" s="1"/>
  <c r="B533" i="3"/>
  <c r="H534" i="3" l="1"/>
  <c r="I534" i="3"/>
  <c r="L533" i="3"/>
  <c r="N532" i="3"/>
  <c r="O532" i="3" s="1"/>
  <c r="P532" i="3" s="1"/>
  <c r="F533" i="3"/>
  <c r="G533" i="3" s="1"/>
  <c r="C534" i="3"/>
  <c r="J533" i="3"/>
  <c r="K533" i="3" s="1"/>
  <c r="M533" i="3"/>
  <c r="Q531" i="3"/>
  <c r="E534" i="3"/>
  <c r="A535" i="3"/>
  <c r="D535" i="3" s="1"/>
  <c r="B534" i="3"/>
  <c r="H535" i="3" l="1"/>
  <c r="I535" i="3"/>
  <c r="F534" i="3"/>
  <c r="G534" i="3" s="1"/>
  <c r="N533" i="3"/>
  <c r="O533" i="3" s="1"/>
  <c r="P533" i="3" s="1"/>
  <c r="L534" i="3"/>
  <c r="J534" i="3"/>
  <c r="K534" i="3" s="1"/>
  <c r="M534" i="3"/>
  <c r="C535" i="3"/>
  <c r="Q532" i="3"/>
  <c r="E535" i="3"/>
  <c r="A536" i="3"/>
  <c r="D536" i="3" s="1"/>
  <c r="B535" i="3"/>
  <c r="H536" i="3" l="1"/>
  <c r="I536" i="3"/>
  <c r="N534" i="3"/>
  <c r="O534" i="3" s="1"/>
  <c r="P534" i="3" s="1"/>
  <c r="L535" i="3"/>
  <c r="F535" i="3"/>
  <c r="G535" i="3" s="1"/>
  <c r="C536" i="3"/>
  <c r="J535" i="3"/>
  <c r="K535" i="3" s="1"/>
  <c r="M535" i="3"/>
  <c r="Q533" i="3"/>
  <c r="E536" i="3"/>
  <c r="A537" i="3"/>
  <c r="D537" i="3" s="1"/>
  <c r="B536" i="3"/>
  <c r="H537" i="3" l="1"/>
  <c r="I537" i="3"/>
  <c r="N535" i="3"/>
  <c r="O535" i="3" s="1"/>
  <c r="P535" i="3" s="1"/>
  <c r="L536" i="3"/>
  <c r="F536" i="3"/>
  <c r="G536" i="3" s="1"/>
  <c r="C537" i="3"/>
  <c r="J536" i="3"/>
  <c r="K536" i="3" s="1"/>
  <c r="M536" i="3"/>
  <c r="Q534" i="3"/>
  <c r="E537" i="3"/>
  <c r="A538" i="3"/>
  <c r="D538" i="3" s="1"/>
  <c r="B537" i="3"/>
  <c r="H538" i="3" l="1"/>
  <c r="I538" i="3"/>
  <c r="N536" i="3"/>
  <c r="O536" i="3" s="1"/>
  <c r="P536" i="3" s="1"/>
  <c r="F537" i="3"/>
  <c r="G537" i="3" s="1"/>
  <c r="L537" i="3"/>
  <c r="C538" i="3"/>
  <c r="J537" i="3"/>
  <c r="K537" i="3" s="1"/>
  <c r="M537" i="3"/>
  <c r="Q535" i="3"/>
  <c r="E538" i="3"/>
  <c r="A539" i="3"/>
  <c r="D539" i="3" s="1"/>
  <c r="B538" i="3"/>
  <c r="H539" i="3" l="1"/>
  <c r="I539" i="3"/>
  <c r="N537" i="3"/>
  <c r="O537" i="3" s="1"/>
  <c r="P537" i="3" s="1"/>
  <c r="L538" i="3"/>
  <c r="F538" i="3"/>
  <c r="G538" i="3" s="1"/>
  <c r="C539" i="3"/>
  <c r="J538" i="3"/>
  <c r="K538" i="3" s="1"/>
  <c r="M538" i="3"/>
  <c r="Q536" i="3"/>
  <c r="E539" i="3"/>
  <c r="A540" i="3"/>
  <c r="D540" i="3" s="1"/>
  <c r="B539" i="3"/>
  <c r="H540" i="3" l="1"/>
  <c r="I540" i="3"/>
  <c r="N538" i="3"/>
  <c r="O538" i="3" s="1"/>
  <c r="P538" i="3" s="1"/>
  <c r="F539" i="3"/>
  <c r="G539" i="3" s="1"/>
  <c r="L539" i="3"/>
  <c r="C540" i="3"/>
  <c r="J539" i="3"/>
  <c r="K539" i="3" s="1"/>
  <c r="M539" i="3"/>
  <c r="Q537" i="3"/>
  <c r="E540" i="3"/>
  <c r="A541" i="3"/>
  <c r="D541" i="3" s="1"/>
  <c r="B540" i="3"/>
  <c r="H541" i="3" l="1"/>
  <c r="I541" i="3"/>
  <c r="N539" i="3"/>
  <c r="O539" i="3" s="1"/>
  <c r="P539" i="3" s="1"/>
  <c r="L540" i="3"/>
  <c r="F540" i="3"/>
  <c r="G540" i="3" s="1"/>
  <c r="C541" i="3"/>
  <c r="J540" i="3"/>
  <c r="K540" i="3" s="1"/>
  <c r="M540" i="3"/>
  <c r="Q538" i="3"/>
  <c r="E541" i="3"/>
  <c r="A542" i="3"/>
  <c r="D542" i="3" s="1"/>
  <c r="B541" i="3"/>
  <c r="H542" i="3" l="1"/>
  <c r="I542" i="3"/>
  <c r="N540" i="3"/>
  <c r="O540" i="3" s="1"/>
  <c r="P540" i="3" s="1"/>
  <c r="F541" i="3"/>
  <c r="G541" i="3" s="1"/>
  <c r="L541" i="3"/>
  <c r="C542" i="3"/>
  <c r="J541" i="3"/>
  <c r="K541" i="3" s="1"/>
  <c r="M541" i="3"/>
  <c r="Q539" i="3"/>
  <c r="E542" i="3"/>
  <c r="A543" i="3"/>
  <c r="D543" i="3" s="1"/>
  <c r="B542" i="3"/>
  <c r="H543" i="3" l="1"/>
  <c r="I543" i="3"/>
  <c r="N541" i="3"/>
  <c r="O541" i="3" s="1"/>
  <c r="P541" i="3" s="1"/>
  <c r="L542" i="3"/>
  <c r="F542" i="3"/>
  <c r="G542" i="3" s="1"/>
  <c r="C543" i="3"/>
  <c r="J542" i="3"/>
  <c r="K542" i="3" s="1"/>
  <c r="M542" i="3"/>
  <c r="Q540" i="3"/>
  <c r="E543" i="3"/>
  <c r="A544" i="3"/>
  <c r="D544" i="3" s="1"/>
  <c r="B543" i="3"/>
  <c r="H544" i="3" l="1"/>
  <c r="I544" i="3"/>
  <c r="F543" i="3"/>
  <c r="G543" i="3" s="1"/>
  <c r="N542" i="3"/>
  <c r="O542" i="3" s="1"/>
  <c r="P542" i="3" s="1"/>
  <c r="L543" i="3"/>
  <c r="J543" i="3"/>
  <c r="K543" i="3" s="1"/>
  <c r="M543" i="3"/>
  <c r="C544" i="3"/>
  <c r="Q541" i="3"/>
  <c r="E544" i="3"/>
  <c r="A545" i="3"/>
  <c r="D545" i="3" s="1"/>
  <c r="B544" i="3"/>
  <c r="I545" i="3" l="1"/>
  <c r="H545" i="3"/>
  <c r="N543" i="3"/>
  <c r="O543" i="3" s="1"/>
  <c r="P543" i="3" s="1"/>
  <c r="L544" i="3"/>
  <c r="F544" i="3"/>
  <c r="G544" i="3" s="1"/>
  <c r="J544" i="3"/>
  <c r="K544" i="3" s="1"/>
  <c r="M544" i="3"/>
  <c r="C545" i="3"/>
  <c r="Q542" i="3"/>
  <c r="E545" i="3"/>
  <c r="A546" i="3"/>
  <c r="D546" i="3" s="1"/>
  <c r="B545" i="3"/>
  <c r="I546" i="3" l="1"/>
  <c r="H546" i="3"/>
  <c r="N544" i="3"/>
  <c r="O544" i="3" s="1"/>
  <c r="P544" i="3" s="1"/>
  <c r="L545" i="3"/>
  <c r="F545" i="3"/>
  <c r="G545" i="3" s="1"/>
  <c r="J545" i="3"/>
  <c r="K545" i="3" s="1"/>
  <c r="M545" i="3"/>
  <c r="C546" i="3"/>
  <c r="Q543" i="3"/>
  <c r="E546" i="3"/>
  <c r="A547" i="3"/>
  <c r="D547" i="3" s="1"/>
  <c r="B546" i="3"/>
  <c r="H547" i="3" l="1"/>
  <c r="I547" i="3"/>
  <c r="N545" i="3"/>
  <c r="O545" i="3" s="1"/>
  <c r="P545" i="3" s="1"/>
  <c r="F546" i="3"/>
  <c r="G546" i="3" s="1"/>
  <c r="L546" i="3"/>
  <c r="J546" i="3"/>
  <c r="K546" i="3" s="1"/>
  <c r="M546" i="3"/>
  <c r="C547" i="3"/>
  <c r="Q544" i="3"/>
  <c r="E547" i="3"/>
  <c r="A548" i="3"/>
  <c r="D548" i="3" s="1"/>
  <c r="B547" i="3"/>
  <c r="H548" i="3" l="1"/>
  <c r="I548" i="3"/>
  <c r="N546" i="3"/>
  <c r="O546" i="3" s="1"/>
  <c r="P546" i="3" s="1"/>
  <c r="L547" i="3"/>
  <c r="F547" i="3"/>
  <c r="G547" i="3" s="1"/>
  <c r="C548" i="3"/>
  <c r="J547" i="3"/>
  <c r="K547" i="3" s="1"/>
  <c r="M547" i="3"/>
  <c r="Q545" i="3"/>
  <c r="E548" i="3"/>
  <c r="A549" i="3"/>
  <c r="D549" i="3" s="1"/>
  <c r="B548" i="3"/>
  <c r="I549" i="3" l="1"/>
  <c r="H549" i="3"/>
  <c r="F548" i="3"/>
  <c r="G548" i="3" s="1"/>
  <c r="N547" i="3"/>
  <c r="O547" i="3" s="1"/>
  <c r="P547" i="3" s="1"/>
  <c r="L548" i="3"/>
  <c r="J548" i="3"/>
  <c r="K548" i="3" s="1"/>
  <c r="M548" i="3"/>
  <c r="C549" i="3"/>
  <c r="Q546" i="3"/>
  <c r="E549" i="3"/>
  <c r="A550" i="3"/>
  <c r="D550" i="3" s="1"/>
  <c r="B549" i="3"/>
  <c r="H550" i="3" l="1"/>
  <c r="I550" i="3"/>
  <c r="N548" i="3"/>
  <c r="O548" i="3" s="1"/>
  <c r="P548" i="3" s="1"/>
  <c r="F549" i="3"/>
  <c r="G549" i="3" s="1"/>
  <c r="L549" i="3"/>
  <c r="C550" i="3"/>
  <c r="J549" i="3"/>
  <c r="K549" i="3" s="1"/>
  <c r="M549" i="3"/>
  <c r="Q547" i="3"/>
  <c r="E550" i="3"/>
  <c r="A551" i="3"/>
  <c r="D551" i="3" s="1"/>
  <c r="B550" i="3"/>
  <c r="H551" i="3" l="1"/>
  <c r="I551" i="3"/>
  <c r="F550" i="3"/>
  <c r="G550" i="3" s="1"/>
  <c r="N549" i="3"/>
  <c r="O549" i="3" s="1"/>
  <c r="P549" i="3" s="1"/>
  <c r="L550" i="3"/>
  <c r="C551" i="3"/>
  <c r="J550" i="3"/>
  <c r="K550" i="3" s="1"/>
  <c r="M550" i="3"/>
  <c r="Q548" i="3"/>
  <c r="E551" i="3"/>
  <c r="A552" i="3"/>
  <c r="D552" i="3" s="1"/>
  <c r="B551" i="3"/>
  <c r="H552" i="3" l="1"/>
  <c r="I552" i="3"/>
  <c r="N550" i="3"/>
  <c r="O550" i="3" s="1"/>
  <c r="P550" i="3" s="1"/>
  <c r="F551" i="3"/>
  <c r="G551" i="3" s="1"/>
  <c r="L551" i="3"/>
  <c r="J551" i="3"/>
  <c r="K551" i="3" s="1"/>
  <c r="M551" i="3"/>
  <c r="C552" i="3"/>
  <c r="Q549" i="3"/>
  <c r="E552" i="3"/>
  <c r="A553" i="3"/>
  <c r="D553" i="3" s="1"/>
  <c r="B552" i="3"/>
  <c r="H553" i="3" l="1"/>
  <c r="I553" i="3"/>
  <c r="N551" i="3"/>
  <c r="O551" i="3" s="1"/>
  <c r="P551" i="3" s="1"/>
  <c r="L552" i="3"/>
  <c r="F552" i="3"/>
  <c r="G552" i="3" s="1"/>
  <c r="C553" i="3"/>
  <c r="J552" i="3"/>
  <c r="K552" i="3" s="1"/>
  <c r="M552" i="3"/>
  <c r="Q550" i="3"/>
  <c r="E553" i="3"/>
  <c r="A554" i="3"/>
  <c r="D554" i="3" s="1"/>
  <c r="B553" i="3"/>
  <c r="H554" i="3" l="1"/>
  <c r="I554" i="3"/>
  <c r="N552" i="3"/>
  <c r="O552" i="3" s="1"/>
  <c r="P552" i="3" s="1"/>
  <c r="F553" i="3"/>
  <c r="G553" i="3" s="1"/>
  <c r="L553" i="3"/>
  <c r="C554" i="3"/>
  <c r="J553" i="3"/>
  <c r="K553" i="3" s="1"/>
  <c r="M553" i="3"/>
  <c r="Q551" i="3"/>
  <c r="E554" i="3"/>
  <c r="A555" i="3"/>
  <c r="D555" i="3" s="1"/>
  <c r="B554" i="3"/>
  <c r="H555" i="3" l="1"/>
  <c r="I555" i="3"/>
  <c r="N553" i="3"/>
  <c r="O553" i="3" s="1"/>
  <c r="P553" i="3" s="1"/>
  <c r="F554" i="3"/>
  <c r="G554" i="3" s="1"/>
  <c r="L554" i="3"/>
  <c r="C555" i="3"/>
  <c r="J554" i="3"/>
  <c r="K554" i="3" s="1"/>
  <c r="M554" i="3"/>
  <c r="Q552" i="3"/>
  <c r="E555" i="3"/>
  <c r="A556" i="3"/>
  <c r="D556" i="3" s="1"/>
  <c r="B555" i="3"/>
  <c r="H556" i="3" l="1"/>
  <c r="I556" i="3"/>
  <c r="F555" i="3"/>
  <c r="G555" i="3" s="1"/>
  <c r="N554" i="3"/>
  <c r="O554" i="3" s="1"/>
  <c r="P554" i="3" s="1"/>
  <c r="L555" i="3"/>
  <c r="C556" i="3"/>
  <c r="J555" i="3"/>
  <c r="K555" i="3" s="1"/>
  <c r="M555" i="3"/>
  <c r="Q553" i="3"/>
  <c r="E556" i="3"/>
  <c r="A557" i="3"/>
  <c r="D557" i="3" s="1"/>
  <c r="B556" i="3"/>
  <c r="H557" i="3" l="1"/>
  <c r="I557" i="3"/>
  <c r="F556" i="3"/>
  <c r="G556" i="3" s="1"/>
  <c r="N555" i="3"/>
  <c r="O555" i="3" s="1"/>
  <c r="P555" i="3" s="1"/>
  <c r="L556" i="3"/>
  <c r="C557" i="3"/>
  <c r="J556" i="3"/>
  <c r="K556" i="3" s="1"/>
  <c r="M556" i="3"/>
  <c r="Q554" i="3"/>
  <c r="E557" i="3"/>
  <c r="A558" i="3"/>
  <c r="D558" i="3" s="1"/>
  <c r="B557" i="3"/>
  <c r="H558" i="3" l="1"/>
  <c r="I558" i="3"/>
  <c r="N556" i="3"/>
  <c r="O556" i="3" s="1"/>
  <c r="P556" i="3" s="1"/>
  <c r="F557" i="3"/>
  <c r="G557" i="3" s="1"/>
  <c r="L557" i="3"/>
  <c r="J557" i="3"/>
  <c r="K557" i="3" s="1"/>
  <c r="M557" i="3"/>
  <c r="C558" i="3"/>
  <c r="Q555" i="3"/>
  <c r="E558" i="3"/>
  <c r="A559" i="3"/>
  <c r="D559" i="3" s="1"/>
  <c r="B558" i="3"/>
  <c r="H559" i="3" l="1"/>
  <c r="I559" i="3"/>
  <c r="N557" i="3"/>
  <c r="O557" i="3" s="1"/>
  <c r="P557" i="3" s="1"/>
  <c r="F558" i="3"/>
  <c r="G558" i="3" s="1"/>
  <c r="L558" i="3"/>
  <c r="J558" i="3"/>
  <c r="K558" i="3" s="1"/>
  <c r="M558" i="3"/>
  <c r="C559" i="3"/>
  <c r="Q556" i="3"/>
  <c r="E559" i="3"/>
  <c r="A560" i="3"/>
  <c r="D560" i="3" s="1"/>
  <c r="B559" i="3"/>
  <c r="H560" i="3" l="1"/>
  <c r="I560" i="3"/>
  <c r="N558" i="3"/>
  <c r="O558" i="3" s="1"/>
  <c r="P558" i="3" s="1"/>
  <c r="L559" i="3"/>
  <c r="F559" i="3"/>
  <c r="G559" i="3" s="1"/>
  <c r="J559" i="3"/>
  <c r="K559" i="3" s="1"/>
  <c r="M559" i="3"/>
  <c r="C560" i="3"/>
  <c r="Q557" i="3"/>
  <c r="E560" i="3"/>
  <c r="A561" i="3"/>
  <c r="D561" i="3" s="1"/>
  <c r="B560" i="3"/>
  <c r="H561" i="3" l="1"/>
  <c r="I561" i="3"/>
  <c r="N559" i="3"/>
  <c r="O559" i="3" s="1"/>
  <c r="P559" i="3" s="1"/>
  <c r="F560" i="3"/>
  <c r="G560" i="3" s="1"/>
  <c r="L560" i="3"/>
  <c r="J560" i="3"/>
  <c r="K560" i="3" s="1"/>
  <c r="M560" i="3"/>
  <c r="C561" i="3"/>
  <c r="Q558" i="3"/>
  <c r="E561" i="3"/>
  <c r="A562" i="3"/>
  <c r="D562" i="3" s="1"/>
  <c r="B561" i="3"/>
  <c r="H562" i="3" l="1"/>
  <c r="I562" i="3"/>
  <c r="N560" i="3"/>
  <c r="O560" i="3" s="1"/>
  <c r="P560" i="3" s="1"/>
  <c r="L561" i="3"/>
  <c r="F561" i="3"/>
  <c r="G561" i="3" s="1"/>
  <c r="J561" i="3"/>
  <c r="K561" i="3" s="1"/>
  <c r="M561" i="3"/>
  <c r="C562" i="3"/>
  <c r="Q559" i="3"/>
  <c r="E562" i="3"/>
  <c r="A563" i="3"/>
  <c r="D563" i="3" s="1"/>
  <c r="B562" i="3"/>
  <c r="H563" i="3" l="1"/>
  <c r="I563" i="3"/>
  <c r="N561" i="3"/>
  <c r="O561" i="3" s="1"/>
  <c r="P561" i="3" s="1"/>
  <c r="L562" i="3"/>
  <c r="F562" i="3"/>
  <c r="G562" i="3" s="1"/>
  <c r="J562" i="3"/>
  <c r="K562" i="3" s="1"/>
  <c r="M562" i="3"/>
  <c r="C563" i="3"/>
  <c r="Q560" i="3"/>
  <c r="E563" i="3"/>
  <c r="A564" i="3"/>
  <c r="D564" i="3" s="1"/>
  <c r="B563" i="3"/>
  <c r="H564" i="3" l="1"/>
  <c r="I564" i="3"/>
  <c r="N562" i="3"/>
  <c r="O562" i="3" s="1"/>
  <c r="P562" i="3" s="1"/>
  <c r="F563" i="3"/>
  <c r="G563" i="3" s="1"/>
  <c r="L563" i="3"/>
  <c r="C564" i="3"/>
  <c r="J563" i="3"/>
  <c r="K563" i="3" s="1"/>
  <c r="M563" i="3"/>
  <c r="Q561" i="3"/>
  <c r="E564" i="3"/>
  <c r="A565" i="3"/>
  <c r="D565" i="3" s="1"/>
  <c r="B564" i="3"/>
  <c r="H565" i="3" l="1"/>
  <c r="I565" i="3"/>
  <c r="N563" i="3"/>
  <c r="O563" i="3" s="1"/>
  <c r="P563" i="3" s="1"/>
  <c r="F564" i="3"/>
  <c r="G564" i="3" s="1"/>
  <c r="L564" i="3"/>
  <c r="C565" i="3"/>
  <c r="J564" i="3"/>
  <c r="K564" i="3" s="1"/>
  <c r="M564" i="3"/>
  <c r="Q562" i="3"/>
  <c r="E565" i="3"/>
  <c r="A566" i="3"/>
  <c r="D566" i="3" s="1"/>
  <c r="B565" i="3"/>
  <c r="H566" i="3" l="1"/>
  <c r="I566" i="3"/>
  <c r="F565" i="3"/>
  <c r="G565" i="3" s="1"/>
  <c r="N564" i="3"/>
  <c r="O564" i="3" s="1"/>
  <c r="P564" i="3" s="1"/>
  <c r="C566" i="3"/>
  <c r="J565" i="3"/>
  <c r="K565" i="3" s="1"/>
  <c r="M565" i="3"/>
  <c r="L565" i="3"/>
  <c r="Q563" i="3"/>
  <c r="E566" i="3"/>
  <c r="A567" i="3"/>
  <c r="D567" i="3" s="1"/>
  <c r="B566" i="3"/>
  <c r="H567" i="3" l="1"/>
  <c r="I567" i="3"/>
  <c r="F566" i="3"/>
  <c r="G566" i="3" s="1"/>
  <c r="N565" i="3"/>
  <c r="O565" i="3" s="1"/>
  <c r="P565" i="3" s="1"/>
  <c r="L566" i="3"/>
  <c r="J566" i="3"/>
  <c r="K566" i="3" s="1"/>
  <c r="M566" i="3"/>
  <c r="C567" i="3"/>
  <c r="Q564" i="3"/>
  <c r="E567" i="3"/>
  <c r="A568" i="3"/>
  <c r="D568" i="3" s="1"/>
  <c r="B567" i="3"/>
  <c r="I568" i="3" l="1"/>
  <c r="H568" i="3"/>
  <c r="L567" i="3"/>
  <c r="N566" i="3"/>
  <c r="O566" i="3" s="1"/>
  <c r="P566" i="3" s="1"/>
  <c r="F567" i="3"/>
  <c r="G567" i="3" s="1"/>
  <c r="J567" i="3"/>
  <c r="K567" i="3" s="1"/>
  <c r="M567" i="3"/>
  <c r="C568" i="3"/>
  <c r="Q565" i="3"/>
  <c r="E568" i="3"/>
  <c r="A569" i="3"/>
  <c r="D569" i="3" s="1"/>
  <c r="B568" i="3"/>
  <c r="H569" i="3" l="1"/>
  <c r="I569" i="3"/>
  <c r="N567" i="3"/>
  <c r="O567" i="3" s="1"/>
  <c r="P567" i="3" s="1"/>
  <c r="L568" i="3"/>
  <c r="F568" i="3"/>
  <c r="G568" i="3" s="1"/>
  <c r="J568" i="3"/>
  <c r="K568" i="3" s="1"/>
  <c r="M568" i="3"/>
  <c r="C569" i="3"/>
  <c r="Q566" i="3"/>
  <c r="E569" i="3"/>
  <c r="A570" i="3"/>
  <c r="D570" i="3" s="1"/>
  <c r="B569" i="3"/>
  <c r="H570" i="3" l="1"/>
  <c r="I570" i="3"/>
  <c r="N568" i="3"/>
  <c r="O568" i="3" s="1"/>
  <c r="P568" i="3" s="1"/>
  <c r="F569" i="3"/>
  <c r="G569" i="3" s="1"/>
  <c r="L569" i="3"/>
  <c r="C570" i="3"/>
  <c r="J569" i="3"/>
  <c r="K569" i="3" s="1"/>
  <c r="M569" i="3"/>
  <c r="Q567" i="3"/>
  <c r="E570" i="3"/>
  <c r="A571" i="3"/>
  <c r="D571" i="3" s="1"/>
  <c r="B570" i="3"/>
  <c r="H571" i="3" l="1"/>
  <c r="I571" i="3"/>
  <c r="N569" i="3"/>
  <c r="O569" i="3" s="1"/>
  <c r="P569" i="3" s="1"/>
  <c r="F570" i="3"/>
  <c r="G570" i="3" s="1"/>
  <c r="L570" i="3"/>
  <c r="C571" i="3"/>
  <c r="J570" i="3"/>
  <c r="K570" i="3" s="1"/>
  <c r="M570" i="3"/>
  <c r="Q568" i="3"/>
  <c r="E571" i="3"/>
  <c r="A572" i="3"/>
  <c r="D572" i="3" s="1"/>
  <c r="B571" i="3"/>
  <c r="H572" i="3" l="1"/>
  <c r="I572" i="3"/>
  <c r="N570" i="3"/>
  <c r="O570" i="3" s="1"/>
  <c r="P570" i="3" s="1"/>
  <c r="F571" i="3"/>
  <c r="G571" i="3" s="1"/>
  <c r="L571" i="3"/>
  <c r="C572" i="3"/>
  <c r="J571" i="3"/>
  <c r="K571" i="3" s="1"/>
  <c r="M571" i="3"/>
  <c r="Q569" i="3"/>
  <c r="E572" i="3"/>
  <c r="A573" i="3"/>
  <c r="D573" i="3" s="1"/>
  <c r="B572" i="3"/>
  <c r="H573" i="3" l="1"/>
  <c r="I573" i="3"/>
  <c r="F572" i="3"/>
  <c r="G572" i="3" s="1"/>
  <c r="N571" i="3"/>
  <c r="O571" i="3" s="1"/>
  <c r="P571" i="3" s="1"/>
  <c r="L572" i="3"/>
  <c r="C573" i="3"/>
  <c r="J572" i="3"/>
  <c r="K572" i="3" s="1"/>
  <c r="M572" i="3"/>
  <c r="Q570" i="3"/>
  <c r="E573" i="3"/>
  <c r="A574" i="3"/>
  <c r="D574" i="3" s="1"/>
  <c r="B573" i="3"/>
  <c r="H574" i="3" l="1"/>
  <c r="I574" i="3"/>
  <c r="F573" i="3"/>
  <c r="G573" i="3" s="1"/>
  <c r="N572" i="3"/>
  <c r="O572" i="3" s="1"/>
  <c r="P572" i="3" s="1"/>
  <c r="L573" i="3"/>
  <c r="C574" i="3"/>
  <c r="J573" i="3"/>
  <c r="K573" i="3" s="1"/>
  <c r="M573" i="3"/>
  <c r="Q571" i="3"/>
  <c r="E574" i="3"/>
  <c r="A575" i="3"/>
  <c r="D575" i="3" s="1"/>
  <c r="B574" i="3"/>
  <c r="H575" i="3" l="1"/>
  <c r="I575" i="3"/>
  <c r="F574" i="3"/>
  <c r="G574" i="3" s="1"/>
  <c r="N573" i="3"/>
  <c r="O573" i="3" s="1"/>
  <c r="P573" i="3" s="1"/>
  <c r="L574" i="3"/>
  <c r="C575" i="3"/>
  <c r="J574" i="3"/>
  <c r="K574" i="3" s="1"/>
  <c r="M574" i="3"/>
  <c r="Q572" i="3"/>
  <c r="E575" i="3"/>
  <c r="A576" i="3"/>
  <c r="D576" i="3" s="1"/>
  <c r="B575" i="3"/>
  <c r="H576" i="3" l="1"/>
  <c r="I576" i="3"/>
  <c r="F575" i="3"/>
  <c r="G575" i="3" s="1"/>
  <c r="N574" i="3"/>
  <c r="O574" i="3" s="1"/>
  <c r="P574" i="3" s="1"/>
  <c r="L575" i="3"/>
  <c r="C576" i="3"/>
  <c r="J575" i="3"/>
  <c r="K575" i="3" s="1"/>
  <c r="M575" i="3"/>
  <c r="Q573" i="3"/>
  <c r="E576" i="3"/>
  <c r="A577" i="3"/>
  <c r="D577" i="3" s="1"/>
  <c r="B576" i="3"/>
  <c r="H577" i="3" l="1"/>
  <c r="I577" i="3"/>
  <c r="F576" i="3"/>
  <c r="G576" i="3" s="1"/>
  <c r="N575" i="3"/>
  <c r="O575" i="3" s="1"/>
  <c r="P575" i="3" s="1"/>
  <c r="L576" i="3"/>
  <c r="C577" i="3"/>
  <c r="J576" i="3"/>
  <c r="K576" i="3" s="1"/>
  <c r="M576" i="3"/>
  <c r="Q574" i="3"/>
  <c r="E577" i="3"/>
  <c r="A578" i="3"/>
  <c r="D578" i="3" s="1"/>
  <c r="B577" i="3"/>
  <c r="H578" i="3" l="1"/>
  <c r="I578" i="3"/>
  <c r="F577" i="3"/>
  <c r="G577" i="3" s="1"/>
  <c r="N576" i="3"/>
  <c r="O576" i="3" s="1"/>
  <c r="P576" i="3" s="1"/>
  <c r="L577" i="3"/>
  <c r="C578" i="3"/>
  <c r="J577" i="3"/>
  <c r="K577" i="3" s="1"/>
  <c r="M577" i="3"/>
  <c r="Q575" i="3"/>
  <c r="E578" i="3"/>
  <c r="A579" i="3"/>
  <c r="D579" i="3" s="1"/>
  <c r="B578" i="3"/>
  <c r="H579" i="3" l="1"/>
  <c r="I579" i="3"/>
  <c r="N577" i="3"/>
  <c r="O577" i="3" s="1"/>
  <c r="P577" i="3" s="1"/>
  <c r="L578" i="3"/>
  <c r="F578" i="3"/>
  <c r="G578" i="3" s="1"/>
  <c r="J578" i="3"/>
  <c r="K578" i="3" s="1"/>
  <c r="M578" i="3"/>
  <c r="C579" i="3"/>
  <c r="Q576" i="3"/>
  <c r="E579" i="3"/>
  <c r="A580" i="3"/>
  <c r="D580" i="3" s="1"/>
  <c r="B579" i="3"/>
  <c r="H580" i="3" l="1"/>
  <c r="I580" i="3"/>
  <c r="F579" i="3"/>
  <c r="G579" i="3" s="1"/>
  <c r="N578" i="3"/>
  <c r="O578" i="3" s="1"/>
  <c r="P578" i="3" s="1"/>
  <c r="L579" i="3"/>
  <c r="J579" i="3"/>
  <c r="K579" i="3" s="1"/>
  <c r="M579" i="3"/>
  <c r="C580" i="3"/>
  <c r="Q577" i="3"/>
  <c r="E580" i="3"/>
  <c r="A581" i="3"/>
  <c r="D581" i="3" s="1"/>
  <c r="B580" i="3"/>
  <c r="H581" i="3" l="1"/>
  <c r="I581" i="3"/>
  <c r="N579" i="3"/>
  <c r="O579" i="3" s="1"/>
  <c r="P579" i="3" s="1"/>
  <c r="F580" i="3"/>
  <c r="G580" i="3" s="1"/>
  <c r="L580" i="3"/>
  <c r="J580" i="3"/>
  <c r="K580" i="3" s="1"/>
  <c r="M580" i="3"/>
  <c r="C581" i="3"/>
  <c r="Q578" i="3"/>
  <c r="E581" i="3"/>
  <c r="A582" i="3"/>
  <c r="D582" i="3" s="1"/>
  <c r="B581" i="3"/>
  <c r="H582" i="3" l="1"/>
  <c r="I582" i="3"/>
  <c r="F581" i="3"/>
  <c r="G581" i="3" s="1"/>
  <c r="N580" i="3"/>
  <c r="O580" i="3" s="1"/>
  <c r="P580" i="3" s="1"/>
  <c r="L581" i="3"/>
  <c r="J581" i="3"/>
  <c r="K581" i="3" s="1"/>
  <c r="M581" i="3"/>
  <c r="C582" i="3"/>
  <c r="Q579" i="3"/>
  <c r="E582" i="3"/>
  <c r="A583" i="3"/>
  <c r="D583" i="3" s="1"/>
  <c r="B582" i="3"/>
  <c r="H583" i="3" l="1"/>
  <c r="I583" i="3"/>
  <c r="N581" i="3"/>
  <c r="O581" i="3" s="1"/>
  <c r="P581" i="3" s="1"/>
  <c r="F582" i="3"/>
  <c r="G582" i="3" s="1"/>
  <c r="L582" i="3"/>
  <c r="J582" i="3"/>
  <c r="K582" i="3" s="1"/>
  <c r="M582" i="3"/>
  <c r="C583" i="3"/>
  <c r="Q580" i="3"/>
  <c r="E583" i="3"/>
  <c r="A584" i="3"/>
  <c r="D584" i="3" s="1"/>
  <c r="B583" i="3"/>
  <c r="H584" i="3" l="1"/>
  <c r="I584" i="3"/>
  <c r="N582" i="3"/>
  <c r="O582" i="3" s="1"/>
  <c r="P582" i="3" s="1"/>
  <c r="F583" i="3"/>
  <c r="G583" i="3" s="1"/>
  <c r="L583" i="3"/>
  <c r="J583" i="3"/>
  <c r="K583" i="3" s="1"/>
  <c r="M583" i="3"/>
  <c r="C584" i="3"/>
  <c r="Q581" i="3"/>
  <c r="E584" i="3"/>
  <c r="A585" i="3"/>
  <c r="D585" i="3" s="1"/>
  <c r="B584" i="3"/>
  <c r="H585" i="3" l="1"/>
  <c r="I585" i="3"/>
  <c r="N583" i="3"/>
  <c r="O583" i="3" s="1"/>
  <c r="P583" i="3" s="1"/>
  <c r="F584" i="3"/>
  <c r="G584" i="3" s="1"/>
  <c r="L584" i="3"/>
  <c r="J584" i="3"/>
  <c r="K584" i="3" s="1"/>
  <c r="M584" i="3"/>
  <c r="C585" i="3"/>
  <c r="Q582" i="3"/>
  <c r="E585" i="3"/>
  <c r="A586" i="3"/>
  <c r="D586" i="3" s="1"/>
  <c r="B585" i="3"/>
  <c r="H586" i="3" l="1"/>
  <c r="I586" i="3"/>
  <c r="N584" i="3"/>
  <c r="O584" i="3" s="1"/>
  <c r="P584" i="3" s="1"/>
  <c r="F585" i="3"/>
  <c r="G585" i="3" s="1"/>
  <c r="L585" i="3"/>
  <c r="J585" i="3"/>
  <c r="K585" i="3" s="1"/>
  <c r="M585" i="3"/>
  <c r="C586" i="3"/>
  <c r="Q583" i="3"/>
  <c r="E586" i="3"/>
  <c r="A587" i="3"/>
  <c r="D587" i="3" s="1"/>
  <c r="B586" i="3"/>
  <c r="H587" i="3" l="1"/>
  <c r="I587" i="3"/>
  <c r="N585" i="3"/>
  <c r="O585" i="3" s="1"/>
  <c r="P585" i="3" s="1"/>
  <c r="F586" i="3"/>
  <c r="G586" i="3" s="1"/>
  <c r="L586" i="3"/>
  <c r="J586" i="3"/>
  <c r="K586" i="3" s="1"/>
  <c r="M586" i="3"/>
  <c r="C587" i="3"/>
  <c r="Q584" i="3"/>
  <c r="E587" i="3"/>
  <c r="A588" i="3"/>
  <c r="D588" i="3" s="1"/>
  <c r="B587" i="3"/>
  <c r="H588" i="3" l="1"/>
  <c r="I588" i="3"/>
  <c r="F587" i="3"/>
  <c r="G587" i="3" s="1"/>
  <c r="N586" i="3"/>
  <c r="O586" i="3" s="1"/>
  <c r="P586" i="3" s="1"/>
  <c r="L587" i="3"/>
  <c r="C588" i="3"/>
  <c r="J587" i="3"/>
  <c r="K587" i="3" s="1"/>
  <c r="M587" i="3"/>
  <c r="Q585" i="3"/>
  <c r="E588" i="3"/>
  <c r="A589" i="3"/>
  <c r="D589" i="3" s="1"/>
  <c r="B588" i="3"/>
  <c r="H589" i="3" l="1"/>
  <c r="I589" i="3"/>
  <c r="F588" i="3"/>
  <c r="G588" i="3" s="1"/>
  <c r="N587" i="3"/>
  <c r="O587" i="3" s="1"/>
  <c r="P587" i="3" s="1"/>
  <c r="L588" i="3"/>
  <c r="C589" i="3"/>
  <c r="J588" i="3"/>
  <c r="K588" i="3" s="1"/>
  <c r="M588" i="3"/>
  <c r="Q586" i="3"/>
  <c r="E589" i="3"/>
  <c r="A590" i="3"/>
  <c r="D590" i="3" s="1"/>
  <c r="B589" i="3"/>
  <c r="H590" i="3" l="1"/>
  <c r="I590" i="3"/>
  <c r="F589" i="3"/>
  <c r="G589" i="3" s="1"/>
  <c r="N588" i="3"/>
  <c r="O588" i="3" s="1"/>
  <c r="P588" i="3" s="1"/>
  <c r="L589" i="3"/>
  <c r="C590" i="3"/>
  <c r="J589" i="3"/>
  <c r="K589" i="3" s="1"/>
  <c r="M589" i="3"/>
  <c r="Q587" i="3"/>
  <c r="E590" i="3"/>
  <c r="A591" i="3"/>
  <c r="D591" i="3" s="1"/>
  <c r="B590" i="3"/>
  <c r="H591" i="3" l="1"/>
  <c r="I591" i="3"/>
  <c r="F590" i="3"/>
  <c r="G590" i="3" s="1"/>
  <c r="N589" i="3"/>
  <c r="O589" i="3" s="1"/>
  <c r="P589" i="3" s="1"/>
  <c r="L590" i="3"/>
  <c r="C591" i="3"/>
  <c r="J590" i="3"/>
  <c r="K590" i="3" s="1"/>
  <c r="M590" i="3"/>
  <c r="Q588" i="3"/>
  <c r="E591" i="3"/>
  <c r="A592" i="3"/>
  <c r="D592" i="3" s="1"/>
  <c r="B591" i="3"/>
  <c r="H592" i="3" l="1"/>
  <c r="I592" i="3"/>
  <c r="F591" i="3"/>
  <c r="G591" i="3" s="1"/>
  <c r="N590" i="3"/>
  <c r="O590" i="3" s="1"/>
  <c r="P590" i="3" s="1"/>
  <c r="L591" i="3"/>
  <c r="C592" i="3"/>
  <c r="J591" i="3"/>
  <c r="K591" i="3" s="1"/>
  <c r="M591" i="3"/>
  <c r="Q589" i="3"/>
  <c r="E592" i="3"/>
  <c r="A593" i="3"/>
  <c r="D593" i="3" s="1"/>
  <c r="B592" i="3"/>
  <c r="H593" i="3" l="1"/>
  <c r="I593" i="3"/>
  <c r="F592" i="3"/>
  <c r="G592" i="3" s="1"/>
  <c r="N591" i="3"/>
  <c r="O591" i="3" s="1"/>
  <c r="P591" i="3" s="1"/>
  <c r="L592" i="3"/>
  <c r="J592" i="3"/>
  <c r="K592" i="3" s="1"/>
  <c r="M592" i="3"/>
  <c r="C593" i="3"/>
  <c r="Q590" i="3"/>
  <c r="E593" i="3"/>
  <c r="A594" i="3"/>
  <c r="D594" i="3" s="1"/>
  <c r="B593" i="3"/>
  <c r="H594" i="3" l="1"/>
  <c r="I594" i="3"/>
  <c r="N592" i="3"/>
  <c r="O592" i="3" s="1"/>
  <c r="P592" i="3" s="1"/>
  <c r="F593" i="3"/>
  <c r="G593" i="3" s="1"/>
  <c r="L593" i="3"/>
  <c r="C594" i="3"/>
  <c r="J593" i="3"/>
  <c r="K593" i="3" s="1"/>
  <c r="M593" i="3"/>
  <c r="Q591" i="3"/>
  <c r="E594" i="3"/>
  <c r="A595" i="3"/>
  <c r="D595" i="3" s="1"/>
  <c r="B594" i="3"/>
  <c r="H595" i="3" l="1"/>
  <c r="I595" i="3"/>
  <c r="F594" i="3"/>
  <c r="G594" i="3" s="1"/>
  <c r="N593" i="3"/>
  <c r="O593" i="3" s="1"/>
  <c r="P593" i="3" s="1"/>
  <c r="L594" i="3"/>
  <c r="C595" i="3"/>
  <c r="J594" i="3"/>
  <c r="K594" i="3" s="1"/>
  <c r="M594" i="3"/>
  <c r="Q592" i="3"/>
  <c r="E595" i="3"/>
  <c r="A596" i="3"/>
  <c r="D596" i="3" s="1"/>
  <c r="B595" i="3"/>
  <c r="H596" i="3" l="1"/>
  <c r="I596" i="3"/>
  <c r="N594" i="3"/>
  <c r="O594" i="3" s="1"/>
  <c r="P594" i="3" s="1"/>
  <c r="L595" i="3"/>
  <c r="F595" i="3"/>
  <c r="G595" i="3" s="1"/>
  <c r="J595" i="3"/>
  <c r="K595" i="3" s="1"/>
  <c r="M595" i="3"/>
  <c r="C596" i="3"/>
  <c r="Q593" i="3"/>
  <c r="E596" i="3"/>
  <c r="A597" i="3"/>
  <c r="D597" i="3" s="1"/>
  <c r="B596" i="3"/>
  <c r="H597" i="3" l="1"/>
  <c r="I597" i="3"/>
  <c r="N595" i="3"/>
  <c r="O595" i="3" s="1"/>
  <c r="P595" i="3" s="1"/>
  <c r="L596" i="3"/>
  <c r="F596" i="3"/>
  <c r="G596" i="3" s="1"/>
  <c r="J596" i="3"/>
  <c r="K596" i="3" s="1"/>
  <c r="M596" i="3"/>
  <c r="C597" i="3"/>
  <c r="Q594" i="3"/>
  <c r="E597" i="3"/>
  <c r="A598" i="3"/>
  <c r="D598" i="3" s="1"/>
  <c r="B597" i="3"/>
  <c r="I598" i="3" l="1"/>
  <c r="H598" i="3"/>
  <c r="N596" i="3"/>
  <c r="O596" i="3" s="1"/>
  <c r="P596" i="3" s="1"/>
  <c r="L597" i="3"/>
  <c r="F597" i="3"/>
  <c r="G597" i="3" s="1"/>
  <c r="J597" i="3"/>
  <c r="K597" i="3" s="1"/>
  <c r="M597" i="3"/>
  <c r="C598" i="3"/>
  <c r="Q595" i="3"/>
  <c r="E598" i="3"/>
  <c r="A599" i="3"/>
  <c r="D599" i="3" s="1"/>
  <c r="B598" i="3"/>
  <c r="H599" i="3" l="1"/>
  <c r="I599" i="3"/>
  <c r="N597" i="3"/>
  <c r="O597" i="3" s="1"/>
  <c r="P597" i="3" s="1"/>
  <c r="L598" i="3"/>
  <c r="F598" i="3"/>
  <c r="G598" i="3" s="1"/>
  <c r="J598" i="3"/>
  <c r="K598" i="3" s="1"/>
  <c r="M598" i="3"/>
  <c r="C599" i="3"/>
  <c r="Q596" i="3"/>
  <c r="E599" i="3"/>
  <c r="A600" i="3"/>
  <c r="D600" i="3" s="1"/>
  <c r="B599" i="3"/>
  <c r="H600" i="3" l="1"/>
  <c r="I600" i="3"/>
  <c r="N598" i="3"/>
  <c r="O598" i="3" s="1"/>
  <c r="P598" i="3" s="1"/>
  <c r="F599" i="3"/>
  <c r="G599" i="3" s="1"/>
  <c r="L599" i="3"/>
  <c r="J599" i="3"/>
  <c r="K599" i="3" s="1"/>
  <c r="M599" i="3"/>
  <c r="C600" i="3"/>
  <c r="Q597" i="3"/>
  <c r="E600" i="3"/>
  <c r="A601" i="3"/>
  <c r="D601" i="3" s="1"/>
  <c r="B600" i="3"/>
  <c r="H601" i="3" l="1"/>
  <c r="I601" i="3"/>
  <c r="N599" i="3"/>
  <c r="O599" i="3" s="1"/>
  <c r="P599" i="3" s="1"/>
  <c r="F600" i="3"/>
  <c r="G600" i="3" s="1"/>
  <c r="L600" i="3"/>
  <c r="J600" i="3"/>
  <c r="K600" i="3" s="1"/>
  <c r="M600" i="3"/>
  <c r="C601" i="3"/>
  <c r="Q598" i="3"/>
  <c r="E601" i="3"/>
  <c r="A602" i="3"/>
  <c r="D602" i="3" s="1"/>
  <c r="B601" i="3"/>
  <c r="H602" i="3" l="1"/>
  <c r="I602" i="3"/>
  <c r="N600" i="3"/>
  <c r="O600" i="3" s="1"/>
  <c r="P600" i="3" s="1"/>
  <c r="F601" i="3"/>
  <c r="G601" i="3" s="1"/>
  <c r="L601" i="3"/>
  <c r="J601" i="3"/>
  <c r="K601" i="3" s="1"/>
  <c r="M601" i="3"/>
  <c r="C602" i="3"/>
  <c r="Q599" i="3"/>
  <c r="E602" i="3"/>
  <c r="A603" i="3"/>
  <c r="D603" i="3" s="1"/>
  <c r="B602" i="3"/>
  <c r="H603" i="3" l="1"/>
  <c r="I603" i="3"/>
  <c r="N601" i="3"/>
  <c r="O601" i="3" s="1"/>
  <c r="P601" i="3" s="1"/>
  <c r="F602" i="3"/>
  <c r="G602" i="3" s="1"/>
  <c r="L602" i="3"/>
  <c r="C603" i="3"/>
  <c r="J602" i="3"/>
  <c r="K602" i="3" s="1"/>
  <c r="M602" i="3"/>
  <c r="Q600" i="3"/>
  <c r="E603" i="3"/>
  <c r="A604" i="3"/>
  <c r="D604" i="3" s="1"/>
  <c r="B603" i="3"/>
  <c r="H604" i="3" l="1"/>
  <c r="I604" i="3"/>
  <c r="N602" i="3"/>
  <c r="O602" i="3" s="1"/>
  <c r="P602" i="3" s="1"/>
  <c r="F603" i="3"/>
  <c r="G603" i="3" s="1"/>
  <c r="L603" i="3"/>
  <c r="J603" i="3"/>
  <c r="K603" i="3" s="1"/>
  <c r="M603" i="3"/>
  <c r="C604" i="3"/>
  <c r="Q601" i="3"/>
  <c r="E604" i="3"/>
  <c r="A605" i="3"/>
  <c r="D605" i="3" s="1"/>
  <c r="B604" i="3"/>
  <c r="H605" i="3" l="1"/>
  <c r="I605" i="3"/>
  <c r="N603" i="3"/>
  <c r="O603" i="3" s="1"/>
  <c r="P603" i="3" s="1"/>
  <c r="F604" i="3"/>
  <c r="G604" i="3" s="1"/>
  <c r="L604" i="3"/>
  <c r="J604" i="3"/>
  <c r="K604" i="3" s="1"/>
  <c r="M604" i="3"/>
  <c r="C605" i="3"/>
  <c r="Q602" i="3"/>
  <c r="E605" i="3"/>
  <c r="A606" i="3"/>
  <c r="D606" i="3" s="1"/>
  <c r="B605" i="3"/>
  <c r="H606" i="3" l="1"/>
  <c r="I606" i="3"/>
  <c r="N604" i="3"/>
  <c r="O604" i="3" s="1"/>
  <c r="P604" i="3" s="1"/>
  <c r="F605" i="3"/>
  <c r="G605" i="3" s="1"/>
  <c r="L605" i="3"/>
  <c r="C606" i="3"/>
  <c r="J605" i="3"/>
  <c r="K605" i="3" s="1"/>
  <c r="M605" i="3"/>
  <c r="Q603" i="3"/>
  <c r="E606" i="3"/>
  <c r="A607" i="3"/>
  <c r="D607" i="3" s="1"/>
  <c r="B606" i="3"/>
  <c r="H607" i="3" l="1"/>
  <c r="I607" i="3"/>
  <c r="F606" i="3"/>
  <c r="G606" i="3" s="1"/>
  <c r="N605" i="3"/>
  <c r="O605" i="3" s="1"/>
  <c r="P605" i="3" s="1"/>
  <c r="L606" i="3"/>
  <c r="C607" i="3"/>
  <c r="J606" i="3"/>
  <c r="K606" i="3" s="1"/>
  <c r="M606" i="3"/>
  <c r="Q604" i="3"/>
  <c r="E607" i="3"/>
  <c r="A608" i="3"/>
  <c r="D608" i="3" s="1"/>
  <c r="B607" i="3"/>
  <c r="H608" i="3" l="1"/>
  <c r="I608" i="3"/>
  <c r="F607" i="3"/>
  <c r="G607" i="3" s="1"/>
  <c r="N606" i="3"/>
  <c r="O606" i="3" s="1"/>
  <c r="P606" i="3" s="1"/>
  <c r="L607" i="3"/>
  <c r="J607" i="3"/>
  <c r="K607" i="3" s="1"/>
  <c r="M607" i="3"/>
  <c r="C608" i="3"/>
  <c r="Q605" i="3"/>
  <c r="E608" i="3"/>
  <c r="A609" i="3"/>
  <c r="D609" i="3" s="1"/>
  <c r="B608" i="3"/>
  <c r="I609" i="3" l="1"/>
  <c r="H609" i="3"/>
  <c r="N607" i="3"/>
  <c r="O607" i="3" s="1"/>
  <c r="P607" i="3" s="1"/>
  <c r="L608" i="3"/>
  <c r="F608" i="3"/>
  <c r="G608" i="3" s="1"/>
  <c r="J608" i="3"/>
  <c r="K608" i="3" s="1"/>
  <c r="M608" i="3"/>
  <c r="C609" i="3"/>
  <c r="Q606" i="3"/>
  <c r="E609" i="3"/>
  <c r="A610" i="3"/>
  <c r="D610" i="3" s="1"/>
  <c r="B609" i="3"/>
  <c r="I610" i="3" l="1"/>
  <c r="H610" i="3"/>
  <c r="N608" i="3"/>
  <c r="O608" i="3" s="1"/>
  <c r="P608" i="3" s="1"/>
  <c r="L609" i="3"/>
  <c r="F609" i="3"/>
  <c r="G609" i="3" s="1"/>
  <c r="J609" i="3"/>
  <c r="K609" i="3" s="1"/>
  <c r="M609" i="3"/>
  <c r="C610" i="3"/>
  <c r="Q607" i="3"/>
  <c r="E610" i="3"/>
  <c r="A611" i="3"/>
  <c r="D611" i="3" s="1"/>
  <c r="B610" i="3"/>
  <c r="H611" i="3" l="1"/>
  <c r="I611" i="3"/>
  <c r="N609" i="3"/>
  <c r="O609" i="3" s="1"/>
  <c r="P609" i="3" s="1"/>
  <c r="L610" i="3"/>
  <c r="F610" i="3"/>
  <c r="G610" i="3" s="1"/>
  <c r="J610" i="3"/>
  <c r="K610" i="3" s="1"/>
  <c r="M610" i="3"/>
  <c r="C611" i="3"/>
  <c r="Q608" i="3"/>
  <c r="E611" i="3"/>
  <c r="A612" i="3"/>
  <c r="D612" i="3" s="1"/>
  <c r="B611" i="3"/>
  <c r="H612" i="3" l="1"/>
  <c r="I612" i="3"/>
  <c r="N610" i="3"/>
  <c r="O610" i="3" s="1"/>
  <c r="P610" i="3" s="1"/>
  <c r="L611" i="3"/>
  <c r="F611" i="3"/>
  <c r="G611" i="3" s="1"/>
  <c r="J611" i="3"/>
  <c r="K611" i="3" s="1"/>
  <c r="M611" i="3"/>
  <c r="C612" i="3"/>
  <c r="Q609" i="3"/>
  <c r="E612" i="3"/>
  <c r="A613" i="3"/>
  <c r="D613" i="3" s="1"/>
  <c r="B612" i="3"/>
  <c r="H613" i="3" l="1"/>
  <c r="I613" i="3"/>
  <c r="N611" i="3"/>
  <c r="O611" i="3" s="1"/>
  <c r="P611" i="3" s="1"/>
  <c r="F612" i="3"/>
  <c r="G612" i="3" s="1"/>
  <c r="L612" i="3"/>
  <c r="J612" i="3"/>
  <c r="K612" i="3" s="1"/>
  <c r="M612" i="3"/>
  <c r="C613" i="3"/>
  <c r="Q610" i="3"/>
  <c r="E613" i="3"/>
  <c r="A614" i="3"/>
  <c r="D614" i="3" s="1"/>
  <c r="B613" i="3"/>
  <c r="H614" i="3" l="1"/>
  <c r="I614" i="3"/>
  <c r="N612" i="3"/>
  <c r="O612" i="3" s="1"/>
  <c r="P612" i="3" s="1"/>
  <c r="F613" i="3"/>
  <c r="G613" i="3" s="1"/>
  <c r="L613" i="3"/>
  <c r="J613" i="3"/>
  <c r="K613" i="3" s="1"/>
  <c r="M613" i="3"/>
  <c r="C614" i="3"/>
  <c r="Q611" i="3"/>
  <c r="E614" i="3"/>
  <c r="A615" i="3"/>
  <c r="D615" i="3" s="1"/>
  <c r="B614" i="3"/>
  <c r="H615" i="3" l="1"/>
  <c r="I615" i="3"/>
  <c r="N613" i="3"/>
  <c r="O613" i="3" s="1"/>
  <c r="P613" i="3" s="1"/>
  <c r="F614" i="3"/>
  <c r="G614" i="3" s="1"/>
  <c r="L614" i="3"/>
  <c r="C615" i="3"/>
  <c r="J614" i="3"/>
  <c r="K614" i="3" s="1"/>
  <c r="M614" i="3"/>
  <c r="Q612" i="3"/>
  <c r="E615" i="3"/>
  <c r="A616" i="3"/>
  <c r="D616" i="3" s="1"/>
  <c r="B615" i="3"/>
  <c r="H616" i="3" l="1"/>
  <c r="I616" i="3"/>
  <c r="F615" i="3"/>
  <c r="G615" i="3" s="1"/>
  <c r="N614" i="3"/>
  <c r="O614" i="3" s="1"/>
  <c r="P614" i="3" s="1"/>
  <c r="L615" i="3"/>
  <c r="J615" i="3"/>
  <c r="K615" i="3" s="1"/>
  <c r="M615" i="3"/>
  <c r="C616" i="3"/>
  <c r="Q613" i="3"/>
  <c r="E616" i="3"/>
  <c r="A617" i="3"/>
  <c r="D617" i="3" s="1"/>
  <c r="B616" i="3"/>
  <c r="H617" i="3" l="1"/>
  <c r="I617" i="3"/>
  <c r="N615" i="3"/>
  <c r="O615" i="3" s="1"/>
  <c r="P615" i="3" s="1"/>
  <c r="L616" i="3"/>
  <c r="F616" i="3"/>
  <c r="G616" i="3" s="1"/>
  <c r="J616" i="3"/>
  <c r="K616" i="3" s="1"/>
  <c r="M616" i="3"/>
  <c r="C617" i="3"/>
  <c r="Q614" i="3"/>
  <c r="E617" i="3"/>
  <c r="A618" i="3"/>
  <c r="D618" i="3" s="1"/>
  <c r="B617" i="3"/>
  <c r="H618" i="3" l="1"/>
  <c r="I618" i="3"/>
  <c r="N616" i="3"/>
  <c r="O616" i="3" s="1"/>
  <c r="P616" i="3" s="1"/>
  <c r="L617" i="3"/>
  <c r="F617" i="3"/>
  <c r="G617" i="3" s="1"/>
  <c r="J617" i="3"/>
  <c r="K617" i="3" s="1"/>
  <c r="M617" i="3"/>
  <c r="C618" i="3"/>
  <c r="Q615" i="3"/>
  <c r="E618" i="3"/>
  <c r="A619" i="3"/>
  <c r="D619" i="3" s="1"/>
  <c r="B618" i="3"/>
  <c r="H619" i="3" l="1"/>
  <c r="I619" i="3"/>
  <c r="N617" i="3"/>
  <c r="O617" i="3" s="1"/>
  <c r="P617" i="3" s="1"/>
  <c r="F618" i="3"/>
  <c r="G618" i="3" s="1"/>
  <c r="L618" i="3"/>
  <c r="C619" i="3"/>
  <c r="J618" i="3"/>
  <c r="K618" i="3" s="1"/>
  <c r="M618" i="3"/>
  <c r="Q616" i="3"/>
  <c r="E619" i="3"/>
  <c r="A620" i="3"/>
  <c r="D620" i="3" s="1"/>
  <c r="B619" i="3"/>
  <c r="I620" i="3" l="1"/>
  <c r="H620" i="3"/>
  <c r="F619" i="3"/>
  <c r="G619" i="3" s="1"/>
  <c r="N618" i="3"/>
  <c r="O618" i="3" s="1"/>
  <c r="P618" i="3" s="1"/>
  <c r="L619" i="3"/>
  <c r="J619" i="3"/>
  <c r="K619" i="3" s="1"/>
  <c r="M619" i="3"/>
  <c r="C620" i="3"/>
  <c r="Q617" i="3"/>
  <c r="E620" i="3"/>
  <c r="A621" i="3"/>
  <c r="D621" i="3" s="1"/>
  <c r="B620" i="3"/>
  <c r="H621" i="3" l="1"/>
  <c r="I621" i="3"/>
  <c r="N619" i="3"/>
  <c r="O619" i="3" s="1"/>
  <c r="P619" i="3" s="1"/>
  <c r="L620" i="3"/>
  <c r="F620" i="3"/>
  <c r="G620" i="3" s="1"/>
  <c r="C621" i="3"/>
  <c r="J620" i="3"/>
  <c r="K620" i="3" s="1"/>
  <c r="M620" i="3"/>
  <c r="Q618" i="3"/>
  <c r="E621" i="3"/>
  <c r="A622" i="3"/>
  <c r="D622" i="3" s="1"/>
  <c r="B621" i="3"/>
  <c r="I622" i="3" l="1"/>
  <c r="H622" i="3"/>
  <c r="F621" i="3"/>
  <c r="G621" i="3" s="1"/>
  <c r="N620" i="3"/>
  <c r="O620" i="3" s="1"/>
  <c r="P620" i="3" s="1"/>
  <c r="L621" i="3"/>
  <c r="C622" i="3"/>
  <c r="J621" i="3"/>
  <c r="K621" i="3" s="1"/>
  <c r="M621" i="3"/>
  <c r="Q619" i="3"/>
  <c r="E622" i="3"/>
  <c r="A623" i="3"/>
  <c r="D623" i="3" s="1"/>
  <c r="B622" i="3"/>
  <c r="H623" i="3" l="1"/>
  <c r="I623" i="3"/>
  <c r="N621" i="3"/>
  <c r="O621" i="3" s="1"/>
  <c r="P621" i="3" s="1"/>
  <c r="L622" i="3"/>
  <c r="F622" i="3"/>
  <c r="G622" i="3" s="1"/>
  <c r="C623" i="3"/>
  <c r="J622" i="3"/>
  <c r="K622" i="3" s="1"/>
  <c r="M622" i="3"/>
  <c r="Q620" i="3"/>
  <c r="E623" i="3"/>
  <c r="A624" i="3"/>
  <c r="D624" i="3" s="1"/>
  <c r="B623" i="3"/>
  <c r="H624" i="3" l="1"/>
  <c r="I624" i="3"/>
  <c r="N622" i="3"/>
  <c r="O622" i="3" s="1"/>
  <c r="P622" i="3" s="1"/>
  <c r="F623" i="3"/>
  <c r="G623" i="3" s="1"/>
  <c r="J623" i="3"/>
  <c r="K623" i="3" s="1"/>
  <c r="M623" i="3"/>
  <c r="L623" i="3"/>
  <c r="C624" i="3"/>
  <c r="Q621" i="3"/>
  <c r="E624" i="3"/>
  <c r="A625" i="3"/>
  <c r="D625" i="3" s="1"/>
  <c r="B624" i="3"/>
  <c r="I625" i="3" l="1"/>
  <c r="H625" i="3"/>
  <c r="N623" i="3"/>
  <c r="O623" i="3" s="1"/>
  <c r="P623" i="3" s="1"/>
  <c r="F624" i="3"/>
  <c r="G624" i="3" s="1"/>
  <c r="L624" i="3"/>
  <c r="C625" i="3"/>
  <c r="J624" i="3"/>
  <c r="K624" i="3" s="1"/>
  <c r="M624" i="3"/>
  <c r="Q622" i="3"/>
  <c r="E625" i="3"/>
  <c r="A626" i="3"/>
  <c r="D626" i="3" s="1"/>
  <c r="B625" i="3"/>
  <c r="H626" i="3" l="1"/>
  <c r="I626" i="3"/>
  <c r="N624" i="3"/>
  <c r="O624" i="3" s="1"/>
  <c r="P624" i="3" s="1"/>
  <c r="F625" i="3"/>
  <c r="G625" i="3" s="1"/>
  <c r="L625" i="3"/>
  <c r="C626" i="3"/>
  <c r="J625" i="3"/>
  <c r="K625" i="3" s="1"/>
  <c r="M625" i="3"/>
  <c r="Q623" i="3"/>
  <c r="E626" i="3"/>
  <c r="A627" i="3"/>
  <c r="D627" i="3" s="1"/>
  <c r="B626" i="3"/>
  <c r="H627" i="3" l="1"/>
  <c r="I627" i="3"/>
  <c r="F626" i="3"/>
  <c r="G626" i="3" s="1"/>
  <c r="N625" i="3"/>
  <c r="O625" i="3" s="1"/>
  <c r="P625" i="3" s="1"/>
  <c r="L626" i="3"/>
  <c r="C627" i="3"/>
  <c r="J626" i="3"/>
  <c r="K626" i="3" s="1"/>
  <c r="M626" i="3"/>
  <c r="Q624" i="3"/>
  <c r="E627" i="3"/>
  <c r="A628" i="3"/>
  <c r="D628" i="3" s="1"/>
  <c r="B627" i="3"/>
  <c r="H628" i="3" l="1"/>
  <c r="I628" i="3"/>
  <c r="F627" i="3"/>
  <c r="G627" i="3" s="1"/>
  <c r="N626" i="3"/>
  <c r="O626" i="3" s="1"/>
  <c r="P626" i="3" s="1"/>
  <c r="L627" i="3"/>
  <c r="C628" i="3"/>
  <c r="J627" i="3"/>
  <c r="K627" i="3" s="1"/>
  <c r="M627" i="3"/>
  <c r="Q625" i="3"/>
  <c r="E628" i="3"/>
  <c r="A629" i="3"/>
  <c r="D629" i="3" s="1"/>
  <c r="B628" i="3"/>
  <c r="H629" i="3" l="1"/>
  <c r="I629" i="3"/>
  <c r="F628" i="3"/>
  <c r="G628" i="3" s="1"/>
  <c r="N627" i="3"/>
  <c r="O627" i="3" s="1"/>
  <c r="P627" i="3" s="1"/>
  <c r="L628" i="3"/>
  <c r="C629" i="3"/>
  <c r="J628" i="3"/>
  <c r="K628" i="3" s="1"/>
  <c r="M628" i="3"/>
  <c r="Q626" i="3"/>
  <c r="E629" i="3"/>
  <c r="A630" i="3"/>
  <c r="D630" i="3" s="1"/>
  <c r="B629" i="3"/>
  <c r="H630" i="3" l="1"/>
  <c r="I630" i="3"/>
  <c r="F629" i="3"/>
  <c r="G629" i="3" s="1"/>
  <c r="N628" i="3"/>
  <c r="O628" i="3" s="1"/>
  <c r="P628" i="3" s="1"/>
  <c r="L629" i="3"/>
  <c r="J629" i="3"/>
  <c r="K629" i="3" s="1"/>
  <c r="M629" i="3"/>
  <c r="C630" i="3"/>
  <c r="Q627" i="3"/>
  <c r="E630" i="3"/>
  <c r="A631" i="3"/>
  <c r="D631" i="3" s="1"/>
  <c r="B630" i="3"/>
  <c r="H631" i="3" l="1"/>
  <c r="I631" i="3"/>
  <c r="N629" i="3"/>
  <c r="O629" i="3" s="1"/>
  <c r="P629" i="3" s="1"/>
  <c r="F630" i="3"/>
  <c r="G630" i="3" s="1"/>
  <c r="L630" i="3"/>
  <c r="J630" i="3"/>
  <c r="K630" i="3" s="1"/>
  <c r="M630" i="3"/>
  <c r="C631" i="3"/>
  <c r="Q628" i="3"/>
  <c r="E631" i="3"/>
  <c r="A632" i="3"/>
  <c r="D632" i="3" s="1"/>
  <c r="B631" i="3"/>
  <c r="H632" i="3" l="1"/>
  <c r="I632" i="3"/>
  <c r="N630" i="3"/>
  <c r="O630" i="3" s="1"/>
  <c r="P630" i="3" s="1"/>
  <c r="F631" i="3"/>
  <c r="G631" i="3" s="1"/>
  <c r="L631" i="3"/>
  <c r="C632" i="3"/>
  <c r="J631" i="3"/>
  <c r="K631" i="3" s="1"/>
  <c r="M631" i="3"/>
  <c r="Q629" i="3"/>
  <c r="E632" i="3"/>
  <c r="A633" i="3"/>
  <c r="D633" i="3" s="1"/>
  <c r="B632" i="3"/>
  <c r="H633" i="3" l="1"/>
  <c r="I633" i="3"/>
  <c r="F632" i="3"/>
  <c r="G632" i="3" s="1"/>
  <c r="N631" i="3"/>
  <c r="O631" i="3" s="1"/>
  <c r="P631" i="3" s="1"/>
  <c r="L632" i="3"/>
  <c r="C633" i="3"/>
  <c r="J632" i="3"/>
  <c r="K632" i="3" s="1"/>
  <c r="M632" i="3"/>
  <c r="Q630" i="3"/>
  <c r="E633" i="3"/>
  <c r="A634" i="3"/>
  <c r="D634" i="3" s="1"/>
  <c r="B633" i="3"/>
  <c r="H634" i="3" l="1"/>
  <c r="I634" i="3"/>
  <c r="F633" i="3"/>
  <c r="G633" i="3" s="1"/>
  <c r="N632" i="3"/>
  <c r="O632" i="3" s="1"/>
  <c r="P632" i="3" s="1"/>
  <c r="L633" i="3"/>
  <c r="C634" i="3"/>
  <c r="J633" i="3"/>
  <c r="K633" i="3" s="1"/>
  <c r="M633" i="3"/>
  <c r="Q631" i="3"/>
  <c r="E634" i="3"/>
  <c r="A635" i="3"/>
  <c r="D635" i="3" s="1"/>
  <c r="B634" i="3"/>
  <c r="H635" i="3" l="1"/>
  <c r="I635" i="3"/>
  <c r="F634" i="3"/>
  <c r="G634" i="3" s="1"/>
  <c r="N633" i="3"/>
  <c r="O633" i="3" s="1"/>
  <c r="P633" i="3" s="1"/>
  <c r="L634" i="3"/>
  <c r="C635" i="3"/>
  <c r="J634" i="3"/>
  <c r="K634" i="3" s="1"/>
  <c r="M634" i="3"/>
  <c r="Q632" i="3"/>
  <c r="E635" i="3"/>
  <c r="A636" i="3"/>
  <c r="D636" i="3" s="1"/>
  <c r="B635" i="3"/>
  <c r="H636" i="3" l="1"/>
  <c r="I636" i="3"/>
  <c r="F635" i="3"/>
  <c r="G635" i="3" s="1"/>
  <c r="N634" i="3"/>
  <c r="O634" i="3" s="1"/>
  <c r="P634" i="3" s="1"/>
  <c r="L635" i="3"/>
  <c r="J635" i="3"/>
  <c r="K635" i="3" s="1"/>
  <c r="M635" i="3"/>
  <c r="C636" i="3"/>
  <c r="Q633" i="3"/>
  <c r="E636" i="3"/>
  <c r="A637" i="3"/>
  <c r="D637" i="3" s="1"/>
  <c r="B636" i="3"/>
  <c r="H637" i="3" l="1"/>
  <c r="I637" i="3"/>
  <c r="N635" i="3"/>
  <c r="O635" i="3" s="1"/>
  <c r="P635" i="3" s="1"/>
  <c r="F636" i="3"/>
  <c r="G636" i="3" s="1"/>
  <c r="L636" i="3"/>
  <c r="C637" i="3"/>
  <c r="J636" i="3"/>
  <c r="K636" i="3" s="1"/>
  <c r="M636" i="3"/>
  <c r="Q634" i="3"/>
  <c r="E637" i="3"/>
  <c r="A638" i="3"/>
  <c r="D638" i="3" s="1"/>
  <c r="B637" i="3"/>
  <c r="H638" i="3" l="1"/>
  <c r="I638" i="3"/>
  <c r="F637" i="3"/>
  <c r="G637" i="3" s="1"/>
  <c r="N636" i="3"/>
  <c r="O636" i="3" s="1"/>
  <c r="P636" i="3" s="1"/>
  <c r="L637" i="3"/>
  <c r="C638" i="3"/>
  <c r="J637" i="3"/>
  <c r="K637" i="3" s="1"/>
  <c r="M637" i="3"/>
  <c r="Q635" i="3"/>
  <c r="E638" i="3"/>
  <c r="A639" i="3"/>
  <c r="D639" i="3" s="1"/>
  <c r="B638" i="3"/>
  <c r="I639" i="3" l="1"/>
  <c r="H639" i="3"/>
  <c r="N637" i="3"/>
  <c r="O637" i="3" s="1"/>
  <c r="P637" i="3" s="1"/>
  <c r="L638" i="3"/>
  <c r="F638" i="3"/>
  <c r="G638" i="3" s="1"/>
  <c r="J638" i="3"/>
  <c r="K638" i="3" s="1"/>
  <c r="M638" i="3"/>
  <c r="C639" i="3"/>
  <c r="Q636" i="3"/>
  <c r="E639" i="3"/>
  <c r="A640" i="3"/>
  <c r="D640" i="3" s="1"/>
  <c r="B639" i="3"/>
  <c r="H640" i="3" l="1"/>
  <c r="I640" i="3"/>
  <c r="F639" i="3"/>
  <c r="G639" i="3" s="1"/>
  <c r="N638" i="3"/>
  <c r="O638" i="3" s="1"/>
  <c r="P638" i="3" s="1"/>
  <c r="L639" i="3"/>
  <c r="C640" i="3"/>
  <c r="J639" i="3"/>
  <c r="K639" i="3" s="1"/>
  <c r="M639" i="3"/>
  <c r="Q637" i="3"/>
  <c r="E640" i="3"/>
  <c r="A641" i="3"/>
  <c r="D641" i="3" s="1"/>
  <c r="B640" i="3"/>
  <c r="H641" i="3" l="1"/>
  <c r="I641" i="3"/>
  <c r="F640" i="3"/>
  <c r="G640" i="3" s="1"/>
  <c r="N639" i="3"/>
  <c r="O639" i="3" s="1"/>
  <c r="P639" i="3" s="1"/>
  <c r="L640" i="3"/>
  <c r="C641" i="3"/>
  <c r="J640" i="3"/>
  <c r="K640" i="3" s="1"/>
  <c r="M640" i="3"/>
  <c r="Q638" i="3"/>
  <c r="E641" i="3"/>
  <c r="A642" i="3"/>
  <c r="D642" i="3" s="1"/>
  <c r="B641" i="3"/>
  <c r="I642" i="3" l="1"/>
  <c r="H642" i="3"/>
  <c r="N640" i="3"/>
  <c r="O640" i="3" s="1"/>
  <c r="P640" i="3" s="1"/>
  <c r="F641" i="3"/>
  <c r="G641" i="3" s="1"/>
  <c r="L641" i="3"/>
  <c r="J641" i="3"/>
  <c r="K641" i="3" s="1"/>
  <c r="M641" i="3"/>
  <c r="C642" i="3"/>
  <c r="Q639" i="3"/>
  <c r="E642" i="3"/>
  <c r="A643" i="3"/>
  <c r="D643" i="3" s="1"/>
  <c r="B642" i="3"/>
  <c r="H643" i="3" l="1"/>
  <c r="I643" i="3"/>
  <c r="N641" i="3"/>
  <c r="O641" i="3" s="1"/>
  <c r="P641" i="3" s="1"/>
  <c r="L642" i="3"/>
  <c r="F642" i="3"/>
  <c r="G642" i="3" s="1"/>
  <c r="C643" i="3"/>
  <c r="J642" i="3"/>
  <c r="K642" i="3" s="1"/>
  <c r="M642" i="3"/>
  <c r="Q640" i="3"/>
  <c r="E643" i="3"/>
  <c r="A644" i="3"/>
  <c r="D644" i="3" s="1"/>
  <c r="B643" i="3"/>
  <c r="H644" i="3" l="1"/>
  <c r="I644" i="3"/>
  <c r="N642" i="3"/>
  <c r="O642" i="3" s="1"/>
  <c r="P642" i="3" s="1"/>
  <c r="F643" i="3"/>
  <c r="G643" i="3" s="1"/>
  <c r="L643" i="3"/>
  <c r="C644" i="3"/>
  <c r="J643" i="3"/>
  <c r="K643" i="3" s="1"/>
  <c r="M643" i="3"/>
  <c r="Q641" i="3"/>
  <c r="E644" i="3"/>
  <c r="A645" i="3"/>
  <c r="D645" i="3" s="1"/>
  <c r="B644" i="3"/>
  <c r="H645" i="3" l="1"/>
  <c r="I645" i="3"/>
  <c r="N643" i="3"/>
  <c r="O643" i="3" s="1"/>
  <c r="P643" i="3" s="1"/>
  <c r="F644" i="3"/>
  <c r="G644" i="3" s="1"/>
  <c r="L644" i="3"/>
  <c r="C645" i="3"/>
  <c r="J644" i="3"/>
  <c r="K644" i="3" s="1"/>
  <c r="M644" i="3"/>
  <c r="Q642" i="3"/>
  <c r="E645" i="3"/>
  <c r="A646" i="3"/>
  <c r="D646" i="3" s="1"/>
  <c r="B645" i="3"/>
  <c r="H646" i="3" l="1"/>
  <c r="I646" i="3"/>
  <c r="F645" i="3"/>
  <c r="G645" i="3" s="1"/>
  <c r="N644" i="3"/>
  <c r="O644" i="3" s="1"/>
  <c r="P644" i="3" s="1"/>
  <c r="L645" i="3"/>
  <c r="J645" i="3"/>
  <c r="K645" i="3" s="1"/>
  <c r="M645" i="3"/>
  <c r="C646" i="3"/>
  <c r="Q643" i="3"/>
  <c r="E646" i="3"/>
  <c r="A647" i="3"/>
  <c r="D647" i="3" s="1"/>
  <c r="B646" i="3"/>
  <c r="H647" i="3" l="1"/>
  <c r="I647" i="3"/>
  <c r="N645" i="3"/>
  <c r="O645" i="3" s="1"/>
  <c r="P645" i="3" s="1"/>
  <c r="F646" i="3"/>
  <c r="G646" i="3" s="1"/>
  <c r="L646" i="3"/>
  <c r="J646" i="3"/>
  <c r="K646" i="3" s="1"/>
  <c r="M646" i="3"/>
  <c r="C647" i="3"/>
  <c r="Q644" i="3"/>
  <c r="E647" i="3"/>
  <c r="A648" i="3"/>
  <c r="D648" i="3" s="1"/>
  <c r="B647" i="3"/>
  <c r="H648" i="3" l="1"/>
  <c r="I648" i="3"/>
  <c r="N646" i="3"/>
  <c r="O646" i="3" s="1"/>
  <c r="P646" i="3" s="1"/>
  <c r="F647" i="3"/>
  <c r="G647" i="3" s="1"/>
  <c r="L647" i="3"/>
  <c r="J647" i="3"/>
  <c r="K647" i="3" s="1"/>
  <c r="M647" i="3"/>
  <c r="C648" i="3"/>
  <c r="Q645" i="3"/>
  <c r="E648" i="3"/>
  <c r="A649" i="3"/>
  <c r="D649" i="3" s="1"/>
  <c r="B648" i="3"/>
  <c r="H649" i="3" l="1"/>
  <c r="I649" i="3"/>
  <c r="N647" i="3"/>
  <c r="O647" i="3" s="1"/>
  <c r="P647" i="3" s="1"/>
  <c r="F648" i="3"/>
  <c r="G648" i="3" s="1"/>
  <c r="L648" i="3"/>
  <c r="J648" i="3"/>
  <c r="K648" i="3" s="1"/>
  <c r="M648" i="3"/>
  <c r="C649" i="3"/>
  <c r="Q646" i="3"/>
  <c r="E649" i="3"/>
  <c r="A650" i="3"/>
  <c r="D650" i="3" s="1"/>
  <c r="B649" i="3"/>
  <c r="H650" i="3" l="1"/>
  <c r="I650" i="3"/>
  <c r="N648" i="3"/>
  <c r="O648" i="3" s="1"/>
  <c r="P648" i="3" s="1"/>
  <c r="F649" i="3"/>
  <c r="G649" i="3" s="1"/>
  <c r="L649" i="3"/>
  <c r="J649" i="3"/>
  <c r="K649" i="3" s="1"/>
  <c r="M649" i="3"/>
  <c r="C650" i="3"/>
  <c r="Q647" i="3"/>
  <c r="E650" i="3"/>
  <c r="A651" i="3"/>
  <c r="D651" i="3" s="1"/>
  <c r="B650" i="3"/>
  <c r="H651" i="3" l="1"/>
  <c r="I651" i="3"/>
  <c r="N649" i="3"/>
  <c r="O649" i="3" s="1"/>
  <c r="P649" i="3" s="1"/>
  <c r="F650" i="3"/>
  <c r="G650" i="3" s="1"/>
  <c r="L650" i="3"/>
  <c r="C651" i="3"/>
  <c r="J650" i="3"/>
  <c r="K650" i="3" s="1"/>
  <c r="M650" i="3"/>
  <c r="Q648" i="3"/>
  <c r="E651" i="3"/>
  <c r="A652" i="3"/>
  <c r="D652" i="3" s="1"/>
  <c r="B651" i="3"/>
  <c r="H652" i="3" l="1"/>
  <c r="I652" i="3"/>
  <c r="F651" i="3"/>
  <c r="G651" i="3" s="1"/>
  <c r="N650" i="3"/>
  <c r="O650" i="3" s="1"/>
  <c r="P650" i="3" s="1"/>
  <c r="L651" i="3"/>
  <c r="J651" i="3"/>
  <c r="K651" i="3" s="1"/>
  <c r="M651" i="3"/>
  <c r="C652" i="3"/>
  <c r="Q649" i="3"/>
  <c r="E652" i="3"/>
  <c r="A653" i="3"/>
  <c r="D653" i="3" s="1"/>
  <c r="B652" i="3"/>
  <c r="H653" i="3" l="1"/>
  <c r="I653" i="3"/>
  <c r="N651" i="3"/>
  <c r="O651" i="3" s="1"/>
  <c r="P651" i="3" s="1"/>
  <c r="L652" i="3"/>
  <c r="F652" i="3"/>
  <c r="G652" i="3" s="1"/>
  <c r="C653" i="3"/>
  <c r="J652" i="3"/>
  <c r="K652" i="3" s="1"/>
  <c r="M652" i="3"/>
  <c r="Q650" i="3"/>
  <c r="E653" i="3"/>
  <c r="A654" i="3"/>
  <c r="D654" i="3" s="1"/>
  <c r="B653" i="3"/>
  <c r="H654" i="3" l="1"/>
  <c r="I654" i="3"/>
  <c r="N652" i="3"/>
  <c r="O652" i="3" s="1"/>
  <c r="P652" i="3" s="1"/>
  <c r="F653" i="3"/>
  <c r="G653" i="3" s="1"/>
  <c r="L653" i="3"/>
  <c r="C654" i="3"/>
  <c r="J653" i="3"/>
  <c r="K653" i="3" s="1"/>
  <c r="M653" i="3"/>
  <c r="Q651" i="3"/>
  <c r="E654" i="3"/>
  <c r="A655" i="3"/>
  <c r="D655" i="3" s="1"/>
  <c r="B654" i="3"/>
  <c r="H655" i="3" l="1"/>
  <c r="I655" i="3"/>
  <c r="N653" i="3"/>
  <c r="O653" i="3" s="1"/>
  <c r="P653" i="3" s="1"/>
  <c r="F654" i="3"/>
  <c r="G654" i="3" s="1"/>
  <c r="L654" i="3"/>
  <c r="C655" i="3"/>
  <c r="J654" i="3"/>
  <c r="K654" i="3" s="1"/>
  <c r="M654" i="3"/>
  <c r="Q652" i="3"/>
  <c r="E655" i="3"/>
  <c r="A656" i="3"/>
  <c r="D656" i="3" s="1"/>
  <c r="B655" i="3"/>
  <c r="H656" i="3" l="1"/>
  <c r="I656" i="3"/>
  <c r="F655" i="3"/>
  <c r="G655" i="3" s="1"/>
  <c r="N654" i="3"/>
  <c r="O654" i="3" s="1"/>
  <c r="P654" i="3" s="1"/>
  <c r="L655" i="3"/>
  <c r="C656" i="3"/>
  <c r="J655" i="3"/>
  <c r="K655" i="3" s="1"/>
  <c r="M655" i="3"/>
  <c r="Q653" i="3"/>
  <c r="E656" i="3"/>
  <c r="A657" i="3"/>
  <c r="D657" i="3" s="1"/>
  <c r="B656" i="3"/>
  <c r="I657" i="3" l="1"/>
  <c r="H657" i="3"/>
  <c r="N655" i="3"/>
  <c r="O655" i="3" s="1"/>
  <c r="P655" i="3" s="1"/>
  <c r="F656" i="3"/>
  <c r="G656" i="3" s="1"/>
  <c r="L656" i="3"/>
  <c r="J656" i="3"/>
  <c r="K656" i="3" s="1"/>
  <c r="M656" i="3"/>
  <c r="C657" i="3"/>
  <c r="Q654" i="3"/>
  <c r="E657" i="3"/>
  <c r="A658" i="3"/>
  <c r="D658" i="3" s="1"/>
  <c r="B657" i="3"/>
  <c r="H658" i="3" l="1"/>
  <c r="I658" i="3"/>
  <c r="N656" i="3"/>
  <c r="O656" i="3" s="1"/>
  <c r="P656" i="3" s="1"/>
  <c r="L657" i="3"/>
  <c r="F657" i="3"/>
  <c r="G657" i="3" s="1"/>
  <c r="C658" i="3"/>
  <c r="J657" i="3"/>
  <c r="K657" i="3" s="1"/>
  <c r="M657" i="3"/>
  <c r="Q655" i="3"/>
  <c r="E658" i="3"/>
  <c r="A659" i="3"/>
  <c r="D659" i="3" s="1"/>
  <c r="B658" i="3"/>
  <c r="H659" i="3" l="1"/>
  <c r="I659" i="3"/>
  <c r="F658" i="3"/>
  <c r="G658" i="3" s="1"/>
  <c r="N657" i="3"/>
  <c r="O657" i="3" s="1"/>
  <c r="P657" i="3" s="1"/>
  <c r="L658" i="3"/>
  <c r="J658" i="3"/>
  <c r="K658" i="3" s="1"/>
  <c r="M658" i="3"/>
  <c r="C659" i="3"/>
  <c r="Q656" i="3"/>
  <c r="E659" i="3"/>
  <c r="A660" i="3"/>
  <c r="D660" i="3" s="1"/>
  <c r="B659" i="3"/>
  <c r="H660" i="3" l="1"/>
  <c r="I660" i="3"/>
  <c r="N658" i="3"/>
  <c r="O658" i="3" s="1"/>
  <c r="P658" i="3" s="1"/>
  <c r="F659" i="3"/>
  <c r="G659" i="3" s="1"/>
  <c r="L659" i="3"/>
  <c r="J659" i="3"/>
  <c r="K659" i="3" s="1"/>
  <c r="M659" i="3"/>
  <c r="C660" i="3"/>
  <c r="Q657" i="3"/>
  <c r="E660" i="3"/>
  <c r="A661" i="3"/>
  <c r="D661" i="3" s="1"/>
  <c r="B660" i="3"/>
  <c r="H661" i="3" l="1"/>
  <c r="I661" i="3"/>
  <c r="N659" i="3"/>
  <c r="O659" i="3" s="1"/>
  <c r="P659" i="3" s="1"/>
  <c r="L660" i="3"/>
  <c r="F660" i="3"/>
  <c r="G660" i="3" s="1"/>
  <c r="J660" i="3"/>
  <c r="K660" i="3" s="1"/>
  <c r="M660" i="3"/>
  <c r="C661" i="3"/>
  <c r="Q658" i="3"/>
  <c r="E661" i="3"/>
  <c r="A662" i="3"/>
  <c r="D662" i="3" s="1"/>
  <c r="B661" i="3"/>
  <c r="I662" i="3" l="1"/>
  <c r="H662" i="3"/>
  <c r="M662" i="3" s="1"/>
  <c r="N660" i="3"/>
  <c r="O660" i="3" s="1"/>
  <c r="P660" i="3" s="1"/>
  <c r="F661" i="3"/>
  <c r="G661" i="3" s="1"/>
  <c r="L661" i="3"/>
  <c r="J661" i="3"/>
  <c r="K661" i="3" s="1"/>
  <c r="M661" i="3"/>
  <c r="C662" i="3"/>
  <c r="Q659" i="3"/>
  <c r="E662" i="3"/>
  <c r="A663" i="3"/>
  <c r="D663" i="3" s="1"/>
  <c r="B662" i="3"/>
  <c r="H663" i="3" l="1"/>
  <c r="I663" i="3"/>
  <c r="N661" i="3"/>
  <c r="O661" i="3" s="1"/>
  <c r="P661" i="3" s="1"/>
  <c r="F662" i="3"/>
  <c r="G662" i="3" s="1"/>
  <c r="J662" i="3"/>
  <c r="K662" i="3" s="1"/>
  <c r="L662" i="3"/>
  <c r="N662" i="3" s="1"/>
  <c r="C663" i="3"/>
  <c r="Q660" i="3"/>
  <c r="E663" i="3"/>
  <c r="A664" i="3"/>
  <c r="D664" i="3" s="1"/>
  <c r="B663" i="3"/>
  <c r="H664" i="3" l="1"/>
  <c r="I664" i="3"/>
  <c r="F663" i="3"/>
  <c r="G663" i="3" s="1"/>
  <c r="O662" i="3"/>
  <c r="P662" i="3" s="1"/>
  <c r="J663" i="3"/>
  <c r="K663" i="3" s="1"/>
  <c r="M663" i="3"/>
  <c r="L663" i="3"/>
  <c r="C664" i="3"/>
  <c r="Q661" i="3"/>
  <c r="E664" i="3"/>
  <c r="A665" i="3"/>
  <c r="D665" i="3" s="1"/>
  <c r="B664" i="3"/>
  <c r="H665" i="3" l="1"/>
  <c r="I665" i="3"/>
  <c r="N663" i="3"/>
  <c r="O663" i="3" s="1"/>
  <c r="P663" i="3" s="1"/>
  <c r="F664" i="3"/>
  <c r="G664" i="3" s="1"/>
  <c r="L664" i="3"/>
  <c r="J664" i="3"/>
  <c r="K664" i="3" s="1"/>
  <c r="M664" i="3"/>
  <c r="C665" i="3"/>
  <c r="Q662" i="3"/>
  <c r="E665" i="3"/>
  <c r="A666" i="3"/>
  <c r="D666" i="3" s="1"/>
  <c r="B665" i="3"/>
  <c r="H666" i="3" l="1"/>
  <c r="I666" i="3"/>
  <c r="N664" i="3"/>
  <c r="O664" i="3" s="1"/>
  <c r="P664" i="3" s="1"/>
  <c r="F665" i="3"/>
  <c r="G665" i="3" s="1"/>
  <c r="L665" i="3"/>
  <c r="J665" i="3"/>
  <c r="K665" i="3" s="1"/>
  <c r="M665" i="3"/>
  <c r="C666" i="3"/>
  <c r="Q663" i="3"/>
  <c r="E666" i="3"/>
  <c r="A667" i="3"/>
  <c r="D667" i="3" s="1"/>
  <c r="B666" i="3"/>
  <c r="H667" i="3" l="1"/>
  <c r="I667" i="3"/>
  <c r="N665" i="3"/>
  <c r="O665" i="3" s="1"/>
  <c r="P665" i="3" s="1"/>
  <c r="F666" i="3"/>
  <c r="G666" i="3" s="1"/>
  <c r="L666" i="3"/>
  <c r="J666" i="3"/>
  <c r="K666" i="3" s="1"/>
  <c r="M666" i="3"/>
  <c r="C667" i="3"/>
  <c r="Q664" i="3"/>
  <c r="E667" i="3"/>
  <c r="A668" i="3"/>
  <c r="D668" i="3" s="1"/>
  <c r="B667" i="3"/>
  <c r="H668" i="3" l="1"/>
  <c r="I668" i="3"/>
  <c r="N666" i="3"/>
  <c r="O666" i="3" s="1"/>
  <c r="P666" i="3" s="1"/>
  <c r="F667" i="3"/>
  <c r="G667" i="3" s="1"/>
  <c r="L667" i="3"/>
  <c r="C668" i="3"/>
  <c r="J667" i="3"/>
  <c r="K667" i="3" s="1"/>
  <c r="M667" i="3"/>
  <c r="Q665" i="3"/>
  <c r="E668" i="3"/>
  <c r="A669" i="3"/>
  <c r="D669" i="3" s="1"/>
  <c r="B668" i="3"/>
  <c r="H669" i="3" l="1"/>
  <c r="I669" i="3"/>
  <c r="N667" i="3"/>
  <c r="O667" i="3" s="1"/>
  <c r="P667" i="3" s="1"/>
  <c r="F668" i="3"/>
  <c r="G668" i="3" s="1"/>
  <c r="L668" i="3"/>
  <c r="J668" i="3"/>
  <c r="K668" i="3" s="1"/>
  <c r="M668" i="3"/>
  <c r="C669" i="3"/>
  <c r="Q666" i="3"/>
  <c r="E669" i="3"/>
  <c r="A670" i="3"/>
  <c r="D670" i="3" s="1"/>
  <c r="B669" i="3"/>
  <c r="H670" i="3" l="1"/>
  <c r="I670" i="3"/>
  <c r="N668" i="3"/>
  <c r="O668" i="3" s="1"/>
  <c r="P668" i="3" s="1"/>
  <c r="L669" i="3"/>
  <c r="F669" i="3"/>
  <c r="G669" i="3" s="1"/>
  <c r="J669" i="3"/>
  <c r="K669" i="3" s="1"/>
  <c r="M669" i="3"/>
  <c r="C670" i="3"/>
  <c r="Q667" i="3"/>
  <c r="E670" i="3"/>
  <c r="A671" i="3"/>
  <c r="D671" i="3" s="1"/>
  <c r="B670" i="3"/>
  <c r="H671" i="3" l="1"/>
  <c r="I671" i="3"/>
  <c r="N669" i="3"/>
  <c r="O669" i="3" s="1"/>
  <c r="P669" i="3" s="1"/>
  <c r="L670" i="3"/>
  <c r="F670" i="3"/>
  <c r="G670" i="3" s="1"/>
  <c r="J670" i="3"/>
  <c r="K670" i="3" s="1"/>
  <c r="M670" i="3"/>
  <c r="C671" i="3"/>
  <c r="Q668" i="3"/>
  <c r="E671" i="3"/>
  <c r="A672" i="3"/>
  <c r="D672" i="3" s="1"/>
  <c r="B671" i="3"/>
  <c r="H672" i="3" l="1"/>
  <c r="I672" i="3"/>
  <c r="N670" i="3"/>
  <c r="O670" i="3" s="1"/>
  <c r="P670" i="3" s="1"/>
  <c r="F671" i="3"/>
  <c r="G671" i="3" s="1"/>
  <c r="L671" i="3"/>
  <c r="J671" i="3"/>
  <c r="K671" i="3" s="1"/>
  <c r="M671" i="3"/>
  <c r="C672" i="3"/>
  <c r="Q669" i="3"/>
  <c r="E672" i="3"/>
  <c r="A673" i="3"/>
  <c r="D673" i="3" s="1"/>
  <c r="B672" i="3"/>
  <c r="I673" i="3" l="1"/>
  <c r="H673" i="3"/>
  <c r="N671" i="3"/>
  <c r="O671" i="3" s="1"/>
  <c r="P671" i="3" s="1"/>
  <c r="F672" i="3"/>
  <c r="G672" i="3" s="1"/>
  <c r="L672" i="3"/>
  <c r="J672" i="3"/>
  <c r="K672" i="3" s="1"/>
  <c r="M672" i="3"/>
  <c r="C673" i="3"/>
  <c r="Q670" i="3"/>
  <c r="E673" i="3"/>
  <c r="A674" i="3"/>
  <c r="D674" i="3" s="1"/>
  <c r="B673" i="3"/>
  <c r="H674" i="3" l="1"/>
  <c r="I674" i="3"/>
  <c r="N672" i="3"/>
  <c r="O672" i="3" s="1"/>
  <c r="P672" i="3" s="1"/>
  <c r="L673" i="3"/>
  <c r="F673" i="3"/>
  <c r="G673" i="3" s="1"/>
  <c r="J673" i="3"/>
  <c r="K673" i="3" s="1"/>
  <c r="M673" i="3"/>
  <c r="C674" i="3"/>
  <c r="Q671" i="3"/>
  <c r="E674" i="3"/>
  <c r="A675" i="3"/>
  <c r="D675" i="3" s="1"/>
  <c r="B674" i="3"/>
  <c r="H675" i="3" l="1"/>
  <c r="I675" i="3"/>
  <c r="N673" i="3"/>
  <c r="O673" i="3" s="1"/>
  <c r="P673" i="3" s="1"/>
  <c r="F674" i="3"/>
  <c r="G674" i="3" s="1"/>
  <c r="L674" i="3"/>
  <c r="J674" i="3"/>
  <c r="K674" i="3" s="1"/>
  <c r="M674" i="3"/>
  <c r="C675" i="3"/>
  <c r="Q672" i="3"/>
  <c r="E675" i="3"/>
  <c r="A676" i="3"/>
  <c r="D676" i="3" s="1"/>
  <c r="B675" i="3"/>
  <c r="H676" i="3" l="1"/>
  <c r="I676" i="3"/>
  <c r="N674" i="3"/>
  <c r="O674" i="3" s="1"/>
  <c r="P674" i="3" s="1"/>
  <c r="F675" i="3"/>
  <c r="G675" i="3" s="1"/>
  <c r="L675" i="3"/>
  <c r="J675" i="3"/>
  <c r="K675" i="3" s="1"/>
  <c r="M675" i="3"/>
  <c r="C676" i="3"/>
  <c r="Q673" i="3"/>
  <c r="E676" i="3"/>
  <c r="A677" i="3"/>
  <c r="D677" i="3" s="1"/>
  <c r="B676" i="3"/>
  <c r="H677" i="3" l="1"/>
  <c r="M677" i="3" s="1"/>
  <c r="I677" i="3"/>
  <c r="N675" i="3"/>
  <c r="O675" i="3" s="1"/>
  <c r="P675" i="3" s="1"/>
  <c r="F676" i="3"/>
  <c r="G676" i="3" s="1"/>
  <c r="L676" i="3"/>
  <c r="C677" i="3"/>
  <c r="J676" i="3"/>
  <c r="K676" i="3" s="1"/>
  <c r="M676" i="3"/>
  <c r="Q674" i="3"/>
  <c r="E677" i="3"/>
  <c r="A678" i="3"/>
  <c r="D678" i="3" s="1"/>
  <c r="B677" i="3"/>
  <c r="H678" i="3" l="1"/>
  <c r="I678" i="3"/>
  <c r="F677" i="3"/>
  <c r="G677" i="3" s="1"/>
  <c r="N676" i="3"/>
  <c r="O676" i="3" s="1"/>
  <c r="P676" i="3" s="1"/>
  <c r="J677" i="3"/>
  <c r="K677" i="3" s="1"/>
  <c r="L677" i="3"/>
  <c r="N677" i="3" s="1"/>
  <c r="C678" i="3"/>
  <c r="Q675" i="3"/>
  <c r="E678" i="3"/>
  <c r="A679" i="3"/>
  <c r="D679" i="3" s="1"/>
  <c r="B678" i="3"/>
  <c r="H679" i="3" l="1"/>
  <c r="I679" i="3"/>
  <c r="O677" i="3"/>
  <c r="P677" i="3" s="1"/>
  <c r="F678" i="3"/>
  <c r="G678" i="3" s="1"/>
  <c r="C679" i="3"/>
  <c r="J678" i="3"/>
  <c r="K678" i="3" s="1"/>
  <c r="M678" i="3"/>
  <c r="L678" i="3"/>
  <c r="Q676" i="3"/>
  <c r="E679" i="3"/>
  <c r="A680" i="3"/>
  <c r="D680" i="3" s="1"/>
  <c r="B679" i="3"/>
  <c r="H680" i="3" l="1"/>
  <c r="I680" i="3"/>
  <c r="F679" i="3"/>
  <c r="G679" i="3" s="1"/>
  <c r="N678" i="3"/>
  <c r="O678" i="3" s="1"/>
  <c r="P678" i="3" s="1"/>
  <c r="L679" i="3"/>
  <c r="J679" i="3"/>
  <c r="K679" i="3" s="1"/>
  <c r="M679" i="3"/>
  <c r="C680" i="3"/>
  <c r="Q677" i="3"/>
  <c r="E680" i="3"/>
  <c r="A681" i="3"/>
  <c r="D681" i="3" s="1"/>
  <c r="B680" i="3"/>
  <c r="H681" i="3" l="1"/>
  <c r="I681" i="3"/>
  <c r="N679" i="3"/>
  <c r="O679" i="3" s="1"/>
  <c r="P679" i="3" s="1"/>
  <c r="L680" i="3"/>
  <c r="F680" i="3"/>
  <c r="G680" i="3" s="1"/>
  <c r="C681" i="3"/>
  <c r="J680" i="3"/>
  <c r="K680" i="3" s="1"/>
  <c r="M680" i="3"/>
  <c r="Q678" i="3"/>
  <c r="E681" i="3"/>
  <c r="A682" i="3"/>
  <c r="D682" i="3" s="1"/>
  <c r="B681" i="3"/>
  <c r="H682" i="3" l="1"/>
  <c r="I682" i="3"/>
  <c r="F681" i="3"/>
  <c r="G681" i="3" s="1"/>
  <c r="N680" i="3"/>
  <c r="O680" i="3" s="1"/>
  <c r="P680" i="3" s="1"/>
  <c r="L681" i="3"/>
  <c r="C682" i="3"/>
  <c r="J681" i="3"/>
  <c r="K681" i="3" s="1"/>
  <c r="M681" i="3"/>
  <c r="Q679" i="3"/>
  <c r="E682" i="3"/>
  <c r="A683" i="3"/>
  <c r="D683" i="3" s="1"/>
  <c r="B682" i="3"/>
  <c r="H683" i="3" l="1"/>
  <c r="I683" i="3"/>
  <c r="F682" i="3"/>
  <c r="G682" i="3" s="1"/>
  <c r="N681" i="3"/>
  <c r="O681" i="3" s="1"/>
  <c r="P681" i="3" s="1"/>
  <c r="L682" i="3"/>
  <c r="C683" i="3"/>
  <c r="J682" i="3"/>
  <c r="K682" i="3" s="1"/>
  <c r="M682" i="3"/>
  <c r="Q680" i="3"/>
  <c r="E683" i="3"/>
  <c r="A684" i="3"/>
  <c r="D684" i="3" s="1"/>
  <c r="B683" i="3"/>
  <c r="I684" i="3" l="1"/>
  <c r="H684" i="3"/>
  <c r="N682" i="3"/>
  <c r="O682" i="3" s="1"/>
  <c r="P682" i="3" s="1"/>
  <c r="F683" i="3"/>
  <c r="G683" i="3" s="1"/>
  <c r="C684" i="3"/>
  <c r="J683" i="3"/>
  <c r="K683" i="3" s="1"/>
  <c r="M683" i="3"/>
  <c r="L683" i="3"/>
  <c r="Q681" i="3"/>
  <c r="E684" i="3"/>
  <c r="A685" i="3"/>
  <c r="D685" i="3" s="1"/>
  <c r="B684" i="3"/>
  <c r="H685" i="3" l="1"/>
  <c r="I685" i="3"/>
  <c r="F684" i="3"/>
  <c r="G684" i="3" s="1"/>
  <c r="N683" i="3"/>
  <c r="O683" i="3" s="1"/>
  <c r="P683" i="3" s="1"/>
  <c r="L684" i="3"/>
  <c r="C685" i="3"/>
  <c r="J684" i="3"/>
  <c r="K684" i="3" s="1"/>
  <c r="M684" i="3"/>
  <c r="Q682" i="3"/>
  <c r="E685" i="3"/>
  <c r="A686" i="3"/>
  <c r="D686" i="3" s="1"/>
  <c r="B685" i="3"/>
  <c r="H686" i="3" l="1"/>
  <c r="I686" i="3"/>
  <c r="N684" i="3"/>
  <c r="O684" i="3" s="1"/>
  <c r="P684" i="3" s="1"/>
  <c r="F685" i="3"/>
  <c r="G685" i="3" s="1"/>
  <c r="L685" i="3"/>
  <c r="C686" i="3"/>
  <c r="J685" i="3"/>
  <c r="K685" i="3" s="1"/>
  <c r="M685" i="3"/>
  <c r="Q683" i="3"/>
  <c r="E686" i="3"/>
  <c r="A687" i="3"/>
  <c r="D687" i="3" s="1"/>
  <c r="B686" i="3"/>
  <c r="H687" i="3" l="1"/>
  <c r="I687" i="3"/>
  <c r="F686" i="3"/>
  <c r="G686" i="3" s="1"/>
  <c r="L686" i="3"/>
  <c r="N685" i="3"/>
  <c r="O685" i="3" s="1"/>
  <c r="P685" i="3" s="1"/>
  <c r="C687" i="3"/>
  <c r="J686" i="3"/>
  <c r="K686" i="3" s="1"/>
  <c r="M686" i="3"/>
  <c r="Q684" i="3"/>
  <c r="E687" i="3"/>
  <c r="A688" i="3"/>
  <c r="D688" i="3" s="1"/>
  <c r="B687" i="3"/>
  <c r="H688" i="3" l="1"/>
  <c r="I688" i="3"/>
  <c r="F687" i="3"/>
  <c r="G687" i="3" s="1"/>
  <c r="N686" i="3"/>
  <c r="O686" i="3" s="1"/>
  <c r="P686" i="3" s="1"/>
  <c r="L687" i="3"/>
  <c r="C688" i="3"/>
  <c r="J687" i="3"/>
  <c r="K687" i="3" s="1"/>
  <c r="M687" i="3"/>
  <c r="Q685" i="3"/>
  <c r="E688" i="3"/>
  <c r="A689" i="3"/>
  <c r="D689" i="3" s="1"/>
  <c r="B688" i="3"/>
  <c r="I689" i="3" l="1"/>
  <c r="H689" i="3"/>
  <c r="F688" i="3"/>
  <c r="G688" i="3" s="1"/>
  <c r="N687" i="3"/>
  <c r="O687" i="3" s="1"/>
  <c r="P687" i="3" s="1"/>
  <c r="L688" i="3"/>
  <c r="C689" i="3"/>
  <c r="J688" i="3"/>
  <c r="K688" i="3" s="1"/>
  <c r="M688" i="3"/>
  <c r="Q686" i="3"/>
  <c r="E689" i="3"/>
  <c r="A690" i="3"/>
  <c r="D690" i="3" s="1"/>
  <c r="B689" i="3"/>
  <c r="H690" i="3" l="1"/>
  <c r="I690" i="3"/>
  <c r="F689" i="3"/>
  <c r="G689" i="3" s="1"/>
  <c r="N688" i="3"/>
  <c r="O688" i="3" s="1"/>
  <c r="P688" i="3" s="1"/>
  <c r="L689" i="3"/>
  <c r="C690" i="3"/>
  <c r="J689" i="3"/>
  <c r="K689" i="3" s="1"/>
  <c r="M689" i="3"/>
  <c r="Q687" i="3"/>
  <c r="E690" i="3"/>
  <c r="A691" i="3"/>
  <c r="D691" i="3" s="1"/>
  <c r="B690" i="3"/>
  <c r="H691" i="3" l="1"/>
  <c r="I691" i="3"/>
  <c r="F690" i="3"/>
  <c r="G690" i="3" s="1"/>
  <c r="N689" i="3"/>
  <c r="O689" i="3" s="1"/>
  <c r="P689" i="3" s="1"/>
  <c r="L690" i="3"/>
  <c r="J690" i="3"/>
  <c r="K690" i="3" s="1"/>
  <c r="M690" i="3"/>
  <c r="C691" i="3"/>
  <c r="Q688" i="3"/>
  <c r="E691" i="3"/>
  <c r="A692" i="3"/>
  <c r="D692" i="3" s="1"/>
  <c r="B691" i="3"/>
  <c r="H692" i="3" l="1"/>
  <c r="I692" i="3"/>
  <c r="N690" i="3"/>
  <c r="O690" i="3" s="1"/>
  <c r="P690" i="3" s="1"/>
  <c r="L691" i="3"/>
  <c r="F691" i="3"/>
  <c r="G691" i="3" s="1"/>
  <c r="J691" i="3"/>
  <c r="K691" i="3" s="1"/>
  <c r="M691" i="3"/>
  <c r="C692" i="3"/>
  <c r="Q689" i="3"/>
  <c r="E692" i="3"/>
  <c r="A693" i="3"/>
  <c r="D693" i="3" s="1"/>
  <c r="B692" i="3"/>
  <c r="H693" i="3" l="1"/>
  <c r="I693" i="3"/>
  <c r="N691" i="3"/>
  <c r="O691" i="3" s="1"/>
  <c r="P691" i="3" s="1"/>
  <c r="L692" i="3"/>
  <c r="F692" i="3"/>
  <c r="G692" i="3" s="1"/>
  <c r="J692" i="3"/>
  <c r="K692" i="3" s="1"/>
  <c r="M692" i="3"/>
  <c r="C693" i="3"/>
  <c r="Q690" i="3"/>
  <c r="E693" i="3"/>
  <c r="A694" i="3"/>
  <c r="D694" i="3" s="1"/>
  <c r="B693" i="3"/>
  <c r="H694" i="3" l="1"/>
  <c r="I694" i="3"/>
  <c r="N692" i="3"/>
  <c r="O692" i="3" s="1"/>
  <c r="P692" i="3" s="1"/>
  <c r="F693" i="3"/>
  <c r="G693" i="3" s="1"/>
  <c r="L693" i="3"/>
  <c r="J693" i="3"/>
  <c r="K693" i="3" s="1"/>
  <c r="M693" i="3"/>
  <c r="C694" i="3"/>
  <c r="Q691" i="3"/>
  <c r="E694" i="3"/>
  <c r="A695" i="3"/>
  <c r="D695" i="3" s="1"/>
  <c r="B694" i="3"/>
  <c r="H695" i="3" l="1"/>
  <c r="I695" i="3"/>
  <c r="N693" i="3"/>
  <c r="O693" i="3" s="1"/>
  <c r="P693" i="3" s="1"/>
  <c r="F694" i="3"/>
  <c r="G694" i="3" s="1"/>
  <c r="L694" i="3"/>
  <c r="C695" i="3"/>
  <c r="J694" i="3"/>
  <c r="K694" i="3" s="1"/>
  <c r="M694" i="3"/>
  <c r="Q692" i="3"/>
  <c r="E695" i="3"/>
  <c r="A696" i="3"/>
  <c r="D696" i="3" s="1"/>
  <c r="B695" i="3"/>
  <c r="H696" i="3" l="1"/>
  <c r="I696" i="3"/>
  <c r="F695" i="3"/>
  <c r="G695" i="3" s="1"/>
  <c r="N694" i="3"/>
  <c r="O694" i="3" s="1"/>
  <c r="P694" i="3" s="1"/>
  <c r="L695" i="3"/>
  <c r="J695" i="3"/>
  <c r="K695" i="3" s="1"/>
  <c r="M695" i="3"/>
  <c r="C696" i="3"/>
  <c r="Q693" i="3"/>
  <c r="E696" i="3"/>
  <c r="A697" i="3"/>
  <c r="D697" i="3" s="1"/>
  <c r="B696" i="3"/>
  <c r="H697" i="3" l="1"/>
  <c r="I697" i="3"/>
  <c r="N695" i="3"/>
  <c r="O695" i="3" s="1"/>
  <c r="P695" i="3" s="1"/>
  <c r="L696" i="3"/>
  <c r="F696" i="3"/>
  <c r="G696" i="3" s="1"/>
  <c r="J696" i="3"/>
  <c r="K696" i="3" s="1"/>
  <c r="M696" i="3"/>
  <c r="C697" i="3"/>
  <c r="Q694" i="3"/>
  <c r="E697" i="3"/>
  <c r="A698" i="3"/>
  <c r="D698" i="3" s="1"/>
  <c r="B697" i="3"/>
  <c r="H698" i="3" l="1"/>
  <c r="I698" i="3"/>
  <c r="N696" i="3"/>
  <c r="O696" i="3" s="1"/>
  <c r="P696" i="3" s="1"/>
  <c r="L697" i="3"/>
  <c r="F697" i="3"/>
  <c r="G697" i="3" s="1"/>
  <c r="J697" i="3"/>
  <c r="K697" i="3" s="1"/>
  <c r="M697" i="3"/>
  <c r="C698" i="3"/>
  <c r="Q695" i="3"/>
  <c r="E698" i="3"/>
  <c r="A699" i="3"/>
  <c r="D699" i="3" s="1"/>
  <c r="B698" i="3"/>
  <c r="H699" i="3" l="1"/>
  <c r="I699" i="3"/>
  <c r="N697" i="3"/>
  <c r="O697" i="3" s="1"/>
  <c r="P697" i="3" s="1"/>
  <c r="L698" i="3"/>
  <c r="F698" i="3"/>
  <c r="G698" i="3" s="1"/>
  <c r="C699" i="3"/>
  <c r="J698" i="3"/>
  <c r="K698" i="3" s="1"/>
  <c r="M698" i="3"/>
  <c r="Q696" i="3"/>
  <c r="E699" i="3"/>
  <c r="A700" i="3"/>
  <c r="D700" i="3" s="1"/>
  <c r="B699" i="3"/>
  <c r="H700" i="3" l="1"/>
  <c r="I700" i="3"/>
  <c r="N698" i="3"/>
  <c r="O698" i="3" s="1"/>
  <c r="P698" i="3" s="1"/>
  <c r="F699" i="3"/>
  <c r="G699" i="3" s="1"/>
  <c r="L699" i="3"/>
  <c r="C700" i="3"/>
  <c r="J699" i="3"/>
  <c r="K699" i="3" s="1"/>
  <c r="M699" i="3"/>
  <c r="Q697" i="3"/>
  <c r="E700" i="3"/>
  <c r="A701" i="3"/>
  <c r="D701" i="3" s="1"/>
  <c r="B700" i="3"/>
  <c r="H701" i="3" l="1"/>
  <c r="I701" i="3"/>
  <c r="N699" i="3"/>
  <c r="O699" i="3" s="1"/>
  <c r="P699" i="3" s="1"/>
  <c r="F700" i="3"/>
  <c r="G700" i="3" s="1"/>
  <c r="L700" i="3"/>
  <c r="C701" i="3"/>
  <c r="J700" i="3"/>
  <c r="K700" i="3" s="1"/>
  <c r="M700" i="3"/>
  <c r="Q698" i="3"/>
  <c r="E701" i="3"/>
  <c r="A702" i="3"/>
  <c r="D702" i="3" s="1"/>
  <c r="B701" i="3"/>
  <c r="H702" i="3" l="1"/>
  <c r="I702" i="3"/>
  <c r="F701" i="3"/>
  <c r="G701" i="3" s="1"/>
  <c r="N700" i="3"/>
  <c r="O700" i="3" s="1"/>
  <c r="P700" i="3" s="1"/>
  <c r="L701" i="3"/>
  <c r="C702" i="3"/>
  <c r="J701" i="3"/>
  <c r="K701" i="3" s="1"/>
  <c r="M701" i="3"/>
  <c r="Q699" i="3"/>
  <c r="E702" i="3"/>
  <c r="A703" i="3"/>
  <c r="D703" i="3" s="1"/>
  <c r="B702" i="3"/>
  <c r="H703" i="3" l="1"/>
  <c r="I703" i="3"/>
  <c r="N701" i="3"/>
  <c r="O701" i="3" s="1"/>
  <c r="P701" i="3" s="1"/>
  <c r="F702" i="3"/>
  <c r="G702" i="3" s="1"/>
  <c r="L702" i="3"/>
  <c r="C703" i="3"/>
  <c r="J702" i="3"/>
  <c r="K702" i="3" s="1"/>
  <c r="M702" i="3"/>
  <c r="Q700" i="3"/>
  <c r="E703" i="3"/>
  <c r="A704" i="3"/>
  <c r="D704" i="3" s="1"/>
  <c r="B703" i="3"/>
  <c r="H704" i="3" l="1"/>
  <c r="I704" i="3"/>
  <c r="F703" i="3"/>
  <c r="G703" i="3" s="1"/>
  <c r="N702" i="3"/>
  <c r="O702" i="3" s="1"/>
  <c r="P702" i="3" s="1"/>
  <c r="L703" i="3"/>
  <c r="C704" i="3"/>
  <c r="J703" i="3"/>
  <c r="K703" i="3" s="1"/>
  <c r="M703" i="3"/>
  <c r="Q701" i="3"/>
  <c r="E704" i="3"/>
  <c r="A705" i="3"/>
  <c r="D705" i="3" s="1"/>
  <c r="B704" i="3"/>
  <c r="H705" i="3" l="1"/>
  <c r="I705" i="3"/>
  <c r="F704" i="3"/>
  <c r="G704" i="3" s="1"/>
  <c r="N703" i="3"/>
  <c r="O703" i="3" s="1"/>
  <c r="P703" i="3" s="1"/>
  <c r="L704" i="3"/>
  <c r="C705" i="3"/>
  <c r="J704" i="3"/>
  <c r="K704" i="3" s="1"/>
  <c r="M704" i="3"/>
  <c r="Q702" i="3"/>
  <c r="E705" i="3"/>
  <c r="A706" i="3"/>
  <c r="D706" i="3" s="1"/>
  <c r="B705" i="3"/>
  <c r="I706" i="3" l="1"/>
  <c r="H706" i="3"/>
  <c r="F705" i="3"/>
  <c r="G705" i="3" s="1"/>
  <c r="N704" i="3"/>
  <c r="O704" i="3" s="1"/>
  <c r="P704" i="3" s="1"/>
  <c r="L705" i="3"/>
  <c r="C706" i="3"/>
  <c r="J705" i="3"/>
  <c r="K705" i="3" s="1"/>
  <c r="M705" i="3"/>
  <c r="Q703" i="3"/>
  <c r="E706" i="3"/>
  <c r="A707" i="3"/>
  <c r="D707" i="3" s="1"/>
  <c r="B706" i="3"/>
  <c r="H707" i="3" l="1"/>
  <c r="I707" i="3"/>
  <c r="F706" i="3"/>
  <c r="G706" i="3" s="1"/>
  <c r="N705" i="3"/>
  <c r="O705" i="3" s="1"/>
  <c r="P705" i="3" s="1"/>
  <c r="L706" i="3"/>
  <c r="C707" i="3"/>
  <c r="J706" i="3"/>
  <c r="K706" i="3" s="1"/>
  <c r="M706" i="3"/>
  <c r="Q704" i="3"/>
  <c r="E707" i="3"/>
  <c r="A708" i="3"/>
  <c r="D708" i="3" s="1"/>
  <c r="B707" i="3"/>
  <c r="H708" i="3" l="1"/>
  <c r="I708" i="3"/>
  <c r="F707" i="3"/>
  <c r="G707" i="3" s="1"/>
  <c r="N706" i="3"/>
  <c r="O706" i="3" s="1"/>
  <c r="P706" i="3" s="1"/>
  <c r="L707" i="3"/>
  <c r="C708" i="3"/>
  <c r="J707" i="3"/>
  <c r="K707" i="3" s="1"/>
  <c r="M707" i="3"/>
  <c r="Q705" i="3"/>
  <c r="E708" i="3"/>
  <c r="A709" i="3"/>
  <c r="D709" i="3" s="1"/>
  <c r="B708" i="3"/>
  <c r="H709" i="3" l="1"/>
  <c r="I709" i="3"/>
  <c r="F708" i="3"/>
  <c r="G708" i="3" s="1"/>
  <c r="N707" i="3"/>
  <c r="O707" i="3" s="1"/>
  <c r="P707" i="3" s="1"/>
  <c r="L708" i="3"/>
  <c r="C709" i="3"/>
  <c r="J708" i="3"/>
  <c r="K708" i="3" s="1"/>
  <c r="M708" i="3"/>
  <c r="Q706" i="3"/>
  <c r="E709" i="3"/>
  <c r="A710" i="3"/>
  <c r="D710" i="3" s="1"/>
  <c r="B709" i="3"/>
  <c r="H710" i="3" l="1"/>
  <c r="I710" i="3"/>
  <c r="F709" i="3"/>
  <c r="G709" i="3" s="1"/>
  <c r="N708" i="3"/>
  <c r="O708" i="3" s="1"/>
  <c r="P708" i="3" s="1"/>
  <c r="L709" i="3"/>
  <c r="C710" i="3"/>
  <c r="J709" i="3"/>
  <c r="K709" i="3" s="1"/>
  <c r="M709" i="3"/>
  <c r="Q707" i="3"/>
  <c r="E710" i="3"/>
  <c r="A711" i="3"/>
  <c r="D711" i="3" s="1"/>
  <c r="B710" i="3"/>
  <c r="H711" i="3" l="1"/>
  <c r="I711" i="3"/>
  <c r="F710" i="3"/>
  <c r="G710" i="3" s="1"/>
  <c r="N709" i="3"/>
  <c r="O709" i="3" s="1"/>
  <c r="P709" i="3" s="1"/>
  <c r="L710" i="3"/>
  <c r="C711" i="3"/>
  <c r="J710" i="3"/>
  <c r="K710" i="3" s="1"/>
  <c r="M710" i="3"/>
  <c r="Q708" i="3"/>
  <c r="E711" i="3"/>
  <c r="A712" i="3"/>
  <c r="D712" i="3" s="1"/>
  <c r="B711" i="3"/>
  <c r="H712" i="3" l="1"/>
  <c r="I712" i="3"/>
  <c r="N710" i="3"/>
  <c r="O710" i="3" s="1"/>
  <c r="P710" i="3" s="1"/>
  <c r="F711" i="3"/>
  <c r="G711" i="3" s="1"/>
  <c r="L711" i="3"/>
  <c r="C712" i="3"/>
  <c r="J711" i="3"/>
  <c r="K711" i="3" s="1"/>
  <c r="M711" i="3"/>
  <c r="Q709" i="3"/>
  <c r="E712" i="3"/>
  <c r="A713" i="3"/>
  <c r="D713" i="3" s="1"/>
  <c r="B712" i="3"/>
  <c r="H713" i="3" l="1"/>
  <c r="I713" i="3"/>
  <c r="N711" i="3"/>
  <c r="O711" i="3" s="1"/>
  <c r="P711" i="3" s="1"/>
  <c r="F712" i="3"/>
  <c r="G712" i="3" s="1"/>
  <c r="L712" i="3"/>
  <c r="C713" i="3"/>
  <c r="J712" i="3"/>
  <c r="K712" i="3" s="1"/>
  <c r="M712" i="3"/>
  <c r="Q710" i="3"/>
  <c r="E713" i="3"/>
  <c r="A714" i="3"/>
  <c r="D714" i="3" s="1"/>
  <c r="B713" i="3"/>
  <c r="H714" i="3" l="1"/>
  <c r="I714" i="3"/>
  <c r="F713" i="3"/>
  <c r="G713" i="3" s="1"/>
  <c r="N712" i="3"/>
  <c r="O712" i="3" s="1"/>
  <c r="P712" i="3" s="1"/>
  <c r="L713" i="3"/>
  <c r="C714" i="3"/>
  <c r="J713" i="3"/>
  <c r="K713" i="3" s="1"/>
  <c r="M713" i="3"/>
  <c r="Q711" i="3"/>
  <c r="E714" i="3"/>
  <c r="A715" i="3"/>
  <c r="D715" i="3" s="1"/>
  <c r="B714" i="3"/>
  <c r="H715" i="3" l="1"/>
  <c r="I715" i="3"/>
  <c r="N713" i="3"/>
  <c r="O713" i="3" s="1"/>
  <c r="P713" i="3" s="1"/>
  <c r="F714" i="3"/>
  <c r="G714" i="3" s="1"/>
  <c r="L714" i="3"/>
  <c r="C715" i="3"/>
  <c r="J714" i="3"/>
  <c r="K714" i="3" s="1"/>
  <c r="M714" i="3"/>
  <c r="Q712" i="3"/>
  <c r="E715" i="3"/>
  <c r="A716" i="3"/>
  <c r="D716" i="3" s="1"/>
  <c r="B715" i="3"/>
  <c r="H716" i="3" l="1"/>
  <c r="I716" i="3"/>
  <c r="N714" i="3"/>
  <c r="O714" i="3" s="1"/>
  <c r="P714" i="3" s="1"/>
  <c r="F715" i="3"/>
  <c r="G715" i="3" s="1"/>
  <c r="L715" i="3"/>
  <c r="C716" i="3"/>
  <c r="J715" i="3"/>
  <c r="K715" i="3" s="1"/>
  <c r="M715" i="3"/>
  <c r="Q713" i="3"/>
  <c r="E716" i="3"/>
  <c r="A717" i="3"/>
  <c r="D717" i="3" s="1"/>
  <c r="B716" i="3"/>
  <c r="H717" i="3" l="1"/>
  <c r="I717" i="3"/>
  <c r="N715" i="3"/>
  <c r="O715" i="3" s="1"/>
  <c r="P715" i="3" s="1"/>
  <c r="F716" i="3"/>
  <c r="G716" i="3" s="1"/>
  <c r="L716" i="3"/>
  <c r="C717" i="3"/>
  <c r="J716" i="3"/>
  <c r="K716" i="3" s="1"/>
  <c r="M716" i="3"/>
  <c r="Q714" i="3"/>
  <c r="E717" i="3"/>
  <c r="A718" i="3"/>
  <c r="D718" i="3" s="1"/>
  <c r="B717" i="3"/>
  <c r="H718" i="3" l="1"/>
  <c r="I718" i="3"/>
  <c r="F717" i="3"/>
  <c r="G717" i="3" s="1"/>
  <c r="N716" i="3"/>
  <c r="O716" i="3" s="1"/>
  <c r="P716" i="3" s="1"/>
  <c r="L717" i="3"/>
  <c r="C718" i="3"/>
  <c r="J717" i="3"/>
  <c r="K717" i="3" s="1"/>
  <c r="M717" i="3"/>
  <c r="Q715" i="3"/>
  <c r="E718" i="3"/>
  <c r="A719" i="3"/>
  <c r="D719" i="3" s="1"/>
  <c r="B718" i="3"/>
  <c r="H719" i="3" l="1"/>
  <c r="I719" i="3"/>
  <c r="N717" i="3"/>
  <c r="O717" i="3" s="1"/>
  <c r="P717" i="3" s="1"/>
  <c r="F718" i="3"/>
  <c r="G718" i="3" s="1"/>
  <c r="L718" i="3"/>
  <c r="C719" i="3"/>
  <c r="J718" i="3"/>
  <c r="K718" i="3" s="1"/>
  <c r="M718" i="3"/>
  <c r="Q716" i="3"/>
  <c r="E719" i="3"/>
  <c r="A720" i="3"/>
  <c r="D720" i="3" s="1"/>
  <c r="B719" i="3"/>
  <c r="H720" i="3" l="1"/>
  <c r="I720" i="3"/>
  <c r="F719" i="3"/>
  <c r="G719" i="3" s="1"/>
  <c r="N718" i="3"/>
  <c r="O718" i="3" s="1"/>
  <c r="P718" i="3" s="1"/>
  <c r="L719" i="3"/>
  <c r="J719" i="3"/>
  <c r="K719" i="3" s="1"/>
  <c r="M719" i="3"/>
  <c r="C720" i="3"/>
  <c r="Q717" i="3"/>
  <c r="E720" i="3"/>
  <c r="A721" i="3"/>
  <c r="D721" i="3" s="1"/>
  <c r="B720" i="3"/>
  <c r="I721" i="3" l="1"/>
  <c r="H721" i="3"/>
  <c r="N719" i="3"/>
  <c r="O719" i="3" s="1"/>
  <c r="P719" i="3" s="1"/>
  <c r="F720" i="3"/>
  <c r="G720" i="3" s="1"/>
  <c r="L720" i="3"/>
  <c r="J720" i="3"/>
  <c r="K720" i="3" s="1"/>
  <c r="M720" i="3"/>
  <c r="C721" i="3"/>
  <c r="Q718" i="3"/>
  <c r="E721" i="3"/>
  <c r="A722" i="3"/>
  <c r="D722" i="3" s="1"/>
  <c r="B721" i="3"/>
  <c r="I722" i="3" l="1"/>
  <c r="H722" i="3"/>
  <c r="N720" i="3"/>
  <c r="O720" i="3" s="1"/>
  <c r="P720" i="3" s="1"/>
  <c r="F721" i="3"/>
  <c r="G721" i="3" s="1"/>
  <c r="L721" i="3"/>
  <c r="J721" i="3"/>
  <c r="K721" i="3" s="1"/>
  <c r="M721" i="3"/>
  <c r="C722" i="3"/>
  <c r="Q719" i="3"/>
  <c r="E722" i="3"/>
  <c r="A723" i="3"/>
  <c r="D723" i="3" s="1"/>
  <c r="B722" i="3"/>
  <c r="H723" i="3" l="1"/>
  <c r="I723" i="3"/>
  <c r="N721" i="3"/>
  <c r="O721" i="3" s="1"/>
  <c r="P721" i="3" s="1"/>
  <c r="F722" i="3"/>
  <c r="G722" i="3" s="1"/>
  <c r="L722" i="3"/>
  <c r="J722" i="3"/>
  <c r="K722" i="3" s="1"/>
  <c r="M722" i="3"/>
  <c r="C723" i="3"/>
  <c r="Q720" i="3"/>
  <c r="E723" i="3"/>
  <c r="A724" i="3"/>
  <c r="D724" i="3" s="1"/>
  <c r="B723" i="3"/>
  <c r="H724" i="3" l="1"/>
  <c r="I724" i="3"/>
  <c r="N722" i="3"/>
  <c r="O722" i="3" s="1"/>
  <c r="P722" i="3" s="1"/>
  <c r="F723" i="3"/>
  <c r="G723" i="3" s="1"/>
  <c r="L723" i="3"/>
  <c r="J723" i="3"/>
  <c r="K723" i="3" s="1"/>
  <c r="M723" i="3"/>
  <c r="C724" i="3"/>
  <c r="Q721" i="3"/>
  <c r="E724" i="3"/>
  <c r="A725" i="3"/>
  <c r="D725" i="3" s="1"/>
  <c r="B724" i="3"/>
  <c r="H725" i="3" l="1"/>
  <c r="I725" i="3"/>
  <c r="N723" i="3"/>
  <c r="O723" i="3" s="1"/>
  <c r="P723" i="3" s="1"/>
  <c r="F724" i="3"/>
  <c r="G724" i="3" s="1"/>
  <c r="L724" i="3"/>
  <c r="J724" i="3"/>
  <c r="K724" i="3" s="1"/>
  <c r="M724" i="3"/>
  <c r="N724" i="3" s="1"/>
  <c r="C725" i="3"/>
  <c r="Q722" i="3"/>
  <c r="E725" i="3"/>
  <c r="A726" i="3"/>
  <c r="D726" i="3" s="1"/>
  <c r="B725" i="3"/>
  <c r="H726" i="3" l="1"/>
  <c r="I726" i="3"/>
  <c r="F725" i="3"/>
  <c r="G725" i="3" s="1"/>
  <c r="O724" i="3"/>
  <c r="P724" i="3" s="1"/>
  <c r="L725" i="3"/>
  <c r="C726" i="3"/>
  <c r="J725" i="3"/>
  <c r="K725" i="3" s="1"/>
  <c r="M725" i="3"/>
  <c r="N725" i="3" s="1"/>
  <c r="Q723" i="3"/>
  <c r="E726" i="3"/>
  <c r="A727" i="3"/>
  <c r="D727" i="3" s="1"/>
  <c r="B726" i="3"/>
  <c r="H727" i="3" l="1"/>
  <c r="I727" i="3"/>
  <c r="F726" i="3"/>
  <c r="G726" i="3" s="1"/>
  <c r="L726" i="3"/>
  <c r="O725" i="3"/>
  <c r="P725" i="3" s="1"/>
  <c r="C727" i="3"/>
  <c r="J726" i="3"/>
  <c r="K726" i="3" s="1"/>
  <c r="M726" i="3"/>
  <c r="N726" i="3" s="1"/>
  <c r="Q724" i="3"/>
  <c r="E727" i="3"/>
  <c r="A728" i="3"/>
  <c r="D728" i="3" s="1"/>
  <c r="B727" i="3"/>
  <c r="H728" i="3" l="1"/>
  <c r="I728" i="3"/>
  <c r="F727" i="3"/>
  <c r="G727" i="3" s="1"/>
  <c r="L727" i="3"/>
  <c r="O726" i="3"/>
  <c r="P726" i="3" s="1"/>
  <c r="C728" i="3"/>
  <c r="J727" i="3"/>
  <c r="K727" i="3" s="1"/>
  <c r="M727" i="3"/>
  <c r="N727" i="3" s="1"/>
  <c r="Q725" i="3"/>
  <c r="E728" i="3"/>
  <c r="A729" i="3"/>
  <c r="D729" i="3" s="1"/>
  <c r="B728" i="3"/>
  <c r="H729" i="3" l="1"/>
  <c r="I729" i="3"/>
  <c r="F728" i="3"/>
  <c r="G728" i="3" s="1"/>
  <c r="L728" i="3"/>
  <c r="O727" i="3"/>
  <c r="P727" i="3" s="1"/>
  <c r="C729" i="3"/>
  <c r="J728" i="3"/>
  <c r="K728" i="3" s="1"/>
  <c r="M728" i="3"/>
  <c r="N728" i="3" s="1"/>
  <c r="Q726" i="3"/>
  <c r="E729" i="3"/>
  <c r="A730" i="3"/>
  <c r="D730" i="3" s="1"/>
  <c r="B729" i="3"/>
  <c r="H730" i="3" l="1"/>
  <c r="I730" i="3"/>
  <c r="F729" i="3"/>
  <c r="G729" i="3" s="1"/>
  <c r="L729" i="3"/>
  <c r="O728" i="3"/>
  <c r="P728" i="3" s="1"/>
  <c r="C730" i="3"/>
  <c r="J729" i="3"/>
  <c r="K729" i="3" s="1"/>
  <c r="M729" i="3"/>
  <c r="N729" i="3" s="1"/>
  <c r="Q727" i="3"/>
  <c r="E730" i="3"/>
  <c r="A731" i="3"/>
  <c r="D731" i="3" s="1"/>
  <c r="B730" i="3"/>
  <c r="H731" i="3" l="1"/>
  <c r="I731" i="3"/>
  <c r="F730" i="3"/>
  <c r="G730" i="3" s="1"/>
  <c r="L730" i="3"/>
  <c r="O729" i="3"/>
  <c r="P729" i="3" s="1"/>
  <c r="C731" i="3"/>
  <c r="J730" i="3"/>
  <c r="K730" i="3" s="1"/>
  <c r="M730" i="3"/>
  <c r="N730" i="3" s="1"/>
  <c r="Q728" i="3"/>
  <c r="E731" i="3"/>
  <c r="A732" i="3"/>
  <c r="D732" i="3" s="1"/>
  <c r="B731" i="3"/>
  <c r="H732" i="3" l="1"/>
  <c r="I732" i="3"/>
  <c r="F731" i="3"/>
  <c r="G731" i="3" s="1"/>
  <c r="L731" i="3"/>
  <c r="O730" i="3"/>
  <c r="P730" i="3" s="1"/>
  <c r="C732" i="3"/>
  <c r="J731" i="3"/>
  <c r="K731" i="3" s="1"/>
  <c r="M731" i="3"/>
  <c r="N731" i="3" s="1"/>
  <c r="Q729" i="3"/>
  <c r="E732" i="3"/>
  <c r="A733" i="3"/>
  <c r="D733" i="3" s="1"/>
  <c r="B732" i="3"/>
  <c r="H733" i="3" l="1"/>
  <c r="I733" i="3"/>
  <c r="F732" i="3"/>
  <c r="G732" i="3" s="1"/>
  <c r="O731" i="3"/>
  <c r="P731" i="3" s="1"/>
  <c r="L732" i="3"/>
  <c r="C733" i="3"/>
  <c r="J732" i="3"/>
  <c r="K732" i="3" s="1"/>
  <c r="M732" i="3"/>
  <c r="N732" i="3" s="1"/>
  <c r="Q730" i="3"/>
  <c r="E733" i="3"/>
  <c r="A734" i="3"/>
  <c r="D734" i="3" s="1"/>
  <c r="B733" i="3"/>
  <c r="H734" i="3" l="1"/>
  <c r="I734" i="3"/>
  <c r="F733" i="3"/>
  <c r="G733" i="3" s="1"/>
  <c r="L733" i="3"/>
  <c r="O732" i="3"/>
  <c r="P732" i="3" s="1"/>
  <c r="C734" i="3"/>
  <c r="J733" i="3"/>
  <c r="K733" i="3" s="1"/>
  <c r="M733" i="3"/>
  <c r="N733" i="3" s="1"/>
  <c r="Q731" i="3"/>
  <c r="E734" i="3"/>
  <c r="A735" i="3"/>
  <c r="D735" i="3" s="1"/>
  <c r="B734" i="3"/>
  <c r="H735" i="3" l="1"/>
  <c r="I735" i="3"/>
  <c r="F734" i="3"/>
  <c r="G734" i="3" s="1"/>
  <c r="L734" i="3"/>
  <c r="O733" i="3"/>
  <c r="P733" i="3" s="1"/>
  <c r="C735" i="3"/>
  <c r="J734" i="3"/>
  <c r="K734" i="3" s="1"/>
  <c r="M734" i="3"/>
  <c r="N734" i="3" s="1"/>
  <c r="Q732" i="3"/>
  <c r="E735" i="3"/>
  <c r="A736" i="3"/>
  <c r="D736" i="3" s="1"/>
  <c r="B735" i="3"/>
  <c r="H736" i="3" l="1"/>
  <c r="I736" i="3"/>
  <c r="F735" i="3"/>
  <c r="G735" i="3" s="1"/>
  <c r="L735" i="3"/>
  <c r="O734" i="3"/>
  <c r="P734" i="3" s="1"/>
  <c r="C736" i="3"/>
  <c r="J735" i="3"/>
  <c r="K735" i="3" s="1"/>
  <c r="M735" i="3"/>
  <c r="N735" i="3" s="1"/>
  <c r="Q733" i="3"/>
  <c r="E736" i="3"/>
  <c r="A737" i="3"/>
  <c r="D737" i="3" s="1"/>
  <c r="B736" i="3"/>
  <c r="I737" i="3" l="1"/>
  <c r="H737" i="3"/>
  <c r="F736" i="3"/>
  <c r="G736" i="3" s="1"/>
  <c r="O735" i="3"/>
  <c r="P735" i="3" s="1"/>
  <c r="L736" i="3"/>
  <c r="C737" i="3"/>
  <c r="J736" i="3"/>
  <c r="K736" i="3" s="1"/>
  <c r="M736" i="3"/>
  <c r="N736" i="3" s="1"/>
  <c r="Q734" i="3"/>
  <c r="E737" i="3"/>
  <c r="A738" i="3"/>
  <c r="D738" i="3" s="1"/>
  <c r="B737" i="3"/>
  <c r="H738" i="3" l="1"/>
  <c r="I738" i="3"/>
  <c r="F737" i="3"/>
  <c r="G737" i="3" s="1"/>
  <c r="L737" i="3"/>
  <c r="O736" i="3"/>
  <c r="P736" i="3" s="1"/>
  <c r="C738" i="3"/>
  <c r="J737" i="3"/>
  <c r="K737" i="3" s="1"/>
  <c r="M737" i="3"/>
  <c r="N737" i="3" s="1"/>
  <c r="Q735" i="3"/>
  <c r="E738" i="3"/>
  <c r="A739" i="3"/>
  <c r="D739" i="3" s="1"/>
  <c r="B738" i="3"/>
  <c r="H739" i="3" l="1"/>
  <c r="I739" i="3"/>
  <c r="F738" i="3"/>
  <c r="G738" i="3" s="1"/>
  <c r="O737" i="3"/>
  <c r="P737" i="3" s="1"/>
  <c r="L738" i="3"/>
  <c r="C739" i="3"/>
  <c r="J738" i="3"/>
  <c r="K738" i="3" s="1"/>
  <c r="M738" i="3"/>
  <c r="N738" i="3" s="1"/>
  <c r="Q736" i="3"/>
  <c r="E739" i="3"/>
  <c r="A740" i="3"/>
  <c r="D740" i="3" s="1"/>
  <c r="B739" i="3"/>
  <c r="H740" i="3" l="1"/>
  <c r="I740" i="3"/>
  <c r="F739" i="3"/>
  <c r="G739" i="3" s="1"/>
  <c r="O738" i="3"/>
  <c r="P738" i="3" s="1"/>
  <c r="L739" i="3"/>
  <c r="C740" i="3"/>
  <c r="J739" i="3"/>
  <c r="K739" i="3" s="1"/>
  <c r="M739" i="3"/>
  <c r="N739" i="3" s="1"/>
  <c r="Q737" i="3"/>
  <c r="E740" i="3"/>
  <c r="A741" i="3"/>
  <c r="D741" i="3" s="1"/>
  <c r="B740" i="3"/>
  <c r="H741" i="3" l="1"/>
  <c r="I741" i="3"/>
  <c r="F740" i="3"/>
  <c r="G740" i="3" s="1"/>
  <c r="O739" i="3"/>
  <c r="P739" i="3" s="1"/>
  <c r="L740" i="3"/>
  <c r="C741" i="3"/>
  <c r="J740" i="3"/>
  <c r="K740" i="3" s="1"/>
  <c r="M740" i="3"/>
  <c r="N740" i="3" s="1"/>
  <c r="Q738" i="3"/>
  <c r="E741" i="3"/>
  <c r="A742" i="3"/>
  <c r="D742" i="3" s="1"/>
  <c r="B741" i="3"/>
  <c r="H742" i="3" l="1"/>
  <c r="I742" i="3"/>
  <c r="L741" i="3"/>
  <c r="F741" i="3"/>
  <c r="G741" i="3" s="1"/>
  <c r="O740" i="3"/>
  <c r="P740" i="3" s="1"/>
  <c r="C742" i="3"/>
  <c r="J741" i="3"/>
  <c r="K741" i="3" s="1"/>
  <c r="M741" i="3"/>
  <c r="N741" i="3" s="1"/>
  <c r="Q739" i="3"/>
  <c r="E742" i="3"/>
  <c r="A743" i="3"/>
  <c r="D743" i="3" s="1"/>
  <c r="B742" i="3"/>
  <c r="H743" i="3" l="1"/>
  <c r="I743" i="3"/>
  <c r="F742" i="3"/>
  <c r="G742" i="3" s="1"/>
  <c r="L742" i="3"/>
  <c r="O741" i="3"/>
  <c r="P741" i="3" s="1"/>
  <c r="C743" i="3"/>
  <c r="J742" i="3"/>
  <c r="K742" i="3" s="1"/>
  <c r="M742" i="3"/>
  <c r="N742" i="3" s="1"/>
  <c r="Q740" i="3"/>
  <c r="E743" i="3"/>
  <c r="A744" i="3"/>
  <c r="D744" i="3" s="1"/>
  <c r="B743" i="3"/>
  <c r="H744" i="3" l="1"/>
  <c r="I744" i="3"/>
  <c r="L743" i="3"/>
  <c r="F743" i="3"/>
  <c r="G743" i="3" s="1"/>
  <c r="O742" i="3"/>
  <c r="P742" i="3" s="1"/>
  <c r="C744" i="3"/>
  <c r="J743" i="3"/>
  <c r="K743" i="3" s="1"/>
  <c r="M743" i="3"/>
  <c r="N743" i="3" s="1"/>
  <c r="Q741" i="3"/>
  <c r="E744" i="3"/>
  <c r="A745" i="3"/>
  <c r="D745" i="3" s="1"/>
  <c r="B744" i="3"/>
  <c r="H745" i="3" l="1"/>
  <c r="I745" i="3"/>
  <c r="F744" i="3"/>
  <c r="G744" i="3" s="1"/>
  <c r="O743" i="3"/>
  <c r="P743" i="3" s="1"/>
  <c r="L744" i="3"/>
  <c r="C745" i="3"/>
  <c r="J744" i="3"/>
  <c r="K744" i="3" s="1"/>
  <c r="M744" i="3"/>
  <c r="N744" i="3" s="1"/>
  <c r="Q742" i="3"/>
  <c r="E745" i="3"/>
  <c r="A746" i="3"/>
  <c r="D746" i="3" s="1"/>
  <c r="B745" i="3"/>
  <c r="H746" i="3" l="1"/>
  <c r="I746" i="3"/>
  <c r="F745" i="3"/>
  <c r="G745" i="3" s="1"/>
  <c r="O744" i="3"/>
  <c r="P744" i="3" s="1"/>
  <c r="L745" i="3"/>
  <c r="C746" i="3"/>
  <c r="J745" i="3"/>
  <c r="K745" i="3" s="1"/>
  <c r="M745" i="3"/>
  <c r="N745" i="3" s="1"/>
  <c r="Q743" i="3"/>
  <c r="E746" i="3"/>
  <c r="A747" i="3"/>
  <c r="D747" i="3" s="1"/>
  <c r="B746" i="3"/>
  <c r="H747" i="3" l="1"/>
  <c r="I747" i="3"/>
  <c r="F746" i="3"/>
  <c r="G746" i="3" s="1"/>
  <c r="L746" i="3"/>
  <c r="O745" i="3"/>
  <c r="P745" i="3" s="1"/>
  <c r="C747" i="3"/>
  <c r="J746" i="3"/>
  <c r="K746" i="3" s="1"/>
  <c r="M746" i="3"/>
  <c r="N746" i="3" s="1"/>
  <c r="Q744" i="3"/>
  <c r="E747" i="3"/>
  <c r="A748" i="3"/>
  <c r="D748" i="3" s="1"/>
  <c r="B747" i="3"/>
  <c r="I748" i="3" l="1"/>
  <c r="H748" i="3"/>
  <c r="F747" i="3"/>
  <c r="G747" i="3" s="1"/>
  <c r="O746" i="3"/>
  <c r="P746" i="3" s="1"/>
  <c r="L747" i="3"/>
  <c r="C748" i="3"/>
  <c r="J747" i="3"/>
  <c r="K747" i="3" s="1"/>
  <c r="M747" i="3"/>
  <c r="N747" i="3" s="1"/>
  <c r="Q745" i="3"/>
  <c r="E748" i="3"/>
  <c r="A749" i="3"/>
  <c r="D749" i="3" s="1"/>
  <c r="B748" i="3"/>
  <c r="H749" i="3" l="1"/>
  <c r="I749" i="3"/>
  <c r="F748" i="3"/>
  <c r="G748" i="3" s="1"/>
  <c r="O747" i="3"/>
  <c r="P747" i="3" s="1"/>
  <c r="L748" i="3"/>
  <c r="C749" i="3"/>
  <c r="J748" i="3"/>
  <c r="K748" i="3" s="1"/>
  <c r="M748" i="3"/>
  <c r="N748" i="3" s="1"/>
  <c r="Q746" i="3"/>
  <c r="E749" i="3"/>
  <c r="A750" i="3"/>
  <c r="D750" i="3" s="1"/>
  <c r="B749" i="3"/>
  <c r="H750" i="3" l="1"/>
  <c r="I750" i="3"/>
  <c r="F749" i="3"/>
  <c r="G749" i="3" s="1"/>
  <c r="O748" i="3"/>
  <c r="P748" i="3" s="1"/>
  <c r="L749" i="3"/>
  <c r="C750" i="3"/>
  <c r="J749" i="3"/>
  <c r="K749" i="3" s="1"/>
  <c r="M749" i="3"/>
  <c r="N749" i="3" s="1"/>
  <c r="Q747" i="3"/>
  <c r="E750" i="3"/>
  <c r="A751" i="3"/>
  <c r="D751" i="3" s="1"/>
  <c r="B750" i="3"/>
  <c r="H751" i="3" l="1"/>
  <c r="I751" i="3"/>
  <c r="F750" i="3"/>
  <c r="G750" i="3" s="1"/>
  <c r="O749" i="3"/>
  <c r="P749" i="3" s="1"/>
  <c r="L750" i="3"/>
  <c r="C751" i="3"/>
  <c r="J750" i="3"/>
  <c r="K750" i="3" s="1"/>
  <c r="M750" i="3"/>
  <c r="N750" i="3" s="1"/>
  <c r="Q748" i="3"/>
  <c r="E751" i="3"/>
  <c r="A752" i="3"/>
  <c r="D752" i="3" s="1"/>
  <c r="B751" i="3"/>
  <c r="H752" i="3" l="1"/>
  <c r="M752" i="3" s="1"/>
  <c r="N752" i="3" s="1"/>
  <c r="I752" i="3"/>
  <c r="F751" i="3"/>
  <c r="G751" i="3" s="1"/>
  <c r="O750" i="3"/>
  <c r="P750" i="3" s="1"/>
  <c r="L751" i="3"/>
  <c r="C752" i="3"/>
  <c r="J751" i="3"/>
  <c r="K751" i="3" s="1"/>
  <c r="M751" i="3"/>
  <c r="N751" i="3" s="1"/>
  <c r="Q749" i="3"/>
  <c r="E752" i="3"/>
  <c r="A753" i="3"/>
  <c r="D753" i="3" s="1"/>
  <c r="B752" i="3"/>
  <c r="I753" i="3" l="1"/>
  <c r="H753" i="3"/>
  <c r="F752" i="3"/>
  <c r="G752" i="3" s="1"/>
  <c r="L752" i="3"/>
  <c r="J752" i="3"/>
  <c r="K752" i="3" s="1"/>
  <c r="O752" i="3" s="1"/>
  <c r="O751" i="3"/>
  <c r="P751" i="3" s="1"/>
  <c r="C753" i="3"/>
  <c r="Q750" i="3"/>
  <c r="E753" i="3"/>
  <c r="A754" i="3"/>
  <c r="D754" i="3" s="1"/>
  <c r="B753" i="3"/>
  <c r="I754" i="3" l="1"/>
  <c r="H754" i="3"/>
  <c r="F753" i="3"/>
  <c r="G753" i="3" s="1"/>
  <c r="L753" i="3"/>
  <c r="J753" i="3"/>
  <c r="K753" i="3" s="1"/>
  <c r="M753" i="3"/>
  <c r="N753" i="3" s="1"/>
  <c r="C754" i="3"/>
  <c r="Q751" i="3"/>
  <c r="P752" i="3"/>
  <c r="E754" i="3"/>
  <c r="A755" i="3"/>
  <c r="D755" i="3" s="1"/>
  <c r="B754" i="3"/>
  <c r="H755" i="3" l="1"/>
  <c r="I755" i="3"/>
  <c r="F754" i="3"/>
  <c r="G754" i="3" s="1"/>
  <c r="L754" i="3"/>
  <c r="O753" i="3"/>
  <c r="P753" i="3" s="1"/>
  <c r="C755" i="3"/>
  <c r="J754" i="3"/>
  <c r="K754" i="3" s="1"/>
  <c r="M754" i="3"/>
  <c r="N754" i="3" s="1"/>
  <c r="Q752" i="3"/>
  <c r="E755" i="3"/>
  <c r="A756" i="3"/>
  <c r="D756" i="3" s="1"/>
  <c r="B755" i="3"/>
  <c r="H756" i="3" l="1"/>
  <c r="I756" i="3"/>
  <c r="O754" i="3"/>
  <c r="P754" i="3" s="1"/>
  <c r="F755" i="3"/>
  <c r="G755" i="3" s="1"/>
  <c r="L755" i="3"/>
  <c r="C756" i="3"/>
  <c r="J755" i="3"/>
  <c r="K755" i="3" s="1"/>
  <c r="M755" i="3"/>
  <c r="N755" i="3" s="1"/>
  <c r="Q753" i="3"/>
  <c r="E756" i="3"/>
  <c r="A757" i="3"/>
  <c r="D757" i="3" s="1"/>
  <c r="B756" i="3"/>
  <c r="H757" i="3" l="1"/>
  <c r="I757" i="3"/>
  <c r="F756" i="3"/>
  <c r="G756" i="3" s="1"/>
  <c r="O755" i="3"/>
  <c r="P755" i="3" s="1"/>
  <c r="L756" i="3"/>
  <c r="C757" i="3"/>
  <c r="J756" i="3"/>
  <c r="K756" i="3" s="1"/>
  <c r="M756" i="3"/>
  <c r="N756" i="3" s="1"/>
  <c r="Q754" i="3"/>
  <c r="E757" i="3"/>
  <c r="A758" i="3"/>
  <c r="D758" i="3" s="1"/>
  <c r="B757" i="3"/>
  <c r="H758" i="3" l="1"/>
  <c r="I758" i="3"/>
  <c r="L757" i="3"/>
  <c r="O756" i="3"/>
  <c r="P756" i="3" s="1"/>
  <c r="F757" i="3"/>
  <c r="G757" i="3" s="1"/>
  <c r="C758" i="3"/>
  <c r="J757" i="3"/>
  <c r="K757" i="3" s="1"/>
  <c r="M757" i="3"/>
  <c r="N757" i="3" s="1"/>
  <c r="Q755" i="3"/>
  <c r="E758" i="3"/>
  <c r="A759" i="3"/>
  <c r="D759" i="3" s="1"/>
  <c r="B758" i="3"/>
  <c r="H759" i="3" l="1"/>
  <c r="I759" i="3"/>
  <c r="L758" i="3"/>
  <c r="O757" i="3"/>
  <c r="P757" i="3" s="1"/>
  <c r="F758" i="3"/>
  <c r="G758" i="3" s="1"/>
  <c r="C759" i="3"/>
  <c r="J758" i="3"/>
  <c r="K758" i="3" s="1"/>
  <c r="M758" i="3"/>
  <c r="N758" i="3" s="1"/>
  <c r="Q756" i="3"/>
  <c r="E759" i="3"/>
  <c r="A760" i="3"/>
  <c r="D760" i="3" s="1"/>
  <c r="B759" i="3"/>
  <c r="H760" i="3" l="1"/>
  <c r="I760" i="3"/>
  <c r="F759" i="3"/>
  <c r="G759" i="3" s="1"/>
  <c r="O758" i="3"/>
  <c r="P758" i="3" s="1"/>
  <c r="L759" i="3"/>
  <c r="C760" i="3"/>
  <c r="J759" i="3"/>
  <c r="K759" i="3" s="1"/>
  <c r="M759" i="3"/>
  <c r="N759" i="3" s="1"/>
  <c r="Q757" i="3"/>
  <c r="E760" i="3"/>
  <c r="A761" i="3"/>
  <c r="D761" i="3" s="1"/>
  <c r="B760" i="3"/>
  <c r="H761" i="3" l="1"/>
  <c r="I761" i="3"/>
  <c r="F760" i="3"/>
  <c r="G760" i="3" s="1"/>
  <c r="L760" i="3"/>
  <c r="O759" i="3"/>
  <c r="P759" i="3" s="1"/>
  <c r="C761" i="3"/>
  <c r="J760" i="3"/>
  <c r="K760" i="3" s="1"/>
  <c r="M760" i="3"/>
  <c r="N760" i="3" s="1"/>
  <c r="Q758" i="3"/>
  <c r="E761" i="3"/>
  <c r="A762" i="3"/>
  <c r="D762" i="3" s="1"/>
  <c r="B761" i="3"/>
  <c r="H762" i="3" l="1"/>
  <c r="I762" i="3"/>
  <c r="F761" i="3"/>
  <c r="G761" i="3" s="1"/>
  <c r="L761" i="3"/>
  <c r="O760" i="3"/>
  <c r="P760" i="3" s="1"/>
  <c r="C762" i="3"/>
  <c r="J761" i="3"/>
  <c r="K761" i="3" s="1"/>
  <c r="M761" i="3"/>
  <c r="N761" i="3" s="1"/>
  <c r="Q759" i="3"/>
  <c r="E762" i="3"/>
  <c r="A763" i="3"/>
  <c r="D763" i="3" s="1"/>
  <c r="B762" i="3"/>
  <c r="H763" i="3" l="1"/>
  <c r="I763" i="3"/>
  <c r="O761" i="3"/>
  <c r="P761" i="3" s="1"/>
  <c r="L762" i="3"/>
  <c r="F762" i="3"/>
  <c r="G762" i="3" s="1"/>
  <c r="C763" i="3"/>
  <c r="J762" i="3"/>
  <c r="K762" i="3" s="1"/>
  <c r="M762" i="3"/>
  <c r="N762" i="3" s="1"/>
  <c r="Q760" i="3"/>
  <c r="E763" i="3"/>
  <c r="A764" i="3"/>
  <c r="D764" i="3" s="1"/>
  <c r="B763" i="3"/>
  <c r="H764" i="3" l="1"/>
  <c r="I764" i="3"/>
  <c r="F763" i="3"/>
  <c r="G763" i="3" s="1"/>
  <c r="L763" i="3"/>
  <c r="O762" i="3"/>
  <c r="P762" i="3" s="1"/>
  <c r="C764" i="3"/>
  <c r="J763" i="3"/>
  <c r="K763" i="3" s="1"/>
  <c r="M763" i="3"/>
  <c r="N763" i="3" s="1"/>
  <c r="Q761" i="3"/>
  <c r="E764" i="3"/>
  <c r="A765" i="3"/>
  <c r="D765" i="3" s="1"/>
  <c r="B764" i="3"/>
  <c r="H765" i="3" l="1"/>
  <c r="I765" i="3"/>
  <c r="F764" i="3"/>
  <c r="G764" i="3" s="1"/>
  <c r="O763" i="3"/>
  <c r="P763" i="3" s="1"/>
  <c r="L764" i="3"/>
  <c r="C765" i="3"/>
  <c r="J764" i="3"/>
  <c r="K764" i="3" s="1"/>
  <c r="M764" i="3"/>
  <c r="N764" i="3" s="1"/>
  <c r="Q762" i="3"/>
  <c r="E765" i="3"/>
  <c r="A766" i="3"/>
  <c r="D766" i="3" s="1"/>
  <c r="B765" i="3"/>
  <c r="H766" i="3" l="1"/>
  <c r="I766" i="3"/>
  <c r="F765" i="3"/>
  <c r="G765" i="3" s="1"/>
  <c r="L765" i="3"/>
  <c r="O764" i="3"/>
  <c r="P764" i="3" s="1"/>
  <c r="C766" i="3"/>
  <c r="J765" i="3"/>
  <c r="K765" i="3" s="1"/>
  <c r="M765" i="3"/>
  <c r="N765" i="3" s="1"/>
  <c r="Q763" i="3"/>
  <c r="E766" i="3"/>
  <c r="A767" i="3"/>
  <c r="D767" i="3" s="1"/>
  <c r="B766" i="3"/>
  <c r="H767" i="3" l="1"/>
  <c r="I767" i="3"/>
  <c r="F766" i="3"/>
  <c r="G766" i="3" s="1"/>
  <c r="L766" i="3"/>
  <c r="O765" i="3"/>
  <c r="P765" i="3" s="1"/>
  <c r="C767" i="3"/>
  <c r="J766" i="3"/>
  <c r="K766" i="3" s="1"/>
  <c r="M766" i="3"/>
  <c r="N766" i="3" s="1"/>
  <c r="Q764" i="3"/>
  <c r="E767" i="3"/>
  <c r="A768" i="3"/>
  <c r="D768" i="3" s="1"/>
  <c r="B767" i="3"/>
  <c r="H768" i="3" l="1"/>
  <c r="I768" i="3"/>
  <c r="F767" i="3"/>
  <c r="G767" i="3" s="1"/>
  <c r="O766" i="3"/>
  <c r="P766" i="3" s="1"/>
  <c r="L767" i="3"/>
  <c r="C768" i="3"/>
  <c r="J767" i="3"/>
  <c r="K767" i="3" s="1"/>
  <c r="M767" i="3"/>
  <c r="N767" i="3" s="1"/>
  <c r="Q765" i="3"/>
  <c r="E768" i="3"/>
  <c r="A769" i="3"/>
  <c r="D769" i="3" s="1"/>
  <c r="B768" i="3"/>
  <c r="H769" i="3" l="1"/>
  <c r="I769" i="3"/>
  <c r="F768" i="3"/>
  <c r="G768" i="3" s="1"/>
  <c r="L768" i="3"/>
  <c r="O767" i="3"/>
  <c r="P767" i="3" s="1"/>
  <c r="C769" i="3"/>
  <c r="J768" i="3"/>
  <c r="K768" i="3" s="1"/>
  <c r="M768" i="3"/>
  <c r="N768" i="3" s="1"/>
  <c r="Q766" i="3"/>
  <c r="E769" i="3"/>
  <c r="A770" i="3"/>
  <c r="D770" i="3" s="1"/>
  <c r="B769" i="3"/>
  <c r="H770" i="3" l="1"/>
  <c r="I770" i="3"/>
  <c r="F769" i="3"/>
  <c r="G769" i="3" s="1"/>
  <c r="O768" i="3"/>
  <c r="P768" i="3" s="1"/>
  <c r="L769" i="3"/>
  <c r="C770" i="3"/>
  <c r="J769" i="3"/>
  <c r="K769" i="3" s="1"/>
  <c r="M769" i="3"/>
  <c r="N769" i="3" s="1"/>
  <c r="Q767" i="3"/>
  <c r="E770" i="3"/>
  <c r="A771" i="3"/>
  <c r="D771" i="3" s="1"/>
  <c r="B770" i="3"/>
  <c r="H771" i="3" l="1"/>
  <c r="I771" i="3"/>
  <c r="F770" i="3"/>
  <c r="G770" i="3" s="1"/>
  <c r="O769" i="3"/>
  <c r="P769" i="3" s="1"/>
  <c r="L770" i="3"/>
  <c r="C771" i="3"/>
  <c r="J770" i="3"/>
  <c r="K770" i="3" s="1"/>
  <c r="M770" i="3"/>
  <c r="N770" i="3" s="1"/>
  <c r="Q768" i="3"/>
  <c r="E771" i="3"/>
  <c r="A772" i="3"/>
  <c r="D772" i="3" s="1"/>
  <c r="B771" i="3"/>
  <c r="H772" i="3" l="1"/>
  <c r="I772" i="3"/>
  <c r="F771" i="3"/>
  <c r="G771" i="3" s="1"/>
  <c r="O770" i="3"/>
  <c r="P770" i="3" s="1"/>
  <c r="L771" i="3"/>
  <c r="C772" i="3"/>
  <c r="J771" i="3"/>
  <c r="K771" i="3" s="1"/>
  <c r="M771" i="3"/>
  <c r="N771" i="3" s="1"/>
  <c r="Q769" i="3"/>
  <c r="E772" i="3"/>
  <c r="A773" i="3"/>
  <c r="D773" i="3" s="1"/>
  <c r="B772" i="3"/>
  <c r="H773" i="3" l="1"/>
  <c r="I773" i="3"/>
  <c r="F772" i="3"/>
  <c r="G772" i="3" s="1"/>
  <c r="O771" i="3"/>
  <c r="P771" i="3" s="1"/>
  <c r="L772" i="3"/>
  <c r="C773" i="3"/>
  <c r="J772" i="3"/>
  <c r="K772" i="3" s="1"/>
  <c r="M772" i="3"/>
  <c r="N772" i="3" s="1"/>
  <c r="Q770" i="3"/>
  <c r="E773" i="3"/>
  <c r="A774" i="3"/>
  <c r="D774" i="3" s="1"/>
  <c r="B773" i="3"/>
  <c r="H774" i="3" l="1"/>
  <c r="I774" i="3"/>
  <c r="F773" i="3"/>
  <c r="G773" i="3" s="1"/>
  <c r="O772" i="3"/>
  <c r="P772" i="3" s="1"/>
  <c r="L773" i="3"/>
  <c r="C774" i="3"/>
  <c r="J773" i="3"/>
  <c r="K773" i="3" s="1"/>
  <c r="M773" i="3"/>
  <c r="N773" i="3" s="1"/>
  <c r="Q771" i="3"/>
  <c r="E774" i="3"/>
  <c r="A775" i="3"/>
  <c r="D775" i="3" s="1"/>
  <c r="B774" i="3"/>
  <c r="H775" i="3" l="1"/>
  <c r="I775" i="3"/>
  <c r="L774" i="3"/>
  <c r="F774" i="3"/>
  <c r="G774" i="3" s="1"/>
  <c r="O773" i="3"/>
  <c r="P773" i="3" s="1"/>
  <c r="C775" i="3"/>
  <c r="J774" i="3"/>
  <c r="K774" i="3" s="1"/>
  <c r="M774" i="3"/>
  <c r="N774" i="3" s="1"/>
  <c r="Q772" i="3"/>
  <c r="E775" i="3"/>
  <c r="A776" i="3"/>
  <c r="D776" i="3" s="1"/>
  <c r="B775" i="3"/>
  <c r="H776" i="3" l="1"/>
  <c r="M776" i="3" s="1"/>
  <c r="N776" i="3" s="1"/>
  <c r="I776" i="3"/>
  <c r="F775" i="3"/>
  <c r="G775" i="3" s="1"/>
  <c r="O774" i="3"/>
  <c r="P774" i="3" s="1"/>
  <c r="L775" i="3"/>
  <c r="C776" i="3"/>
  <c r="J775" i="3"/>
  <c r="K775" i="3" s="1"/>
  <c r="M775" i="3"/>
  <c r="N775" i="3" s="1"/>
  <c r="Q773" i="3"/>
  <c r="E776" i="3"/>
  <c r="A777" i="3"/>
  <c r="D777" i="3" s="1"/>
  <c r="B776" i="3"/>
  <c r="H777" i="3" l="1"/>
  <c r="I777" i="3"/>
  <c r="F776" i="3"/>
  <c r="G776" i="3" s="1"/>
  <c r="O775" i="3"/>
  <c r="P775" i="3" s="1"/>
  <c r="L776" i="3"/>
  <c r="J776" i="3"/>
  <c r="K776" i="3" s="1"/>
  <c r="O776" i="3" s="1"/>
  <c r="C777" i="3"/>
  <c r="Q774" i="3"/>
  <c r="E777" i="3"/>
  <c r="A778" i="3"/>
  <c r="D778" i="3" s="1"/>
  <c r="B777" i="3"/>
  <c r="H778" i="3" l="1"/>
  <c r="I778" i="3"/>
  <c r="F777" i="3"/>
  <c r="G777" i="3" s="1"/>
  <c r="L777" i="3"/>
  <c r="J777" i="3"/>
  <c r="K777" i="3" s="1"/>
  <c r="M777" i="3"/>
  <c r="N777" i="3" s="1"/>
  <c r="C778" i="3"/>
  <c r="Q775" i="3"/>
  <c r="P776" i="3"/>
  <c r="E778" i="3"/>
  <c r="A779" i="3"/>
  <c r="D779" i="3" s="1"/>
  <c r="B778" i="3"/>
  <c r="H779" i="3" l="1"/>
  <c r="I779" i="3"/>
  <c r="F778" i="3"/>
  <c r="G778" i="3" s="1"/>
  <c r="L778" i="3"/>
  <c r="O777" i="3"/>
  <c r="P777" i="3" s="1"/>
  <c r="C779" i="3"/>
  <c r="J778" i="3"/>
  <c r="K778" i="3" s="1"/>
  <c r="M778" i="3"/>
  <c r="N778" i="3" s="1"/>
  <c r="Q776" i="3"/>
  <c r="E779" i="3"/>
  <c r="A780" i="3"/>
  <c r="D780" i="3" s="1"/>
  <c r="B779" i="3"/>
  <c r="H780" i="3" l="1"/>
  <c r="I780" i="3"/>
  <c r="F779" i="3"/>
  <c r="G779" i="3" s="1"/>
  <c r="O778" i="3"/>
  <c r="P778" i="3" s="1"/>
  <c r="L779" i="3"/>
  <c r="C780" i="3"/>
  <c r="J779" i="3"/>
  <c r="K779" i="3" s="1"/>
  <c r="M779" i="3"/>
  <c r="N779" i="3" s="1"/>
  <c r="Q777" i="3"/>
  <c r="E780" i="3"/>
  <c r="A781" i="3"/>
  <c r="D781" i="3" s="1"/>
  <c r="B780" i="3"/>
  <c r="H781" i="3" l="1"/>
  <c r="I781" i="3"/>
  <c r="F780" i="3"/>
  <c r="G780" i="3" s="1"/>
  <c r="O779" i="3"/>
  <c r="P779" i="3" s="1"/>
  <c r="L780" i="3"/>
  <c r="C781" i="3"/>
  <c r="J780" i="3"/>
  <c r="K780" i="3" s="1"/>
  <c r="M780" i="3"/>
  <c r="N780" i="3" s="1"/>
  <c r="Q778" i="3"/>
  <c r="E781" i="3"/>
  <c r="A782" i="3"/>
  <c r="D782" i="3" s="1"/>
  <c r="B781" i="3"/>
  <c r="H782" i="3" l="1"/>
  <c r="I782" i="3"/>
  <c r="F781" i="3"/>
  <c r="G781" i="3" s="1"/>
  <c r="O780" i="3"/>
  <c r="P780" i="3" s="1"/>
  <c r="L781" i="3"/>
  <c r="C782" i="3"/>
  <c r="J781" i="3"/>
  <c r="K781" i="3" s="1"/>
  <c r="M781" i="3"/>
  <c r="N781" i="3" s="1"/>
  <c r="Q779" i="3"/>
  <c r="E782" i="3"/>
  <c r="A783" i="3"/>
  <c r="D783" i="3" s="1"/>
  <c r="B782" i="3"/>
  <c r="H783" i="3" l="1"/>
  <c r="I783" i="3"/>
  <c r="L782" i="3"/>
  <c r="F782" i="3"/>
  <c r="G782" i="3" s="1"/>
  <c r="O781" i="3"/>
  <c r="P781" i="3" s="1"/>
  <c r="C783" i="3"/>
  <c r="J782" i="3"/>
  <c r="K782" i="3" s="1"/>
  <c r="M782" i="3"/>
  <c r="N782" i="3" s="1"/>
  <c r="Q780" i="3"/>
  <c r="E783" i="3"/>
  <c r="A784" i="3"/>
  <c r="D784" i="3" s="1"/>
  <c r="B783" i="3"/>
  <c r="H784" i="3" l="1"/>
  <c r="M784" i="3" s="1"/>
  <c r="N784" i="3" s="1"/>
  <c r="I784" i="3"/>
  <c r="F783" i="3"/>
  <c r="G783" i="3" s="1"/>
  <c r="O782" i="3"/>
  <c r="P782" i="3" s="1"/>
  <c r="L783" i="3"/>
  <c r="C784" i="3"/>
  <c r="J783" i="3"/>
  <c r="K783" i="3" s="1"/>
  <c r="M783" i="3"/>
  <c r="N783" i="3" s="1"/>
  <c r="Q781" i="3"/>
  <c r="E784" i="3"/>
  <c r="A785" i="3"/>
  <c r="D785" i="3" s="1"/>
  <c r="B784" i="3"/>
  <c r="I785" i="3" l="1"/>
  <c r="H785" i="3"/>
  <c r="F784" i="3"/>
  <c r="G784" i="3" s="1"/>
  <c r="J784" i="3"/>
  <c r="K784" i="3" s="1"/>
  <c r="O784" i="3" s="1"/>
  <c r="L784" i="3"/>
  <c r="O783" i="3"/>
  <c r="P783" i="3" s="1"/>
  <c r="C785" i="3"/>
  <c r="Q782" i="3"/>
  <c r="E785" i="3"/>
  <c r="A786" i="3"/>
  <c r="D786" i="3" s="1"/>
  <c r="B785" i="3"/>
  <c r="H786" i="3" l="1"/>
  <c r="I786" i="3"/>
  <c r="F785" i="3"/>
  <c r="G785" i="3" s="1"/>
  <c r="L785" i="3"/>
  <c r="J785" i="3"/>
  <c r="K785" i="3" s="1"/>
  <c r="M785" i="3"/>
  <c r="N785" i="3" s="1"/>
  <c r="C786" i="3"/>
  <c r="Q783" i="3"/>
  <c r="P784" i="3"/>
  <c r="E786" i="3"/>
  <c r="A787" i="3"/>
  <c r="D787" i="3" s="1"/>
  <c r="B786" i="3"/>
  <c r="H787" i="3" l="1"/>
  <c r="I787" i="3"/>
  <c r="L786" i="3"/>
  <c r="F786" i="3"/>
  <c r="G786" i="3" s="1"/>
  <c r="O785" i="3"/>
  <c r="P785" i="3" s="1"/>
  <c r="C787" i="3"/>
  <c r="J786" i="3"/>
  <c r="K786" i="3" s="1"/>
  <c r="M786" i="3"/>
  <c r="N786" i="3" s="1"/>
  <c r="Q784" i="3"/>
  <c r="E787" i="3"/>
  <c r="A788" i="3"/>
  <c r="D788" i="3" s="1"/>
  <c r="B787" i="3"/>
  <c r="H788" i="3" l="1"/>
  <c r="I788" i="3"/>
  <c r="F787" i="3"/>
  <c r="G787" i="3" s="1"/>
  <c r="O786" i="3"/>
  <c r="P786" i="3" s="1"/>
  <c r="L787" i="3"/>
  <c r="C788" i="3"/>
  <c r="J787" i="3"/>
  <c r="K787" i="3" s="1"/>
  <c r="M787" i="3"/>
  <c r="N787" i="3" s="1"/>
  <c r="Q785" i="3"/>
  <c r="E788" i="3"/>
  <c r="A789" i="3"/>
  <c r="D789" i="3" s="1"/>
  <c r="B788" i="3"/>
  <c r="H789" i="3" l="1"/>
  <c r="I789" i="3"/>
  <c r="F788" i="3"/>
  <c r="G788" i="3" s="1"/>
  <c r="O787" i="3"/>
  <c r="P787" i="3" s="1"/>
  <c r="L788" i="3"/>
  <c r="C789" i="3"/>
  <c r="J788" i="3"/>
  <c r="K788" i="3" s="1"/>
  <c r="M788" i="3"/>
  <c r="N788" i="3" s="1"/>
  <c r="Q786" i="3"/>
  <c r="E789" i="3"/>
  <c r="A790" i="3"/>
  <c r="D790" i="3" s="1"/>
  <c r="B789" i="3"/>
  <c r="H790" i="3" l="1"/>
  <c r="I790" i="3"/>
  <c r="F789" i="3"/>
  <c r="G789" i="3" s="1"/>
  <c r="O788" i="3"/>
  <c r="P788" i="3" s="1"/>
  <c r="L789" i="3"/>
  <c r="C790" i="3"/>
  <c r="J789" i="3"/>
  <c r="K789" i="3" s="1"/>
  <c r="M789" i="3"/>
  <c r="N789" i="3" s="1"/>
  <c r="Q787" i="3"/>
  <c r="E790" i="3"/>
  <c r="A791" i="3"/>
  <c r="D791" i="3" s="1"/>
  <c r="B790" i="3"/>
  <c r="I791" i="3" l="1"/>
  <c r="H791" i="3"/>
  <c r="F790" i="3"/>
  <c r="G790" i="3" s="1"/>
  <c r="O789" i="3"/>
  <c r="P789" i="3" s="1"/>
  <c r="L790" i="3"/>
  <c r="C791" i="3"/>
  <c r="J790" i="3"/>
  <c r="K790" i="3" s="1"/>
  <c r="M790" i="3"/>
  <c r="N790" i="3" s="1"/>
  <c r="Q788" i="3"/>
  <c r="E791" i="3"/>
  <c r="A792" i="3"/>
  <c r="D792" i="3" s="1"/>
  <c r="B791" i="3"/>
  <c r="H792" i="3" l="1"/>
  <c r="I792" i="3"/>
  <c r="F791" i="3"/>
  <c r="G791" i="3" s="1"/>
  <c r="L791" i="3"/>
  <c r="O790" i="3"/>
  <c r="P790" i="3" s="1"/>
  <c r="C792" i="3"/>
  <c r="J791" i="3"/>
  <c r="K791" i="3" s="1"/>
  <c r="M791" i="3"/>
  <c r="N791" i="3" s="1"/>
  <c r="Q789" i="3"/>
  <c r="E792" i="3"/>
  <c r="A793" i="3"/>
  <c r="D793" i="3" s="1"/>
  <c r="B792" i="3"/>
  <c r="H793" i="3" l="1"/>
  <c r="I793" i="3"/>
  <c r="F792" i="3"/>
  <c r="G792" i="3" s="1"/>
  <c r="O791" i="3"/>
  <c r="P791" i="3" s="1"/>
  <c r="L792" i="3"/>
  <c r="C793" i="3"/>
  <c r="J792" i="3"/>
  <c r="K792" i="3" s="1"/>
  <c r="M792" i="3"/>
  <c r="N792" i="3" s="1"/>
  <c r="Q790" i="3"/>
  <c r="E793" i="3"/>
  <c r="A794" i="3"/>
  <c r="D794" i="3" s="1"/>
  <c r="B793" i="3"/>
  <c r="H794" i="3" l="1"/>
  <c r="I794" i="3"/>
  <c r="F793" i="3"/>
  <c r="G793" i="3" s="1"/>
  <c r="O792" i="3"/>
  <c r="P792" i="3" s="1"/>
  <c r="L793" i="3"/>
  <c r="C794" i="3"/>
  <c r="J793" i="3"/>
  <c r="K793" i="3" s="1"/>
  <c r="M793" i="3"/>
  <c r="N793" i="3" s="1"/>
  <c r="Q791" i="3"/>
  <c r="E794" i="3"/>
  <c r="A795" i="3"/>
  <c r="D795" i="3" s="1"/>
  <c r="B794" i="3"/>
  <c r="H795" i="3" l="1"/>
  <c r="I795" i="3"/>
  <c r="F794" i="3"/>
  <c r="G794" i="3" s="1"/>
  <c r="O793" i="3"/>
  <c r="P793" i="3" s="1"/>
  <c r="L794" i="3"/>
  <c r="C795" i="3"/>
  <c r="J794" i="3"/>
  <c r="K794" i="3" s="1"/>
  <c r="M794" i="3"/>
  <c r="N794" i="3" s="1"/>
  <c r="Q792" i="3"/>
  <c r="E795" i="3"/>
  <c r="A796" i="3"/>
  <c r="D796" i="3" s="1"/>
  <c r="B795" i="3"/>
  <c r="H796" i="3" l="1"/>
  <c r="I796" i="3"/>
  <c r="F795" i="3"/>
  <c r="G795" i="3" s="1"/>
  <c r="O794" i="3"/>
  <c r="P794" i="3" s="1"/>
  <c r="L795" i="3"/>
  <c r="C796" i="3"/>
  <c r="J795" i="3"/>
  <c r="K795" i="3" s="1"/>
  <c r="M795" i="3"/>
  <c r="N795" i="3" s="1"/>
  <c r="Q793" i="3"/>
  <c r="E796" i="3"/>
  <c r="A797" i="3"/>
  <c r="D797" i="3" s="1"/>
  <c r="B796" i="3"/>
  <c r="H797" i="3" l="1"/>
  <c r="I797" i="3"/>
  <c r="F796" i="3"/>
  <c r="G796" i="3" s="1"/>
  <c r="O795" i="3"/>
  <c r="P795" i="3" s="1"/>
  <c r="L796" i="3"/>
  <c r="C797" i="3"/>
  <c r="J796" i="3"/>
  <c r="K796" i="3" s="1"/>
  <c r="M796" i="3"/>
  <c r="N796" i="3" s="1"/>
  <c r="Q794" i="3"/>
  <c r="E797" i="3"/>
  <c r="A798" i="3"/>
  <c r="D798" i="3" s="1"/>
  <c r="B797" i="3"/>
  <c r="H798" i="3" l="1"/>
  <c r="I798" i="3"/>
  <c r="F797" i="3"/>
  <c r="G797" i="3" s="1"/>
  <c r="L797" i="3"/>
  <c r="O796" i="3"/>
  <c r="P796" i="3" s="1"/>
  <c r="C798" i="3"/>
  <c r="J797" i="3"/>
  <c r="K797" i="3" s="1"/>
  <c r="M797" i="3"/>
  <c r="N797" i="3" s="1"/>
  <c r="Q795" i="3"/>
  <c r="E798" i="3"/>
  <c r="A799" i="3"/>
  <c r="D799" i="3" s="1"/>
  <c r="B798" i="3"/>
  <c r="H799" i="3" l="1"/>
  <c r="I799" i="3"/>
  <c r="F798" i="3"/>
  <c r="G798" i="3" s="1"/>
  <c r="O797" i="3"/>
  <c r="P797" i="3" s="1"/>
  <c r="L798" i="3"/>
  <c r="C799" i="3"/>
  <c r="J798" i="3"/>
  <c r="K798" i="3" s="1"/>
  <c r="M798" i="3"/>
  <c r="N798" i="3" s="1"/>
  <c r="Q796" i="3"/>
  <c r="E799" i="3"/>
  <c r="A800" i="3"/>
  <c r="D800" i="3" s="1"/>
  <c r="B799" i="3"/>
  <c r="H800" i="3" l="1"/>
  <c r="I800" i="3"/>
  <c r="F799" i="3"/>
  <c r="G799" i="3" s="1"/>
  <c r="O798" i="3"/>
  <c r="P798" i="3" s="1"/>
  <c r="L799" i="3"/>
  <c r="C800" i="3"/>
  <c r="J799" i="3"/>
  <c r="K799" i="3" s="1"/>
  <c r="M799" i="3"/>
  <c r="N799" i="3" s="1"/>
  <c r="Q797" i="3"/>
  <c r="E800" i="3"/>
  <c r="A801" i="3"/>
  <c r="D801" i="3" s="1"/>
  <c r="B800" i="3"/>
  <c r="I801" i="3" l="1"/>
  <c r="H801" i="3"/>
  <c r="F800" i="3"/>
  <c r="G800" i="3" s="1"/>
  <c r="O799" i="3"/>
  <c r="P799" i="3" s="1"/>
  <c r="L800" i="3"/>
  <c r="C801" i="3"/>
  <c r="J800" i="3"/>
  <c r="K800" i="3" s="1"/>
  <c r="M800" i="3"/>
  <c r="N800" i="3" s="1"/>
  <c r="Q798" i="3"/>
  <c r="E801" i="3"/>
  <c r="A802" i="3"/>
  <c r="D802" i="3" s="1"/>
  <c r="B801" i="3"/>
  <c r="H802" i="3" l="1"/>
  <c r="I802" i="3"/>
  <c r="F801" i="3"/>
  <c r="G801" i="3" s="1"/>
  <c r="L801" i="3"/>
  <c r="O800" i="3"/>
  <c r="P800" i="3" s="1"/>
  <c r="C802" i="3"/>
  <c r="J801" i="3"/>
  <c r="K801" i="3" s="1"/>
  <c r="M801" i="3"/>
  <c r="N801" i="3" s="1"/>
  <c r="Q799" i="3"/>
  <c r="E802" i="3"/>
  <c r="A803" i="3"/>
  <c r="D803" i="3" s="1"/>
  <c r="B802" i="3"/>
  <c r="H803" i="3" l="1"/>
  <c r="I803" i="3"/>
  <c r="F802" i="3"/>
  <c r="G802" i="3" s="1"/>
  <c r="L802" i="3"/>
  <c r="O801" i="3"/>
  <c r="P801" i="3" s="1"/>
  <c r="C803" i="3"/>
  <c r="J802" i="3"/>
  <c r="K802" i="3" s="1"/>
  <c r="M802" i="3"/>
  <c r="N802" i="3" s="1"/>
  <c r="Q800" i="3"/>
  <c r="E803" i="3"/>
  <c r="A804" i="3"/>
  <c r="D804" i="3" s="1"/>
  <c r="B803" i="3"/>
  <c r="H804" i="3" l="1"/>
  <c r="I804" i="3"/>
  <c r="F803" i="3"/>
  <c r="G803" i="3" s="1"/>
  <c r="O802" i="3"/>
  <c r="P802" i="3" s="1"/>
  <c r="L803" i="3"/>
  <c r="C804" i="3"/>
  <c r="J803" i="3"/>
  <c r="K803" i="3" s="1"/>
  <c r="M803" i="3"/>
  <c r="N803" i="3" s="1"/>
  <c r="Q801" i="3"/>
  <c r="E804" i="3"/>
  <c r="A805" i="3"/>
  <c r="D805" i="3" s="1"/>
  <c r="B804" i="3"/>
  <c r="H805" i="3" l="1"/>
  <c r="I805" i="3"/>
  <c r="F804" i="3"/>
  <c r="G804" i="3" s="1"/>
  <c r="O803" i="3"/>
  <c r="P803" i="3" s="1"/>
  <c r="L804" i="3"/>
  <c r="C805" i="3"/>
  <c r="J804" i="3"/>
  <c r="K804" i="3" s="1"/>
  <c r="M804" i="3"/>
  <c r="N804" i="3" s="1"/>
  <c r="Q802" i="3"/>
  <c r="E805" i="3"/>
  <c r="A806" i="3"/>
  <c r="D806" i="3" s="1"/>
  <c r="B805" i="3"/>
  <c r="H806" i="3" l="1"/>
  <c r="I806" i="3"/>
  <c r="F805" i="3"/>
  <c r="G805" i="3" s="1"/>
  <c r="L805" i="3"/>
  <c r="O804" i="3"/>
  <c r="P804" i="3" s="1"/>
  <c r="C806" i="3"/>
  <c r="J805" i="3"/>
  <c r="K805" i="3" s="1"/>
  <c r="M805" i="3"/>
  <c r="N805" i="3" s="1"/>
  <c r="Q803" i="3"/>
  <c r="E806" i="3"/>
  <c r="A807" i="3"/>
  <c r="D807" i="3" s="1"/>
  <c r="B806" i="3"/>
  <c r="I807" i="3" l="1"/>
  <c r="H807" i="3"/>
  <c r="F806" i="3"/>
  <c r="G806" i="3" s="1"/>
  <c r="O805" i="3"/>
  <c r="P805" i="3" s="1"/>
  <c r="L806" i="3"/>
  <c r="C807" i="3"/>
  <c r="J806" i="3"/>
  <c r="K806" i="3" s="1"/>
  <c r="M806" i="3"/>
  <c r="N806" i="3" s="1"/>
  <c r="Q804" i="3"/>
  <c r="E807" i="3"/>
  <c r="A808" i="3"/>
  <c r="D808" i="3" s="1"/>
  <c r="B807" i="3"/>
  <c r="H808" i="3" l="1"/>
  <c r="I808" i="3"/>
  <c r="F807" i="3"/>
  <c r="G807" i="3" s="1"/>
  <c r="O806" i="3"/>
  <c r="P806" i="3" s="1"/>
  <c r="L807" i="3"/>
  <c r="C808" i="3"/>
  <c r="J807" i="3"/>
  <c r="K807" i="3" s="1"/>
  <c r="M807" i="3"/>
  <c r="N807" i="3" s="1"/>
  <c r="Q805" i="3"/>
  <c r="E808" i="3"/>
  <c r="A809" i="3"/>
  <c r="D809" i="3" s="1"/>
  <c r="B808" i="3"/>
  <c r="H809" i="3" l="1"/>
  <c r="I809" i="3"/>
  <c r="F808" i="3"/>
  <c r="G808" i="3" s="1"/>
  <c r="O807" i="3"/>
  <c r="P807" i="3" s="1"/>
  <c r="L808" i="3"/>
  <c r="C809" i="3"/>
  <c r="J808" i="3"/>
  <c r="K808" i="3" s="1"/>
  <c r="M808" i="3"/>
  <c r="N808" i="3" s="1"/>
  <c r="Q806" i="3"/>
  <c r="E809" i="3"/>
  <c r="A810" i="3"/>
  <c r="D810" i="3" s="1"/>
  <c r="B809" i="3"/>
  <c r="H810" i="3" l="1"/>
  <c r="I810" i="3"/>
  <c r="F809" i="3"/>
  <c r="G809" i="3" s="1"/>
  <c r="O808" i="3"/>
  <c r="P808" i="3" s="1"/>
  <c r="L809" i="3"/>
  <c r="C810" i="3"/>
  <c r="J809" i="3"/>
  <c r="K809" i="3" s="1"/>
  <c r="M809" i="3"/>
  <c r="N809" i="3" s="1"/>
  <c r="Q807" i="3"/>
  <c r="E810" i="3"/>
  <c r="A811" i="3"/>
  <c r="D811" i="3" s="1"/>
  <c r="B810" i="3"/>
  <c r="H811" i="3" l="1"/>
  <c r="I811" i="3"/>
  <c r="F810" i="3"/>
  <c r="G810" i="3" s="1"/>
  <c r="O809" i="3"/>
  <c r="P809" i="3" s="1"/>
  <c r="L810" i="3"/>
  <c r="C811" i="3"/>
  <c r="J810" i="3"/>
  <c r="K810" i="3" s="1"/>
  <c r="M810" i="3"/>
  <c r="N810" i="3" s="1"/>
  <c r="Q808" i="3"/>
  <c r="E811" i="3"/>
  <c r="A812" i="3"/>
  <c r="D812" i="3" s="1"/>
  <c r="B811" i="3"/>
  <c r="I812" i="3" l="1"/>
  <c r="H812" i="3"/>
  <c r="F811" i="3"/>
  <c r="G811" i="3" s="1"/>
  <c r="O810" i="3"/>
  <c r="P810" i="3" s="1"/>
  <c r="L811" i="3"/>
  <c r="C812" i="3"/>
  <c r="J811" i="3"/>
  <c r="K811" i="3" s="1"/>
  <c r="M811" i="3"/>
  <c r="N811" i="3" s="1"/>
  <c r="Q809" i="3"/>
  <c r="E812" i="3"/>
  <c r="A813" i="3"/>
  <c r="D813" i="3" s="1"/>
  <c r="B812" i="3"/>
  <c r="H813" i="3" l="1"/>
  <c r="I813" i="3"/>
  <c r="F812" i="3"/>
  <c r="G812" i="3" s="1"/>
  <c r="O811" i="3"/>
  <c r="P811" i="3" s="1"/>
  <c r="L812" i="3"/>
  <c r="C813" i="3"/>
  <c r="J812" i="3"/>
  <c r="K812" i="3" s="1"/>
  <c r="M812" i="3"/>
  <c r="N812" i="3" s="1"/>
  <c r="Q810" i="3"/>
  <c r="E813" i="3"/>
  <c r="A814" i="3"/>
  <c r="D814" i="3" s="1"/>
  <c r="B813" i="3"/>
  <c r="H814" i="3" l="1"/>
  <c r="M814" i="3" s="1"/>
  <c r="N814" i="3" s="1"/>
  <c r="I814" i="3"/>
  <c r="F813" i="3"/>
  <c r="G813" i="3" s="1"/>
  <c r="O812" i="3"/>
  <c r="P812" i="3" s="1"/>
  <c r="L813" i="3"/>
  <c r="C814" i="3"/>
  <c r="J813" i="3"/>
  <c r="K813" i="3" s="1"/>
  <c r="M813" i="3"/>
  <c r="N813" i="3" s="1"/>
  <c r="Q811" i="3"/>
  <c r="E814" i="3"/>
  <c r="A815" i="3"/>
  <c r="D815" i="3" s="1"/>
  <c r="B814" i="3"/>
  <c r="H815" i="3" l="1"/>
  <c r="M815" i="3" s="1"/>
  <c r="N815" i="3" s="1"/>
  <c r="I815" i="3"/>
  <c r="F814" i="3"/>
  <c r="G814" i="3" s="1"/>
  <c r="O813" i="3"/>
  <c r="P813" i="3" s="1"/>
  <c r="L814" i="3"/>
  <c r="J814" i="3"/>
  <c r="K814" i="3" s="1"/>
  <c r="O814" i="3" s="1"/>
  <c r="C815" i="3"/>
  <c r="Q812" i="3"/>
  <c r="E815" i="3"/>
  <c r="A816" i="3"/>
  <c r="D816" i="3" s="1"/>
  <c r="B815" i="3"/>
  <c r="H816" i="3" l="1"/>
  <c r="I816" i="3"/>
  <c r="F815" i="3"/>
  <c r="G815" i="3" s="1"/>
  <c r="L815" i="3"/>
  <c r="C816" i="3"/>
  <c r="J815" i="3"/>
  <c r="K815" i="3" s="1"/>
  <c r="O815" i="3" s="1"/>
  <c r="Q813" i="3"/>
  <c r="P814" i="3"/>
  <c r="E816" i="3"/>
  <c r="A817" i="3"/>
  <c r="D817" i="3" s="1"/>
  <c r="B816" i="3"/>
  <c r="I817" i="3" l="1"/>
  <c r="H817" i="3"/>
  <c r="M817" i="3" s="1"/>
  <c r="N817" i="3" s="1"/>
  <c r="F816" i="3"/>
  <c r="G816" i="3" s="1"/>
  <c r="L816" i="3"/>
  <c r="C817" i="3"/>
  <c r="J816" i="3"/>
  <c r="K816" i="3" s="1"/>
  <c r="M816" i="3"/>
  <c r="N816" i="3" s="1"/>
  <c r="Q814" i="3"/>
  <c r="P815" i="3"/>
  <c r="E817" i="3"/>
  <c r="A818" i="3"/>
  <c r="D818" i="3" s="1"/>
  <c r="B817" i="3"/>
  <c r="H818" i="3" l="1"/>
  <c r="M818" i="3" s="1"/>
  <c r="N818" i="3" s="1"/>
  <c r="I818" i="3"/>
  <c r="F817" i="3"/>
  <c r="G817" i="3" s="1"/>
  <c r="O816" i="3"/>
  <c r="P816" i="3" s="1"/>
  <c r="L817" i="3"/>
  <c r="J817" i="3"/>
  <c r="K817" i="3" s="1"/>
  <c r="O817" i="3" s="1"/>
  <c r="C818" i="3"/>
  <c r="Q815" i="3"/>
  <c r="E818" i="3"/>
  <c r="A819" i="3"/>
  <c r="D819" i="3" s="1"/>
  <c r="B818" i="3"/>
  <c r="H819" i="3" l="1"/>
  <c r="I819" i="3"/>
  <c r="F818" i="3"/>
  <c r="G818" i="3" s="1"/>
  <c r="L818" i="3"/>
  <c r="C819" i="3"/>
  <c r="J818" i="3"/>
  <c r="K818" i="3" s="1"/>
  <c r="O818" i="3" s="1"/>
  <c r="Q816" i="3"/>
  <c r="P817" i="3"/>
  <c r="E819" i="3"/>
  <c r="A820" i="3"/>
  <c r="D820" i="3" s="1"/>
  <c r="B819" i="3"/>
  <c r="H820" i="3" l="1"/>
  <c r="I820" i="3"/>
  <c r="L819" i="3"/>
  <c r="F819" i="3"/>
  <c r="G819" i="3" s="1"/>
  <c r="C820" i="3"/>
  <c r="J819" i="3"/>
  <c r="K819" i="3" s="1"/>
  <c r="M819" i="3"/>
  <c r="N819" i="3" s="1"/>
  <c r="Q817" i="3"/>
  <c r="P818" i="3"/>
  <c r="E820" i="3"/>
  <c r="A821" i="3"/>
  <c r="D821" i="3" s="1"/>
  <c r="B820" i="3"/>
  <c r="H821" i="3" l="1"/>
  <c r="I821" i="3"/>
  <c r="F820" i="3"/>
  <c r="G820" i="3" s="1"/>
  <c r="L820" i="3"/>
  <c r="O819" i="3"/>
  <c r="P819" i="3" s="1"/>
  <c r="C821" i="3"/>
  <c r="J820" i="3"/>
  <c r="K820" i="3" s="1"/>
  <c r="M820" i="3"/>
  <c r="N820" i="3" s="1"/>
  <c r="Q818" i="3"/>
  <c r="E821" i="3"/>
  <c r="A822" i="3"/>
  <c r="D822" i="3" s="1"/>
  <c r="B821" i="3"/>
  <c r="H822" i="3" l="1"/>
  <c r="I822" i="3"/>
  <c r="F821" i="3"/>
  <c r="G821" i="3" s="1"/>
  <c r="L821" i="3"/>
  <c r="O820" i="3"/>
  <c r="P820" i="3" s="1"/>
  <c r="C822" i="3"/>
  <c r="J821" i="3"/>
  <c r="K821" i="3" s="1"/>
  <c r="M821" i="3"/>
  <c r="N821" i="3" s="1"/>
  <c r="Q819" i="3"/>
  <c r="E822" i="3"/>
  <c r="A823" i="3"/>
  <c r="D823" i="3" s="1"/>
  <c r="B822" i="3"/>
  <c r="H823" i="3" l="1"/>
  <c r="I823" i="3"/>
  <c r="O821" i="3"/>
  <c r="P821" i="3" s="1"/>
  <c r="F822" i="3"/>
  <c r="G822" i="3" s="1"/>
  <c r="L822" i="3"/>
  <c r="C823" i="3"/>
  <c r="J822" i="3"/>
  <c r="K822" i="3" s="1"/>
  <c r="M822" i="3"/>
  <c r="N822" i="3" s="1"/>
  <c r="Q820" i="3"/>
  <c r="E823" i="3"/>
  <c r="A824" i="3"/>
  <c r="D824" i="3" s="1"/>
  <c r="B823" i="3"/>
  <c r="H824" i="3" l="1"/>
  <c r="I824" i="3"/>
  <c r="F823" i="3"/>
  <c r="G823" i="3" s="1"/>
  <c r="O822" i="3"/>
  <c r="P822" i="3" s="1"/>
  <c r="L823" i="3"/>
  <c r="C824" i="3"/>
  <c r="J823" i="3"/>
  <c r="K823" i="3" s="1"/>
  <c r="M823" i="3"/>
  <c r="N823" i="3" s="1"/>
  <c r="Q821" i="3"/>
  <c r="E824" i="3"/>
  <c r="A825" i="3"/>
  <c r="D825" i="3" s="1"/>
  <c r="B824" i="3"/>
  <c r="H825" i="3" l="1"/>
  <c r="I825" i="3"/>
  <c r="F824" i="3"/>
  <c r="G824" i="3" s="1"/>
  <c r="O823" i="3"/>
  <c r="P823" i="3" s="1"/>
  <c r="L824" i="3"/>
  <c r="C825" i="3"/>
  <c r="J824" i="3"/>
  <c r="K824" i="3" s="1"/>
  <c r="M824" i="3"/>
  <c r="N824" i="3" s="1"/>
  <c r="Q822" i="3"/>
  <c r="E825" i="3"/>
  <c r="A826" i="3"/>
  <c r="D826" i="3" s="1"/>
  <c r="B825" i="3"/>
  <c r="H826" i="3" l="1"/>
  <c r="I826" i="3"/>
  <c r="F825" i="3"/>
  <c r="G825" i="3" s="1"/>
  <c r="O824" i="3"/>
  <c r="P824" i="3" s="1"/>
  <c r="L825" i="3"/>
  <c r="C826" i="3"/>
  <c r="J825" i="3"/>
  <c r="K825" i="3" s="1"/>
  <c r="M825" i="3"/>
  <c r="N825" i="3" s="1"/>
  <c r="Q823" i="3"/>
  <c r="E826" i="3"/>
  <c r="A827" i="3"/>
  <c r="D827" i="3" s="1"/>
  <c r="B826" i="3"/>
  <c r="H827" i="3" l="1"/>
  <c r="I827" i="3"/>
  <c r="O825" i="3"/>
  <c r="P825" i="3" s="1"/>
  <c r="F826" i="3"/>
  <c r="G826" i="3" s="1"/>
  <c r="L826" i="3"/>
  <c r="C827" i="3"/>
  <c r="J826" i="3"/>
  <c r="K826" i="3" s="1"/>
  <c r="M826" i="3"/>
  <c r="N826" i="3" s="1"/>
  <c r="Q824" i="3"/>
  <c r="E827" i="3"/>
  <c r="A828" i="3"/>
  <c r="D828" i="3" s="1"/>
  <c r="B827" i="3"/>
  <c r="H828" i="3" l="1"/>
  <c r="I828" i="3"/>
  <c r="F827" i="3"/>
  <c r="G827" i="3" s="1"/>
  <c r="O826" i="3"/>
  <c r="P826" i="3" s="1"/>
  <c r="L827" i="3"/>
  <c r="C828" i="3"/>
  <c r="J827" i="3"/>
  <c r="K827" i="3" s="1"/>
  <c r="M827" i="3"/>
  <c r="N827" i="3" s="1"/>
  <c r="Q825" i="3"/>
  <c r="E828" i="3"/>
  <c r="A829" i="3"/>
  <c r="D829" i="3" s="1"/>
  <c r="B828" i="3"/>
  <c r="H829" i="3" l="1"/>
  <c r="I829" i="3"/>
  <c r="F828" i="3"/>
  <c r="G828" i="3" s="1"/>
  <c r="O827" i="3"/>
  <c r="P827" i="3" s="1"/>
  <c r="L828" i="3"/>
  <c r="C829" i="3"/>
  <c r="J828" i="3"/>
  <c r="K828" i="3" s="1"/>
  <c r="M828" i="3"/>
  <c r="N828" i="3" s="1"/>
  <c r="Q826" i="3"/>
  <c r="E829" i="3"/>
  <c r="A830" i="3"/>
  <c r="D830" i="3" s="1"/>
  <c r="B829" i="3"/>
  <c r="H830" i="3" l="1"/>
  <c r="I830" i="3"/>
  <c r="F829" i="3"/>
  <c r="G829" i="3" s="1"/>
  <c r="L829" i="3"/>
  <c r="O828" i="3"/>
  <c r="P828" i="3" s="1"/>
  <c r="C830" i="3"/>
  <c r="J829" i="3"/>
  <c r="K829" i="3" s="1"/>
  <c r="M829" i="3"/>
  <c r="N829" i="3" s="1"/>
  <c r="Q827" i="3"/>
  <c r="E830" i="3"/>
  <c r="A831" i="3"/>
  <c r="D831" i="3" s="1"/>
  <c r="B830" i="3"/>
  <c r="H831" i="3" l="1"/>
  <c r="I831" i="3"/>
  <c r="F830" i="3"/>
  <c r="G830" i="3" s="1"/>
  <c r="O829" i="3"/>
  <c r="P829" i="3" s="1"/>
  <c r="L830" i="3"/>
  <c r="C831" i="3"/>
  <c r="J830" i="3"/>
  <c r="K830" i="3" s="1"/>
  <c r="M830" i="3"/>
  <c r="N830" i="3" s="1"/>
  <c r="Q828" i="3"/>
  <c r="E831" i="3"/>
  <c r="A832" i="3"/>
  <c r="D832" i="3" s="1"/>
  <c r="B831" i="3"/>
  <c r="H832" i="3" l="1"/>
  <c r="I832" i="3"/>
  <c r="F831" i="3"/>
  <c r="G831" i="3" s="1"/>
  <c r="O830" i="3"/>
  <c r="P830" i="3" s="1"/>
  <c r="L831" i="3"/>
  <c r="C832" i="3"/>
  <c r="J831" i="3"/>
  <c r="K831" i="3" s="1"/>
  <c r="M831" i="3"/>
  <c r="N831" i="3" s="1"/>
  <c r="Q829" i="3"/>
  <c r="E832" i="3"/>
  <c r="A833" i="3"/>
  <c r="D833" i="3" s="1"/>
  <c r="B832" i="3"/>
  <c r="H833" i="3" l="1"/>
  <c r="I833" i="3"/>
  <c r="F832" i="3"/>
  <c r="G832" i="3" s="1"/>
  <c r="L832" i="3"/>
  <c r="O831" i="3"/>
  <c r="P831" i="3" s="1"/>
  <c r="C833" i="3"/>
  <c r="J832" i="3"/>
  <c r="K832" i="3" s="1"/>
  <c r="M832" i="3"/>
  <c r="N832" i="3" s="1"/>
  <c r="Q830" i="3"/>
  <c r="E833" i="3"/>
  <c r="A834" i="3"/>
  <c r="D834" i="3" s="1"/>
  <c r="B833" i="3"/>
  <c r="H834" i="3" l="1"/>
  <c r="I834" i="3"/>
  <c r="F833" i="3"/>
  <c r="G833" i="3" s="1"/>
  <c r="O832" i="3"/>
  <c r="P832" i="3" s="1"/>
  <c r="L833" i="3"/>
  <c r="C834" i="3"/>
  <c r="J833" i="3"/>
  <c r="K833" i="3" s="1"/>
  <c r="M833" i="3"/>
  <c r="N833" i="3" s="1"/>
  <c r="Q831" i="3"/>
  <c r="E834" i="3"/>
  <c r="A835" i="3"/>
  <c r="D835" i="3" s="1"/>
  <c r="B834" i="3"/>
  <c r="H835" i="3" l="1"/>
  <c r="I835" i="3"/>
  <c r="F834" i="3"/>
  <c r="G834" i="3" s="1"/>
  <c r="O833" i="3"/>
  <c r="P833" i="3" s="1"/>
  <c r="L834" i="3"/>
  <c r="C835" i="3"/>
  <c r="J834" i="3"/>
  <c r="K834" i="3" s="1"/>
  <c r="M834" i="3"/>
  <c r="N834" i="3" s="1"/>
  <c r="Q832" i="3"/>
  <c r="E835" i="3"/>
  <c r="A836" i="3"/>
  <c r="D836" i="3" s="1"/>
  <c r="B835" i="3"/>
  <c r="H836" i="3" l="1"/>
  <c r="I836" i="3"/>
  <c r="F835" i="3"/>
  <c r="G835" i="3" s="1"/>
  <c r="L835" i="3"/>
  <c r="O834" i="3"/>
  <c r="P834" i="3" s="1"/>
  <c r="C836" i="3"/>
  <c r="J835" i="3"/>
  <c r="K835" i="3" s="1"/>
  <c r="M835" i="3"/>
  <c r="N835" i="3" s="1"/>
  <c r="Q833" i="3"/>
  <c r="E836" i="3"/>
  <c r="A837" i="3"/>
  <c r="D837" i="3" s="1"/>
  <c r="B836" i="3"/>
  <c r="H837" i="3" l="1"/>
  <c r="I837" i="3"/>
  <c r="F836" i="3"/>
  <c r="G836" i="3" s="1"/>
  <c r="L836" i="3"/>
  <c r="O835" i="3"/>
  <c r="P835" i="3" s="1"/>
  <c r="C837" i="3"/>
  <c r="J836" i="3"/>
  <c r="K836" i="3" s="1"/>
  <c r="M836" i="3"/>
  <c r="N836" i="3" s="1"/>
  <c r="Q834" i="3"/>
  <c r="E837" i="3"/>
  <c r="A838" i="3"/>
  <c r="D838" i="3" s="1"/>
  <c r="B837" i="3"/>
  <c r="H838" i="3" l="1"/>
  <c r="I838" i="3"/>
  <c r="F837" i="3"/>
  <c r="G837" i="3" s="1"/>
  <c r="O836" i="3"/>
  <c r="P836" i="3" s="1"/>
  <c r="L837" i="3"/>
  <c r="C838" i="3"/>
  <c r="J837" i="3"/>
  <c r="K837" i="3" s="1"/>
  <c r="M837" i="3"/>
  <c r="N837" i="3" s="1"/>
  <c r="Q835" i="3"/>
  <c r="E838" i="3"/>
  <c r="A839" i="3"/>
  <c r="D839" i="3" s="1"/>
  <c r="B838" i="3"/>
  <c r="H839" i="3" l="1"/>
  <c r="I839" i="3"/>
  <c r="F838" i="3"/>
  <c r="G838" i="3" s="1"/>
  <c r="L838" i="3"/>
  <c r="O837" i="3"/>
  <c r="P837" i="3" s="1"/>
  <c r="C839" i="3"/>
  <c r="J838" i="3"/>
  <c r="K838" i="3" s="1"/>
  <c r="M838" i="3"/>
  <c r="N838" i="3" s="1"/>
  <c r="Q836" i="3"/>
  <c r="E839" i="3"/>
  <c r="A840" i="3"/>
  <c r="D840" i="3" s="1"/>
  <c r="B839" i="3"/>
  <c r="H840" i="3" l="1"/>
  <c r="I840" i="3"/>
  <c r="F839" i="3"/>
  <c r="G839" i="3" s="1"/>
  <c r="O838" i="3"/>
  <c r="P838" i="3" s="1"/>
  <c r="L839" i="3"/>
  <c r="C840" i="3"/>
  <c r="J839" i="3"/>
  <c r="K839" i="3" s="1"/>
  <c r="M839" i="3"/>
  <c r="N839" i="3" s="1"/>
  <c r="Q837" i="3"/>
  <c r="E840" i="3"/>
  <c r="A841" i="3"/>
  <c r="D841" i="3" s="1"/>
  <c r="B840" i="3"/>
  <c r="H841" i="3" l="1"/>
  <c r="I841" i="3"/>
  <c r="F840" i="3"/>
  <c r="G840" i="3" s="1"/>
  <c r="O839" i="3"/>
  <c r="P839" i="3" s="1"/>
  <c r="C841" i="3"/>
  <c r="J840" i="3"/>
  <c r="K840" i="3" s="1"/>
  <c r="M840" i="3"/>
  <c r="N840" i="3" s="1"/>
  <c r="L840" i="3"/>
  <c r="Q838" i="3"/>
  <c r="E841" i="3"/>
  <c r="A842" i="3"/>
  <c r="D842" i="3" s="1"/>
  <c r="B841" i="3"/>
  <c r="H842" i="3" l="1"/>
  <c r="I842" i="3"/>
  <c r="F841" i="3"/>
  <c r="G841" i="3" s="1"/>
  <c r="O840" i="3"/>
  <c r="P840" i="3" s="1"/>
  <c r="J841" i="3"/>
  <c r="K841" i="3" s="1"/>
  <c r="M841" i="3"/>
  <c r="N841" i="3" s="1"/>
  <c r="L841" i="3"/>
  <c r="C842" i="3"/>
  <c r="Q839" i="3"/>
  <c r="E842" i="3"/>
  <c r="A843" i="3"/>
  <c r="D843" i="3" s="1"/>
  <c r="B842" i="3"/>
  <c r="H843" i="3" l="1"/>
  <c r="I843" i="3"/>
  <c r="L842" i="3"/>
  <c r="F842" i="3"/>
  <c r="G842" i="3" s="1"/>
  <c r="O841" i="3"/>
  <c r="P841" i="3" s="1"/>
  <c r="C843" i="3"/>
  <c r="J842" i="3"/>
  <c r="K842" i="3" s="1"/>
  <c r="M842" i="3"/>
  <c r="N842" i="3" s="1"/>
  <c r="Q840" i="3"/>
  <c r="E843" i="3"/>
  <c r="A844" i="3"/>
  <c r="D844" i="3" s="1"/>
  <c r="B843" i="3"/>
  <c r="H844" i="3" l="1"/>
  <c r="I844" i="3"/>
  <c r="F843" i="3"/>
  <c r="G843" i="3" s="1"/>
  <c r="O842" i="3"/>
  <c r="P842" i="3" s="1"/>
  <c r="L843" i="3"/>
  <c r="C844" i="3"/>
  <c r="J843" i="3"/>
  <c r="K843" i="3" s="1"/>
  <c r="M843" i="3"/>
  <c r="N843" i="3" s="1"/>
  <c r="Q841" i="3"/>
  <c r="E844" i="3"/>
  <c r="A845" i="3"/>
  <c r="D845" i="3" s="1"/>
  <c r="B844" i="3"/>
  <c r="H845" i="3" l="1"/>
  <c r="I845" i="3"/>
  <c r="F844" i="3"/>
  <c r="G844" i="3" s="1"/>
  <c r="L844" i="3"/>
  <c r="O843" i="3"/>
  <c r="P843" i="3" s="1"/>
  <c r="C845" i="3"/>
  <c r="J844" i="3"/>
  <c r="K844" i="3" s="1"/>
  <c r="M844" i="3"/>
  <c r="N844" i="3" s="1"/>
  <c r="Q842" i="3"/>
  <c r="E845" i="3"/>
  <c r="A846" i="3"/>
  <c r="D846" i="3" s="1"/>
  <c r="B845" i="3"/>
  <c r="H846" i="3" l="1"/>
  <c r="I846" i="3"/>
  <c r="F845" i="3"/>
  <c r="G845" i="3" s="1"/>
  <c r="O844" i="3"/>
  <c r="P844" i="3" s="1"/>
  <c r="L845" i="3"/>
  <c r="C846" i="3"/>
  <c r="J845" i="3"/>
  <c r="K845" i="3" s="1"/>
  <c r="M845" i="3"/>
  <c r="N845" i="3" s="1"/>
  <c r="Q843" i="3"/>
  <c r="E846" i="3"/>
  <c r="A847" i="3"/>
  <c r="D847" i="3" s="1"/>
  <c r="B846" i="3"/>
  <c r="H847" i="3" l="1"/>
  <c r="I847" i="3"/>
  <c r="F846" i="3"/>
  <c r="G846" i="3" s="1"/>
  <c r="L846" i="3"/>
  <c r="O845" i="3"/>
  <c r="P845" i="3" s="1"/>
  <c r="C847" i="3"/>
  <c r="J846" i="3"/>
  <c r="K846" i="3" s="1"/>
  <c r="M846" i="3"/>
  <c r="N846" i="3" s="1"/>
  <c r="Q844" i="3"/>
  <c r="E847" i="3"/>
  <c r="A848" i="3"/>
  <c r="D848" i="3" s="1"/>
  <c r="B847" i="3"/>
  <c r="H848" i="3" l="1"/>
  <c r="I848" i="3"/>
  <c r="F847" i="3"/>
  <c r="G847" i="3" s="1"/>
  <c r="O846" i="3"/>
  <c r="P846" i="3" s="1"/>
  <c r="L847" i="3"/>
  <c r="C848" i="3"/>
  <c r="J847" i="3"/>
  <c r="K847" i="3" s="1"/>
  <c r="M847" i="3"/>
  <c r="N847" i="3" s="1"/>
  <c r="Q845" i="3"/>
  <c r="E848" i="3"/>
  <c r="A849" i="3"/>
  <c r="D849" i="3" s="1"/>
  <c r="B848" i="3"/>
  <c r="I849" i="3" l="1"/>
  <c r="H849" i="3"/>
  <c r="F848" i="3"/>
  <c r="G848" i="3" s="1"/>
  <c r="O847" i="3"/>
  <c r="P847" i="3" s="1"/>
  <c r="L848" i="3"/>
  <c r="J848" i="3"/>
  <c r="K848" i="3" s="1"/>
  <c r="M848" i="3"/>
  <c r="N848" i="3" s="1"/>
  <c r="C849" i="3"/>
  <c r="Q846" i="3"/>
  <c r="E849" i="3"/>
  <c r="A850" i="3"/>
  <c r="D850" i="3" s="1"/>
  <c r="B849" i="3"/>
  <c r="H850" i="3" l="1"/>
  <c r="I850" i="3"/>
  <c r="F849" i="3"/>
  <c r="G849" i="3" s="1"/>
  <c r="O848" i="3"/>
  <c r="P848" i="3" s="1"/>
  <c r="L849" i="3"/>
  <c r="C850" i="3"/>
  <c r="J849" i="3"/>
  <c r="K849" i="3" s="1"/>
  <c r="M849" i="3"/>
  <c r="N849" i="3" s="1"/>
  <c r="Q847" i="3"/>
  <c r="E850" i="3"/>
  <c r="A851" i="3"/>
  <c r="D851" i="3" s="1"/>
  <c r="B850" i="3"/>
  <c r="H851" i="3" l="1"/>
  <c r="I851" i="3"/>
  <c r="F850" i="3"/>
  <c r="G850" i="3" s="1"/>
  <c r="O849" i="3"/>
  <c r="P849" i="3" s="1"/>
  <c r="L850" i="3"/>
  <c r="C851" i="3"/>
  <c r="J850" i="3"/>
  <c r="K850" i="3" s="1"/>
  <c r="M850" i="3"/>
  <c r="N850" i="3" s="1"/>
  <c r="Q848" i="3"/>
  <c r="E851" i="3"/>
  <c r="A852" i="3"/>
  <c r="D852" i="3" s="1"/>
  <c r="B851" i="3"/>
  <c r="H852" i="3" l="1"/>
  <c r="I852" i="3"/>
  <c r="F851" i="3"/>
  <c r="G851" i="3" s="1"/>
  <c r="O850" i="3"/>
  <c r="P850" i="3" s="1"/>
  <c r="L851" i="3"/>
  <c r="C852" i="3"/>
  <c r="J851" i="3"/>
  <c r="K851" i="3" s="1"/>
  <c r="M851" i="3"/>
  <c r="N851" i="3" s="1"/>
  <c r="Q849" i="3"/>
  <c r="E852" i="3"/>
  <c r="A853" i="3"/>
  <c r="D853" i="3" s="1"/>
  <c r="B852" i="3"/>
  <c r="H853" i="3" l="1"/>
  <c r="I853" i="3"/>
  <c r="F852" i="3"/>
  <c r="G852" i="3" s="1"/>
  <c r="L852" i="3"/>
  <c r="O851" i="3"/>
  <c r="P851" i="3" s="1"/>
  <c r="J852" i="3"/>
  <c r="K852" i="3" s="1"/>
  <c r="M852" i="3"/>
  <c r="N852" i="3" s="1"/>
  <c r="C853" i="3"/>
  <c r="Q850" i="3"/>
  <c r="E853" i="3"/>
  <c r="A854" i="3"/>
  <c r="D854" i="3" s="1"/>
  <c r="B853" i="3"/>
  <c r="H854" i="3" l="1"/>
  <c r="I854" i="3"/>
  <c r="L853" i="3"/>
  <c r="F853" i="3"/>
  <c r="G853" i="3" s="1"/>
  <c r="O852" i="3"/>
  <c r="P852" i="3" s="1"/>
  <c r="J853" i="3"/>
  <c r="K853" i="3" s="1"/>
  <c r="M853" i="3"/>
  <c r="N853" i="3" s="1"/>
  <c r="C854" i="3"/>
  <c r="Q851" i="3"/>
  <c r="E854" i="3"/>
  <c r="A855" i="3"/>
  <c r="D855" i="3" s="1"/>
  <c r="B854" i="3"/>
  <c r="H855" i="3" l="1"/>
  <c r="I855" i="3"/>
  <c r="L854" i="3"/>
  <c r="F854" i="3"/>
  <c r="G854" i="3" s="1"/>
  <c r="O853" i="3"/>
  <c r="P853" i="3" s="1"/>
  <c r="J854" i="3"/>
  <c r="K854" i="3" s="1"/>
  <c r="M854" i="3"/>
  <c r="N854" i="3" s="1"/>
  <c r="C855" i="3"/>
  <c r="Q852" i="3"/>
  <c r="E855" i="3"/>
  <c r="A856" i="3"/>
  <c r="D856" i="3" s="1"/>
  <c r="B855" i="3"/>
  <c r="H856" i="3" l="1"/>
  <c r="M856" i="3" s="1"/>
  <c r="N856" i="3" s="1"/>
  <c r="I856" i="3"/>
  <c r="O854" i="3"/>
  <c r="P854" i="3" s="1"/>
  <c r="F855" i="3"/>
  <c r="G855" i="3" s="1"/>
  <c r="L855" i="3"/>
  <c r="C856" i="3"/>
  <c r="J855" i="3"/>
  <c r="K855" i="3" s="1"/>
  <c r="M855" i="3"/>
  <c r="N855" i="3" s="1"/>
  <c r="Q853" i="3"/>
  <c r="E856" i="3"/>
  <c r="A857" i="3"/>
  <c r="D857" i="3" s="1"/>
  <c r="B856" i="3"/>
  <c r="H857" i="3" l="1"/>
  <c r="I857" i="3"/>
  <c r="F856" i="3"/>
  <c r="G856" i="3" s="1"/>
  <c r="O855" i="3"/>
  <c r="P855" i="3" s="1"/>
  <c r="J856" i="3"/>
  <c r="K856" i="3" s="1"/>
  <c r="O856" i="3" s="1"/>
  <c r="C857" i="3"/>
  <c r="L856" i="3"/>
  <c r="Q854" i="3"/>
  <c r="E857" i="3"/>
  <c r="A858" i="3"/>
  <c r="D858" i="3" s="1"/>
  <c r="B857" i="3"/>
  <c r="H858" i="3" l="1"/>
  <c r="I858" i="3"/>
  <c r="L857" i="3"/>
  <c r="F857" i="3"/>
  <c r="G857" i="3" s="1"/>
  <c r="J857" i="3"/>
  <c r="K857" i="3" s="1"/>
  <c r="M857" i="3"/>
  <c r="N857" i="3" s="1"/>
  <c r="C858" i="3"/>
  <c r="Q855" i="3"/>
  <c r="P856" i="3"/>
  <c r="E858" i="3"/>
  <c r="A859" i="3"/>
  <c r="D859" i="3" s="1"/>
  <c r="B858" i="3"/>
  <c r="H859" i="3" l="1"/>
  <c r="I859" i="3"/>
  <c r="F858" i="3"/>
  <c r="G858" i="3" s="1"/>
  <c r="L858" i="3"/>
  <c r="O857" i="3"/>
  <c r="P857" i="3" s="1"/>
  <c r="J858" i="3"/>
  <c r="K858" i="3" s="1"/>
  <c r="M858" i="3"/>
  <c r="N858" i="3" s="1"/>
  <c r="C859" i="3"/>
  <c r="Q856" i="3"/>
  <c r="E859" i="3"/>
  <c r="A860" i="3"/>
  <c r="D860" i="3" s="1"/>
  <c r="B859" i="3"/>
  <c r="H860" i="3" l="1"/>
  <c r="I860" i="3"/>
  <c r="F859" i="3"/>
  <c r="G859" i="3" s="1"/>
  <c r="L859" i="3"/>
  <c r="O858" i="3"/>
  <c r="P858" i="3" s="1"/>
  <c r="J859" i="3"/>
  <c r="K859" i="3" s="1"/>
  <c r="M859" i="3"/>
  <c r="N859" i="3" s="1"/>
  <c r="C860" i="3"/>
  <c r="Q857" i="3"/>
  <c r="E860" i="3"/>
  <c r="A861" i="3"/>
  <c r="D861" i="3" s="1"/>
  <c r="B860" i="3"/>
  <c r="H861" i="3" l="1"/>
  <c r="I861" i="3"/>
  <c r="F860" i="3"/>
  <c r="G860" i="3" s="1"/>
  <c r="L860" i="3"/>
  <c r="O859" i="3"/>
  <c r="P859" i="3" s="1"/>
  <c r="J860" i="3"/>
  <c r="K860" i="3" s="1"/>
  <c r="M860" i="3"/>
  <c r="N860" i="3" s="1"/>
  <c r="C861" i="3"/>
  <c r="Q858" i="3"/>
  <c r="E861" i="3"/>
  <c r="A862" i="3"/>
  <c r="D862" i="3" s="1"/>
  <c r="B861" i="3"/>
  <c r="H862" i="3" l="1"/>
  <c r="I862" i="3"/>
  <c r="F861" i="3"/>
  <c r="G861" i="3" s="1"/>
  <c r="L861" i="3"/>
  <c r="O860" i="3"/>
  <c r="P860" i="3" s="1"/>
  <c r="J861" i="3"/>
  <c r="K861" i="3" s="1"/>
  <c r="M861" i="3"/>
  <c r="N861" i="3" s="1"/>
  <c r="C862" i="3"/>
  <c r="Q859" i="3"/>
  <c r="E862" i="3"/>
  <c r="A863" i="3"/>
  <c r="D863" i="3" s="1"/>
  <c r="B862" i="3"/>
  <c r="H863" i="3" l="1"/>
  <c r="I863" i="3"/>
  <c r="F862" i="3"/>
  <c r="G862" i="3" s="1"/>
  <c r="L862" i="3"/>
  <c r="O861" i="3"/>
  <c r="P861" i="3" s="1"/>
  <c r="J862" i="3"/>
  <c r="K862" i="3" s="1"/>
  <c r="M862" i="3"/>
  <c r="N862" i="3" s="1"/>
  <c r="C863" i="3"/>
  <c r="Q860" i="3"/>
  <c r="E863" i="3"/>
  <c r="A864" i="3"/>
  <c r="D864" i="3" s="1"/>
  <c r="B863" i="3"/>
  <c r="H864" i="3" l="1"/>
  <c r="I864" i="3"/>
  <c r="F863" i="3"/>
  <c r="G863" i="3" s="1"/>
  <c r="L863" i="3"/>
  <c r="O862" i="3"/>
  <c r="P862" i="3" s="1"/>
  <c r="J863" i="3"/>
  <c r="K863" i="3" s="1"/>
  <c r="M863" i="3"/>
  <c r="N863" i="3" s="1"/>
  <c r="C864" i="3"/>
  <c r="Q861" i="3"/>
  <c r="E864" i="3"/>
  <c r="A865" i="3"/>
  <c r="D865" i="3" s="1"/>
  <c r="B864" i="3"/>
  <c r="I865" i="3" l="1"/>
  <c r="H865" i="3"/>
  <c r="F864" i="3"/>
  <c r="G864" i="3" s="1"/>
  <c r="L864" i="3"/>
  <c r="O863" i="3"/>
  <c r="P863" i="3" s="1"/>
  <c r="C865" i="3"/>
  <c r="J864" i="3"/>
  <c r="K864" i="3" s="1"/>
  <c r="M864" i="3"/>
  <c r="N864" i="3" s="1"/>
  <c r="Q862" i="3"/>
  <c r="E865" i="3"/>
  <c r="A866" i="3"/>
  <c r="D866" i="3" s="1"/>
  <c r="B865" i="3"/>
  <c r="H866" i="3" l="1"/>
  <c r="I866" i="3"/>
  <c r="F865" i="3"/>
  <c r="G865" i="3" s="1"/>
  <c r="O864" i="3"/>
  <c r="P864" i="3" s="1"/>
  <c r="L865" i="3"/>
  <c r="J865" i="3"/>
  <c r="K865" i="3" s="1"/>
  <c r="M865" i="3"/>
  <c r="N865" i="3" s="1"/>
  <c r="C866" i="3"/>
  <c r="Q863" i="3"/>
  <c r="E866" i="3"/>
  <c r="A867" i="3"/>
  <c r="D867" i="3" s="1"/>
  <c r="B866" i="3"/>
  <c r="H867" i="3" l="1"/>
  <c r="I867" i="3"/>
  <c r="F866" i="3"/>
  <c r="G866" i="3" s="1"/>
  <c r="O865" i="3"/>
  <c r="P865" i="3" s="1"/>
  <c r="L866" i="3"/>
  <c r="J866" i="3"/>
  <c r="K866" i="3" s="1"/>
  <c r="M866" i="3"/>
  <c r="N866" i="3" s="1"/>
  <c r="C867" i="3"/>
  <c r="Q864" i="3"/>
  <c r="E867" i="3"/>
  <c r="A868" i="3"/>
  <c r="D868" i="3" s="1"/>
  <c r="B867" i="3"/>
  <c r="H868" i="3" l="1"/>
  <c r="I868" i="3"/>
  <c r="F867" i="3"/>
  <c r="G867" i="3" s="1"/>
  <c r="L867" i="3"/>
  <c r="O866" i="3"/>
  <c r="P866" i="3" s="1"/>
  <c r="C868" i="3"/>
  <c r="J867" i="3"/>
  <c r="K867" i="3" s="1"/>
  <c r="M867" i="3"/>
  <c r="N867" i="3" s="1"/>
  <c r="Q865" i="3"/>
  <c r="E868" i="3"/>
  <c r="A869" i="3"/>
  <c r="D869" i="3" s="1"/>
  <c r="B868" i="3"/>
  <c r="H869" i="3" l="1"/>
  <c r="I869" i="3"/>
  <c r="F868" i="3"/>
  <c r="G868" i="3" s="1"/>
  <c r="O867" i="3"/>
  <c r="P867" i="3" s="1"/>
  <c r="L868" i="3"/>
  <c r="J868" i="3"/>
  <c r="K868" i="3" s="1"/>
  <c r="M868" i="3"/>
  <c r="N868" i="3" s="1"/>
  <c r="C869" i="3"/>
  <c r="Q866" i="3"/>
  <c r="E869" i="3"/>
  <c r="A870" i="3"/>
  <c r="D870" i="3" s="1"/>
  <c r="B869" i="3"/>
  <c r="H870" i="3" l="1"/>
  <c r="I870" i="3"/>
  <c r="L869" i="3"/>
  <c r="F869" i="3"/>
  <c r="G869" i="3" s="1"/>
  <c r="O868" i="3"/>
  <c r="P868" i="3" s="1"/>
  <c r="J869" i="3"/>
  <c r="K869" i="3" s="1"/>
  <c r="M869" i="3"/>
  <c r="N869" i="3" s="1"/>
  <c r="C870" i="3"/>
  <c r="Q867" i="3"/>
  <c r="E870" i="3"/>
  <c r="A871" i="3"/>
  <c r="D871" i="3" s="1"/>
  <c r="B870" i="3"/>
  <c r="H871" i="3" l="1"/>
  <c r="I871" i="3"/>
  <c r="L870" i="3"/>
  <c r="F870" i="3"/>
  <c r="G870" i="3" s="1"/>
  <c r="O869" i="3"/>
  <c r="P869" i="3" s="1"/>
  <c r="J870" i="3"/>
  <c r="K870" i="3" s="1"/>
  <c r="M870" i="3"/>
  <c r="N870" i="3" s="1"/>
  <c r="C871" i="3"/>
  <c r="Q868" i="3"/>
  <c r="E871" i="3"/>
  <c r="A872" i="3"/>
  <c r="D872" i="3" s="1"/>
  <c r="B871" i="3"/>
  <c r="H872" i="3" l="1"/>
  <c r="I872" i="3"/>
  <c r="L871" i="3"/>
  <c r="F871" i="3"/>
  <c r="G871" i="3" s="1"/>
  <c r="O870" i="3"/>
  <c r="P870" i="3" s="1"/>
  <c r="C872" i="3"/>
  <c r="J871" i="3"/>
  <c r="K871" i="3" s="1"/>
  <c r="M871" i="3"/>
  <c r="N871" i="3" s="1"/>
  <c r="Q869" i="3"/>
  <c r="E872" i="3"/>
  <c r="A873" i="3"/>
  <c r="D873" i="3" s="1"/>
  <c r="B872" i="3"/>
  <c r="H873" i="3" l="1"/>
  <c r="I873" i="3"/>
  <c r="F872" i="3"/>
  <c r="G872" i="3" s="1"/>
  <c r="O871" i="3"/>
  <c r="P871" i="3" s="1"/>
  <c r="J872" i="3"/>
  <c r="K872" i="3" s="1"/>
  <c r="M872" i="3"/>
  <c r="N872" i="3" s="1"/>
  <c r="L872" i="3"/>
  <c r="C873" i="3"/>
  <c r="Q870" i="3"/>
  <c r="E873" i="3"/>
  <c r="A874" i="3"/>
  <c r="D874" i="3" s="1"/>
  <c r="B873" i="3"/>
  <c r="H874" i="3" l="1"/>
  <c r="I874" i="3"/>
  <c r="O872" i="3"/>
  <c r="P872" i="3" s="1"/>
  <c r="F873" i="3"/>
  <c r="G873" i="3" s="1"/>
  <c r="L873" i="3"/>
  <c r="J873" i="3"/>
  <c r="K873" i="3" s="1"/>
  <c r="M873" i="3"/>
  <c r="N873" i="3" s="1"/>
  <c r="C874" i="3"/>
  <c r="Q871" i="3"/>
  <c r="E874" i="3"/>
  <c r="A875" i="3"/>
  <c r="D875" i="3" s="1"/>
  <c r="B874" i="3"/>
  <c r="H875" i="3" l="1"/>
  <c r="I875" i="3"/>
  <c r="F874" i="3"/>
  <c r="G874" i="3" s="1"/>
  <c r="O873" i="3"/>
  <c r="P873" i="3" s="1"/>
  <c r="L874" i="3"/>
  <c r="J874" i="3"/>
  <c r="K874" i="3" s="1"/>
  <c r="M874" i="3"/>
  <c r="N874" i="3" s="1"/>
  <c r="C875" i="3"/>
  <c r="Q872" i="3"/>
  <c r="E875" i="3"/>
  <c r="A876" i="3"/>
  <c r="D876" i="3" s="1"/>
  <c r="B875" i="3"/>
  <c r="I876" i="3" l="1"/>
  <c r="H876" i="3"/>
  <c r="F875" i="3"/>
  <c r="G875" i="3" s="1"/>
  <c r="O874" i="3"/>
  <c r="P874" i="3" s="1"/>
  <c r="L875" i="3"/>
  <c r="C876" i="3"/>
  <c r="J875" i="3"/>
  <c r="K875" i="3" s="1"/>
  <c r="M875" i="3"/>
  <c r="N875" i="3" s="1"/>
  <c r="Q873" i="3"/>
  <c r="E876" i="3"/>
  <c r="A877" i="3"/>
  <c r="D877" i="3" s="1"/>
  <c r="B876" i="3"/>
  <c r="H877" i="3" l="1"/>
  <c r="I877" i="3"/>
  <c r="F876" i="3"/>
  <c r="G876" i="3" s="1"/>
  <c r="L876" i="3"/>
  <c r="O875" i="3"/>
  <c r="P875" i="3" s="1"/>
  <c r="J876" i="3"/>
  <c r="K876" i="3" s="1"/>
  <c r="M876" i="3"/>
  <c r="N876" i="3" s="1"/>
  <c r="C877" i="3"/>
  <c r="Q874" i="3"/>
  <c r="E877" i="3"/>
  <c r="A878" i="3"/>
  <c r="D878" i="3" s="1"/>
  <c r="B877" i="3"/>
  <c r="H878" i="3" l="1"/>
  <c r="I878" i="3"/>
  <c r="F877" i="3"/>
  <c r="G877" i="3" s="1"/>
  <c r="O876" i="3"/>
  <c r="P876" i="3" s="1"/>
  <c r="L877" i="3"/>
  <c r="J877" i="3"/>
  <c r="K877" i="3" s="1"/>
  <c r="M877" i="3"/>
  <c r="N877" i="3" s="1"/>
  <c r="C878" i="3"/>
  <c r="Q875" i="3"/>
  <c r="E878" i="3"/>
  <c r="A879" i="3"/>
  <c r="D879" i="3" s="1"/>
  <c r="B878" i="3"/>
  <c r="H879" i="3" l="1"/>
  <c r="I879" i="3"/>
  <c r="F878" i="3"/>
  <c r="G878" i="3" s="1"/>
  <c r="L878" i="3"/>
  <c r="O877" i="3"/>
  <c r="P877" i="3" s="1"/>
  <c r="C879" i="3"/>
  <c r="J878" i="3"/>
  <c r="K878" i="3" s="1"/>
  <c r="M878" i="3"/>
  <c r="N878" i="3" s="1"/>
  <c r="Q876" i="3"/>
  <c r="E879" i="3"/>
  <c r="A880" i="3"/>
  <c r="D880" i="3" s="1"/>
  <c r="B879" i="3"/>
  <c r="H880" i="3" l="1"/>
  <c r="I880" i="3"/>
  <c r="F879" i="3"/>
  <c r="G879" i="3" s="1"/>
  <c r="L879" i="3"/>
  <c r="O878" i="3"/>
  <c r="P878" i="3" s="1"/>
  <c r="J879" i="3"/>
  <c r="K879" i="3" s="1"/>
  <c r="M879" i="3"/>
  <c r="N879" i="3" s="1"/>
  <c r="C880" i="3"/>
  <c r="Q877" i="3"/>
  <c r="E880" i="3"/>
  <c r="A881" i="3"/>
  <c r="D881" i="3" s="1"/>
  <c r="B880" i="3"/>
  <c r="I881" i="3" l="1"/>
  <c r="H881" i="3"/>
  <c r="L880" i="3"/>
  <c r="F880" i="3"/>
  <c r="G880" i="3" s="1"/>
  <c r="O879" i="3"/>
  <c r="P879" i="3" s="1"/>
  <c r="J880" i="3"/>
  <c r="K880" i="3" s="1"/>
  <c r="M880" i="3"/>
  <c r="N880" i="3" s="1"/>
  <c r="C881" i="3"/>
  <c r="Q878" i="3"/>
  <c r="E881" i="3"/>
  <c r="A882" i="3"/>
  <c r="D882" i="3" s="1"/>
  <c r="B881" i="3"/>
  <c r="I882" i="3" l="1"/>
  <c r="H882" i="3"/>
  <c r="F881" i="3"/>
  <c r="G881" i="3" s="1"/>
  <c r="L881" i="3"/>
  <c r="O880" i="3"/>
  <c r="P880" i="3" s="1"/>
  <c r="J881" i="3"/>
  <c r="K881" i="3" s="1"/>
  <c r="M881" i="3"/>
  <c r="N881" i="3" s="1"/>
  <c r="C882" i="3"/>
  <c r="Q879" i="3"/>
  <c r="E882" i="3"/>
  <c r="A883" i="3"/>
  <c r="D883" i="3" s="1"/>
  <c r="B882" i="3"/>
  <c r="H883" i="3" l="1"/>
  <c r="I883" i="3"/>
  <c r="F882" i="3"/>
  <c r="G882" i="3" s="1"/>
  <c r="L882" i="3"/>
  <c r="O881" i="3"/>
  <c r="P881" i="3" s="1"/>
  <c r="C883" i="3"/>
  <c r="J882" i="3"/>
  <c r="K882" i="3" s="1"/>
  <c r="M882" i="3"/>
  <c r="N882" i="3" s="1"/>
  <c r="Q880" i="3"/>
  <c r="E883" i="3"/>
  <c r="A884" i="3"/>
  <c r="D884" i="3" s="1"/>
  <c r="B883" i="3"/>
  <c r="H884" i="3" l="1"/>
  <c r="I884" i="3"/>
  <c r="F883" i="3"/>
  <c r="G883" i="3" s="1"/>
  <c r="O882" i="3"/>
  <c r="P882" i="3" s="1"/>
  <c r="L883" i="3"/>
  <c r="J883" i="3"/>
  <c r="K883" i="3" s="1"/>
  <c r="M883" i="3"/>
  <c r="N883" i="3" s="1"/>
  <c r="C884" i="3"/>
  <c r="Q881" i="3"/>
  <c r="E884" i="3"/>
  <c r="A885" i="3"/>
  <c r="D885" i="3" s="1"/>
  <c r="B884" i="3"/>
  <c r="H885" i="3" l="1"/>
  <c r="I885" i="3"/>
  <c r="F884" i="3"/>
  <c r="G884" i="3" s="1"/>
  <c r="L884" i="3"/>
  <c r="O883" i="3"/>
  <c r="P883" i="3" s="1"/>
  <c r="J884" i="3"/>
  <c r="K884" i="3" s="1"/>
  <c r="M884" i="3"/>
  <c r="N884" i="3" s="1"/>
  <c r="C885" i="3"/>
  <c r="Q882" i="3"/>
  <c r="E885" i="3"/>
  <c r="A886" i="3"/>
  <c r="D886" i="3" s="1"/>
  <c r="B885" i="3"/>
  <c r="H886" i="3" l="1"/>
  <c r="I886" i="3"/>
  <c r="F885" i="3"/>
  <c r="G885" i="3" s="1"/>
  <c r="L885" i="3"/>
  <c r="O884" i="3"/>
  <c r="P884" i="3" s="1"/>
  <c r="J885" i="3"/>
  <c r="K885" i="3" s="1"/>
  <c r="M885" i="3"/>
  <c r="N885" i="3" s="1"/>
  <c r="C886" i="3"/>
  <c r="Q883" i="3"/>
  <c r="E886" i="3"/>
  <c r="A887" i="3"/>
  <c r="D887" i="3" s="1"/>
  <c r="B886" i="3"/>
  <c r="H887" i="3" l="1"/>
  <c r="I887" i="3"/>
  <c r="L886" i="3"/>
  <c r="F886" i="3"/>
  <c r="G886" i="3" s="1"/>
  <c r="O885" i="3"/>
  <c r="P885" i="3" s="1"/>
  <c r="J886" i="3"/>
  <c r="K886" i="3" s="1"/>
  <c r="M886" i="3"/>
  <c r="N886" i="3" s="1"/>
  <c r="C887" i="3"/>
  <c r="Q884" i="3"/>
  <c r="E887" i="3"/>
  <c r="A888" i="3"/>
  <c r="D888" i="3" s="1"/>
  <c r="B887" i="3"/>
  <c r="H888" i="3" l="1"/>
  <c r="I888" i="3"/>
  <c r="F887" i="3"/>
  <c r="G887" i="3" s="1"/>
  <c r="L887" i="3"/>
  <c r="O886" i="3"/>
  <c r="P886" i="3" s="1"/>
  <c r="C888" i="3"/>
  <c r="J887" i="3"/>
  <c r="K887" i="3" s="1"/>
  <c r="M887" i="3"/>
  <c r="N887" i="3" s="1"/>
  <c r="Q885" i="3"/>
  <c r="E888" i="3"/>
  <c r="A889" i="3"/>
  <c r="D889" i="3" s="1"/>
  <c r="B888" i="3"/>
  <c r="H889" i="3" l="1"/>
  <c r="I889" i="3"/>
  <c r="F888" i="3"/>
  <c r="G888" i="3" s="1"/>
  <c r="O887" i="3"/>
  <c r="P887" i="3" s="1"/>
  <c r="L888" i="3"/>
  <c r="J888" i="3"/>
  <c r="K888" i="3" s="1"/>
  <c r="M888" i="3"/>
  <c r="N888" i="3" s="1"/>
  <c r="C889" i="3"/>
  <c r="Q886" i="3"/>
  <c r="E889" i="3"/>
  <c r="A890" i="3"/>
  <c r="D890" i="3" s="1"/>
  <c r="B889" i="3"/>
  <c r="H890" i="3" l="1"/>
  <c r="I890" i="3"/>
  <c r="L889" i="3"/>
  <c r="F889" i="3"/>
  <c r="G889" i="3" s="1"/>
  <c r="O888" i="3"/>
  <c r="P888" i="3" s="1"/>
  <c r="J889" i="3"/>
  <c r="K889" i="3" s="1"/>
  <c r="M889" i="3"/>
  <c r="N889" i="3" s="1"/>
  <c r="C890" i="3"/>
  <c r="Q887" i="3"/>
  <c r="E890" i="3"/>
  <c r="A891" i="3"/>
  <c r="D891" i="3" s="1"/>
  <c r="B890" i="3"/>
  <c r="H891" i="3" l="1"/>
  <c r="I891" i="3"/>
  <c r="F890" i="3"/>
  <c r="G890" i="3" s="1"/>
  <c r="L890" i="3"/>
  <c r="O889" i="3"/>
  <c r="P889" i="3" s="1"/>
  <c r="J890" i="3"/>
  <c r="K890" i="3" s="1"/>
  <c r="M890" i="3"/>
  <c r="N890" i="3" s="1"/>
  <c r="C891" i="3"/>
  <c r="Q888" i="3"/>
  <c r="E891" i="3"/>
  <c r="A892" i="3"/>
  <c r="D892" i="3" s="1"/>
  <c r="B891" i="3"/>
  <c r="H892" i="3" l="1"/>
  <c r="I892" i="3"/>
  <c r="F891" i="3"/>
  <c r="G891" i="3" s="1"/>
  <c r="L891" i="3"/>
  <c r="O890" i="3"/>
  <c r="P890" i="3" s="1"/>
  <c r="J891" i="3"/>
  <c r="K891" i="3" s="1"/>
  <c r="M891" i="3"/>
  <c r="N891" i="3" s="1"/>
  <c r="C892" i="3"/>
  <c r="Q889" i="3"/>
  <c r="E892" i="3"/>
  <c r="A893" i="3"/>
  <c r="D893" i="3" s="1"/>
  <c r="B892" i="3"/>
  <c r="H893" i="3" l="1"/>
  <c r="I893" i="3"/>
  <c r="F892" i="3"/>
  <c r="G892" i="3" s="1"/>
  <c r="L892" i="3"/>
  <c r="O891" i="3"/>
  <c r="P891" i="3" s="1"/>
  <c r="J892" i="3"/>
  <c r="K892" i="3" s="1"/>
  <c r="M892" i="3"/>
  <c r="N892" i="3" s="1"/>
  <c r="C893" i="3"/>
  <c r="Q890" i="3"/>
  <c r="E893" i="3"/>
  <c r="A894" i="3"/>
  <c r="D894" i="3" s="1"/>
  <c r="B893" i="3"/>
  <c r="H894" i="3" l="1"/>
  <c r="I894" i="3"/>
  <c r="F893" i="3"/>
  <c r="G893" i="3" s="1"/>
  <c r="L893" i="3"/>
  <c r="O892" i="3"/>
  <c r="P892" i="3" s="1"/>
  <c r="J893" i="3"/>
  <c r="K893" i="3" s="1"/>
  <c r="M893" i="3"/>
  <c r="N893" i="3" s="1"/>
  <c r="C894" i="3"/>
  <c r="Q891" i="3"/>
  <c r="E894" i="3"/>
  <c r="A895" i="3"/>
  <c r="D895" i="3" s="1"/>
  <c r="B894" i="3"/>
  <c r="H895" i="3" l="1"/>
  <c r="I895" i="3"/>
  <c r="F894" i="3"/>
  <c r="G894" i="3" s="1"/>
  <c r="L894" i="3"/>
  <c r="O893" i="3"/>
  <c r="P893" i="3" s="1"/>
  <c r="J894" i="3"/>
  <c r="K894" i="3" s="1"/>
  <c r="M894" i="3"/>
  <c r="N894" i="3" s="1"/>
  <c r="C895" i="3"/>
  <c r="Q892" i="3"/>
  <c r="E895" i="3"/>
  <c r="A896" i="3"/>
  <c r="D896" i="3" s="1"/>
  <c r="B895" i="3"/>
  <c r="H896" i="3" l="1"/>
  <c r="I896" i="3"/>
  <c r="L895" i="3"/>
  <c r="F895" i="3"/>
  <c r="G895" i="3" s="1"/>
  <c r="O894" i="3"/>
  <c r="P894" i="3" s="1"/>
  <c r="J895" i="3"/>
  <c r="K895" i="3" s="1"/>
  <c r="M895" i="3"/>
  <c r="N895" i="3" s="1"/>
  <c r="C896" i="3"/>
  <c r="Q893" i="3"/>
  <c r="E896" i="3"/>
  <c r="A897" i="3"/>
  <c r="D897" i="3" s="1"/>
  <c r="B896" i="3"/>
  <c r="H897" i="3" l="1"/>
  <c r="I897" i="3"/>
  <c r="F896" i="3"/>
  <c r="G896" i="3" s="1"/>
  <c r="L896" i="3"/>
  <c r="O895" i="3"/>
  <c r="P895" i="3" s="1"/>
  <c r="J896" i="3"/>
  <c r="K896" i="3" s="1"/>
  <c r="M896" i="3"/>
  <c r="N896" i="3" s="1"/>
  <c r="C897" i="3"/>
  <c r="Q894" i="3"/>
  <c r="E897" i="3"/>
  <c r="A898" i="3"/>
  <c r="D898" i="3" s="1"/>
  <c r="B897" i="3"/>
  <c r="H898" i="3" l="1"/>
  <c r="I898" i="3"/>
  <c r="F897" i="3"/>
  <c r="G897" i="3" s="1"/>
  <c r="L897" i="3"/>
  <c r="O896" i="3"/>
  <c r="P896" i="3" s="1"/>
  <c r="C898" i="3"/>
  <c r="J897" i="3"/>
  <c r="K897" i="3" s="1"/>
  <c r="M897" i="3"/>
  <c r="N897" i="3" s="1"/>
  <c r="Q895" i="3"/>
  <c r="E898" i="3"/>
  <c r="A899" i="3"/>
  <c r="D899" i="3" s="1"/>
  <c r="B898" i="3"/>
  <c r="H899" i="3" l="1"/>
  <c r="I899" i="3"/>
  <c r="F898" i="3"/>
  <c r="G898" i="3" s="1"/>
  <c r="O897" i="3"/>
  <c r="P897" i="3" s="1"/>
  <c r="L898" i="3"/>
  <c r="C899" i="3"/>
  <c r="J898" i="3"/>
  <c r="K898" i="3" s="1"/>
  <c r="M898" i="3"/>
  <c r="N898" i="3" s="1"/>
  <c r="Q896" i="3"/>
  <c r="E899" i="3"/>
  <c r="A900" i="3"/>
  <c r="D900" i="3" s="1"/>
  <c r="B899" i="3"/>
  <c r="H900" i="3" l="1"/>
  <c r="I900" i="3"/>
  <c r="F899" i="3"/>
  <c r="G899" i="3" s="1"/>
  <c r="O898" i="3"/>
  <c r="P898" i="3" s="1"/>
  <c r="L899" i="3"/>
  <c r="C900" i="3"/>
  <c r="J899" i="3"/>
  <c r="K899" i="3" s="1"/>
  <c r="M899" i="3"/>
  <c r="N899" i="3" s="1"/>
  <c r="Q897" i="3"/>
  <c r="E900" i="3"/>
  <c r="A901" i="3"/>
  <c r="D901" i="3" s="1"/>
  <c r="B900" i="3"/>
  <c r="H901" i="3" l="1"/>
  <c r="I901" i="3"/>
  <c r="L900" i="3"/>
  <c r="F900" i="3"/>
  <c r="G900" i="3" s="1"/>
  <c r="O899" i="3"/>
  <c r="P899" i="3" s="1"/>
  <c r="C901" i="3"/>
  <c r="J900" i="3"/>
  <c r="K900" i="3" s="1"/>
  <c r="M900" i="3"/>
  <c r="N900" i="3" s="1"/>
  <c r="Q898" i="3"/>
  <c r="E901" i="3"/>
  <c r="A902" i="3"/>
  <c r="D902" i="3" s="1"/>
  <c r="B901" i="3"/>
  <c r="H902" i="3" l="1"/>
  <c r="I902" i="3"/>
  <c r="F901" i="3"/>
  <c r="G901" i="3" s="1"/>
  <c r="O900" i="3"/>
  <c r="P900" i="3" s="1"/>
  <c r="L901" i="3"/>
  <c r="C902" i="3"/>
  <c r="J901" i="3"/>
  <c r="K901" i="3" s="1"/>
  <c r="M901" i="3"/>
  <c r="N901" i="3" s="1"/>
  <c r="Q899" i="3"/>
  <c r="E902" i="3"/>
  <c r="A903" i="3"/>
  <c r="D903" i="3" s="1"/>
  <c r="B902" i="3"/>
  <c r="H903" i="3" l="1"/>
  <c r="I903" i="3"/>
  <c r="F902" i="3"/>
  <c r="G902" i="3" s="1"/>
  <c r="L902" i="3"/>
  <c r="O901" i="3"/>
  <c r="P901" i="3" s="1"/>
  <c r="C903" i="3"/>
  <c r="J902" i="3"/>
  <c r="K902" i="3" s="1"/>
  <c r="M902" i="3"/>
  <c r="N902" i="3" s="1"/>
  <c r="Q900" i="3"/>
  <c r="E903" i="3"/>
  <c r="A904" i="3"/>
  <c r="D904" i="3" s="1"/>
  <c r="B903" i="3"/>
  <c r="H904" i="3" l="1"/>
  <c r="I904" i="3"/>
  <c r="F903" i="3"/>
  <c r="G903" i="3" s="1"/>
  <c r="O902" i="3"/>
  <c r="P902" i="3" s="1"/>
  <c r="L903" i="3"/>
  <c r="C904" i="3"/>
  <c r="J903" i="3"/>
  <c r="K903" i="3" s="1"/>
  <c r="M903" i="3"/>
  <c r="N903" i="3" s="1"/>
  <c r="Q901" i="3"/>
  <c r="E904" i="3"/>
  <c r="A905" i="3"/>
  <c r="D905" i="3" s="1"/>
  <c r="B904" i="3"/>
  <c r="H905" i="3" l="1"/>
  <c r="I905" i="3"/>
  <c r="F904" i="3"/>
  <c r="G904" i="3" s="1"/>
  <c r="O903" i="3"/>
  <c r="P903" i="3" s="1"/>
  <c r="J904" i="3"/>
  <c r="K904" i="3" s="1"/>
  <c r="M904" i="3"/>
  <c r="N904" i="3" s="1"/>
  <c r="L904" i="3"/>
  <c r="C905" i="3"/>
  <c r="Q902" i="3"/>
  <c r="E905" i="3"/>
  <c r="A906" i="3"/>
  <c r="D906" i="3" s="1"/>
  <c r="B905" i="3"/>
  <c r="H906" i="3" l="1"/>
  <c r="I906" i="3"/>
  <c r="L905" i="3"/>
  <c r="O904" i="3"/>
  <c r="P904" i="3" s="1"/>
  <c r="F905" i="3"/>
  <c r="G905" i="3" s="1"/>
  <c r="J905" i="3"/>
  <c r="K905" i="3" s="1"/>
  <c r="M905" i="3"/>
  <c r="N905" i="3" s="1"/>
  <c r="C906" i="3"/>
  <c r="Q903" i="3"/>
  <c r="E906" i="3"/>
  <c r="A907" i="3"/>
  <c r="D907" i="3" s="1"/>
  <c r="B906" i="3"/>
  <c r="H907" i="3" l="1"/>
  <c r="I907" i="3"/>
  <c r="F906" i="3"/>
  <c r="G906" i="3" s="1"/>
  <c r="O905" i="3"/>
  <c r="P905" i="3" s="1"/>
  <c r="L906" i="3"/>
  <c r="C907" i="3"/>
  <c r="J906" i="3"/>
  <c r="K906" i="3" s="1"/>
  <c r="M906" i="3"/>
  <c r="N906" i="3" s="1"/>
  <c r="Q904" i="3"/>
  <c r="E907" i="3"/>
  <c r="A908" i="3"/>
  <c r="D908" i="3" s="1"/>
  <c r="B907" i="3"/>
  <c r="H908" i="3" l="1"/>
  <c r="I908" i="3"/>
  <c r="F907" i="3"/>
  <c r="G907" i="3" s="1"/>
  <c r="O906" i="3"/>
  <c r="P906" i="3" s="1"/>
  <c r="L907" i="3"/>
  <c r="C908" i="3"/>
  <c r="J907" i="3"/>
  <c r="K907" i="3" s="1"/>
  <c r="M907" i="3"/>
  <c r="N907" i="3" s="1"/>
  <c r="Q905" i="3"/>
  <c r="E908" i="3"/>
  <c r="A909" i="3"/>
  <c r="D909" i="3" s="1"/>
  <c r="B908" i="3"/>
  <c r="H909" i="3" l="1"/>
  <c r="I909" i="3"/>
  <c r="F908" i="3"/>
  <c r="G908" i="3" s="1"/>
  <c r="O907" i="3"/>
  <c r="P907" i="3" s="1"/>
  <c r="L908" i="3"/>
  <c r="J908" i="3"/>
  <c r="K908" i="3" s="1"/>
  <c r="M908" i="3"/>
  <c r="N908" i="3" s="1"/>
  <c r="C909" i="3"/>
  <c r="Q906" i="3"/>
  <c r="E909" i="3"/>
  <c r="A910" i="3"/>
  <c r="D910" i="3" s="1"/>
  <c r="B909" i="3"/>
  <c r="H910" i="3" l="1"/>
  <c r="I910" i="3"/>
  <c r="F909" i="3"/>
  <c r="G909" i="3" s="1"/>
  <c r="L909" i="3"/>
  <c r="O908" i="3"/>
  <c r="P908" i="3" s="1"/>
  <c r="J909" i="3"/>
  <c r="K909" i="3" s="1"/>
  <c r="M909" i="3"/>
  <c r="N909" i="3" s="1"/>
  <c r="C910" i="3"/>
  <c r="Q907" i="3"/>
  <c r="E910" i="3"/>
  <c r="A911" i="3"/>
  <c r="D911" i="3" s="1"/>
  <c r="B910" i="3"/>
  <c r="H911" i="3" l="1"/>
  <c r="I911" i="3"/>
  <c r="F910" i="3"/>
  <c r="G910" i="3" s="1"/>
  <c r="L910" i="3"/>
  <c r="O909" i="3"/>
  <c r="P909" i="3" s="1"/>
  <c r="J910" i="3"/>
  <c r="K910" i="3" s="1"/>
  <c r="M910" i="3"/>
  <c r="N910" i="3" s="1"/>
  <c r="C911" i="3"/>
  <c r="Q908" i="3"/>
  <c r="E911" i="3"/>
  <c r="A912" i="3"/>
  <c r="D912" i="3" s="1"/>
  <c r="B911" i="3"/>
  <c r="H912" i="3" l="1"/>
  <c r="I912" i="3"/>
  <c r="F911" i="3"/>
  <c r="G911" i="3" s="1"/>
  <c r="O910" i="3"/>
  <c r="P910" i="3" s="1"/>
  <c r="L911" i="3"/>
  <c r="C912" i="3"/>
  <c r="J911" i="3"/>
  <c r="K911" i="3" s="1"/>
  <c r="M911" i="3"/>
  <c r="N911" i="3" s="1"/>
  <c r="Q909" i="3"/>
  <c r="E912" i="3"/>
  <c r="A913" i="3"/>
  <c r="D913" i="3" s="1"/>
  <c r="B912" i="3"/>
  <c r="I913" i="3" l="1"/>
  <c r="H913" i="3"/>
  <c r="F912" i="3"/>
  <c r="G912" i="3" s="1"/>
  <c r="L912" i="3"/>
  <c r="O911" i="3"/>
  <c r="P911" i="3" s="1"/>
  <c r="J912" i="3"/>
  <c r="K912" i="3" s="1"/>
  <c r="M912" i="3"/>
  <c r="N912" i="3" s="1"/>
  <c r="C913" i="3"/>
  <c r="Q910" i="3"/>
  <c r="E913" i="3"/>
  <c r="A914" i="3"/>
  <c r="D914" i="3" s="1"/>
  <c r="B913" i="3"/>
  <c r="H914" i="3" l="1"/>
  <c r="I914" i="3"/>
  <c r="F913" i="3"/>
  <c r="G913" i="3" s="1"/>
  <c r="L913" i="3"/>
  <c r="O912" i="3"/>
  <c r="P912" i="3" s="1"/>
  <c r="J913" i="3"/>
  <c r="K913" i="3" s="1"/>
  <c r="M913" i="3"/>
  <c r="N913" i="3" s="1"/>
  <c r="C914" i="3"/>
  <c r="Q911" i="3"/>
  <c r="E914" i="3"/>
  <c r="A915" i="3"/>
  <c r="D915" i="3" s="1"/>
  <c r="B914" i="3"/>
  <c r="H915" i="3" l="1"/>
  <c r="I915" i="3"/>
  <c r="F914" i="3"/>
  <c r="G914" i="3" s="1"/>
  <c r="L914" i="3"/>
  <c r="O913" i="3"/>
  <c r="P913" i="3" s="1"/>
  <c r="J914" i="3"/>
  <c r="K914" i="3" s="1"/>
  <c r="M914" i="3"/>
  <c r="N914" i="3" s="1"/>
  <c r="C915" i="3"/>
  <c r="Q912" i="3"/>
  <c r="E915" i="3"/>
  <c r="A916" i="3"/>
  <c r="D916" i="3" s="1"/>
  <c r="B915" i="3"/>
  <c r="H916" i="3" l="1"/>
  <c r="I916" i="3"/>
  <c r="F915" i="3"/>
  <c r="G915" i="3" s="1"/>
  <c r="L915" i="3"/>
  <c r="O914" i="3"/>
  <c r="P914" i="3" s="1"/>
  <c r="C916" i="3"/>
  <c r="J915" i="3"/>
  <c r="K915" i="3" s="1"/>
  <c r="M915" i="3"/>
  <c r="N915" i="3" s="1"/>
  <c r="Q913" i="3"/>
  <c r="E916" i="3"/>
  <c r="A917" i="3"/>
  <c r="D917" i="3" s="1"/>
  <c r="B916" i="3"/>
  <c r="H917" i="3" l="1"/>
  <c r="I917" i="3"/>
  <c r="F916" i="3"/>
  <c r="G916" i="3" s="1"/>
  <c r="O915" i="3"/>
  <c r="P915" i="3" s="1"/>
  <c r="L916" i="3"/>
  <c r="J916" i="3"/>
  <c r="K916" i="3" s="1"/>
  <c r="M916" i="3"/>
  <c r="N916" i="3" s="1"/>
  <c r="C917" i="3"/>
  <c r="Q914" i="3"/>
  <c r="E917" i="3"/>
  <c r="A918" i="3"/>
  <c r="D918" i="3" s="1"/>
  <c r="B917" i="3"/>
  <c r="H918" i="3" l="1"/>
  <c r="I918" i="3"/>
  <c r="L917" i="3"/>
  <c r="F917" i="3"/>
  <c r="G917" i="3" s="1"/>
  <c r="O916" i="3"/>
  <c r="P916" i="3" s="1"/>
  <c r="C918" i="3"/>
  <c r="J917" i="3"/>
  <c r="K917" i="3" s="1"/>
  <c r="M917" i="3"/>
  <c r="N917" i="3" s="1"/>
  <c r="Q915" i="3"/>
  <c r="E918" i="3"/>
  <c r="A919" i="3"/>
  <c r="D919" i="3" s="1"/>
  <c r="B918" i="3"/>
  <c r="I919" i="3" l="1"/>
  <c r="H919" i="3"/>
  <c r="F918" i="3"/>
  <c r="G918" i="3" s="1"/>
  <c r="L918" i="3"/>
  <c r="O917" i="3"/>
  <c r="P917" i="3" s="1"/>
  <c r="C919" i="3"/>
  <c r="J918" i="3"/>
  <c r="K918" i="3" s="1"/>
  <c r="M918" i="3"/>
  <c r="N918" i="3" s="1"/>
  <c r="Q916" i="3"/>
  <c r="E919" i="3"/>
  <c r="A920" i="3"/>
  <c r="D920" i="3" s="1"/>
  <c r="B919" i="3"/>
  <c r="H920" i="3" l="1"/>
  <c r="I920" i="3"/>
  <c r="F919" i="3"/>
  <c r="G919" i="3" s="1"/>
  <c r="O918" i="3"/>
  <c r="P918" i="3" s="1"/>
  <c r="L919" i="3"/>
  <c r="J919" i="3"/>
  <c r="K919" i="3" s="1"/>
  <c r="M919" i="3"/>
  <c r="N919" i="3" s="1"/>
  <c r="C920" i="3"/>
  <c r="Q917" i="3"/>
  <c r="E920" i="3"/>
  <c r="A921" i="3"/>
  <c r="D921" i="3" s="1"/>
  <c r="B920" i="3"/>
  <c r="H921" i="3" l="1"/>
  <c r="I921" i="3"/>
  <c r="L920" i="3"/>
  <c r="F920" i="3"/>
  <c r="G920" i="3" s="1"/>
  <c r="O919" i="3"/>
  <c r="P919" i="3" s="1"/>
  <c r="C921" i="3"/>
  <c r="J920" i="3"/>
  <c r="K920" i="3" s="1"/>
  <c r="M920" i="3"/>
  <c r="N920" i="3" s="1"/>
  <c r="Q918" i="3"/>
  <c r="E921" i="3"/>
  <c r="A922" i="3"/>
  <c r="D922" i="3" s="1"/>
  <c r="B921" i="3"/>
  <c r="H922" i="3" l="1"/>
  <c r="I922" i="3"/>
  <c r="F921" i="3"/>
  <c r="G921" i="3" s="1"/>
  <c r="L921" i="3"/>
  <c r="O920" i="3"/>
  <c r="P920" i="3" s="1"/>
  <c r="J921" i="3"/>
  <c r="K921" i="3" s="1"/>
  <c r="M921" i="3"/>
  <c r="N921" i="3" s="1"/>
  <c r="C922" i="3"/>
  <c r="Q919" i="3"/>
  <c r="E922" i="3"/>
  <c r="A923" i="3"/>
  <c r="D923" i="3" s="1"/>
  <c r="B922" i="3"/>
  <c r="H923" i="3" l="1"/>
  <c r="I923" i="3"/>
  <c r="L922" i="3"/>
  <c r="F922" i="3"/>
  <c r="G922" i="3" s="1"/>
  <c r="O921" i="3"/>
  <c r="P921" i="3" s="1"/>
  <c r="J922" i="3"/>
  <c r="K922" i="3" s="1"/>
  <c r="M922" i="3"/>
  <c r="N922" i="3" s="1"/>
  <c r="C923" i="3"/>
  <c r="Q920" i="3"/>
  <c r="E923" i="3"/>
  <c r="A924" i="3"/>
  <c r="D924" i="3" s="1"/>
  <c r="B923" i="3"/>
  <c r="H924" i="3" l="1"/>
  <c r="I924" i="3"/>
  <c r="F923" i="3"/>
  <c r="G923" i="3" s="1"/>
  <c r="O922" i="3"/>
  <c r="P922" i="3" s="1"/>
  <c r="L923" i="3"/>
  <c r="C924" i="3"/>
  <c r="J923" i="3"/>
  <c r="K923" i="3" s="1"/>
  <c r="M923" i="3"/>
  <c r="N923" i="3" s="1"/>
  <c r="Q921" i="3"/>
  <c r="E924" i="3"/>
  <c r="A925" i="3"/>
  <c r="D925" i="3" s="1"/>
  <c r="B924" i="3"/>
  <c r="H925" i="3" l="1"/>
  <c r="I925" i="3"/>
  <c r="F924" i="3"/>
  <c r="G924" i="3" s="1"/>
  <c r="O923" i="3"/>
  <c r="P923" i="3" s="1"/>
  <c r="L924" i="3"/>
  <c r="J924" i="3"/>
  <c r="K924" i="3" s="1"/>
  <c r="M924" i="3"/>
  <c r="N924" i="3" s="1"/>
  <c r="C925" i="3"/>
  <c r="Q922" i="3"/>
  <c r="E925" i="3"/>
  <c r="A926" i="3"/>
  <c r="D926" i="3" s="1"/>
  <c r="B925" i="3"/>
  <c r="I926" i="3" l="1"/>
  <c r="H926" i="3"/>
  <c r="F925" i="3"/>
  <c r="G925" i="3" s="1"/>
  <c r="L925" i="3"/>
  <c r="O924" i="3"/>
  <c r="P924" i="3" s="1"/>
  <c r="C926" i="3"/>
  <c r="J925" i="3"/>
  <c r="K925" i="3" s="1"/>
  <c r="M925" i="3"/>
  <c r="N925" i="3" s="1"/>
  <c r="Q923" i="3"/>
  <c r="E926" i="3"/>
  <c r="A927" i="3"/>
  <c r="D927" i="3" s="1"/>
  <c r="B926" i="3"/>
  <c r="H927" i="3" l="1"/>
  <c r="I927" i="3"/>
  <c r="F926" i="3"/>
  <c r="G926" i="3" s="1"/>
  <c r="L926" i="3"/>
  <c r="O925" i="3"/>
  <c r="P925" i="3" s="1"/>
  <c r="J926" i="3"/>
  <c r="K926" i="3" s="1"/>
  <c r="M926" i="3"/>
  <c r="N926" i="3" s="1"/>
  <c r="C927" i="3"/>
  <c r="Q924" i="3"/>
  <c r="E927" i="3"/>
  <c r="A928" i="3"/>
  <c r="D928" i="3" s="1"/>
  <c r="B927" i="3"/>
  <c r="H928" i="3" l="1"/>
  <c r="I928" i="3"/>
  <c r="L927" i="3"/>
  <c r="O926" i="3"/>
  <c r="P926" i="3" s="1"/>
  <c r="F927" i="3"/>
  <c r="G927" i="3" s="1"/>
  <c r="C928" i="3"/>
  <c r="J927" i="3"/>
  <c r="K927" i="3" s="1"/>
  <c r="M927" i="3"/>
  <c r="N927" i="3" s="1"/>
  <c r="Q925" i="3"/>
  <c r="E928" i="3"/>
  <c r="A929" i="3"/>
  <c r="D929" i="3" s="1"/>
  <c r="B928" i="3"/>
  <c r="I929" i="3" l="1"/>
  <c r="H929" i="3"/>
  <c r="F928" i="3"/>
  <c r="G928" i="3" s="1"/>
  <c r="O927" i="3"/>
  <c r="P927" i="3" s="1"/>
  <c r="L928" i="3"/>
  <c r="C929" i="3"/>
  <c r="J928" i="3"/>
  <c r="K928" i="3" s="1"/>
  <c r="M928" i="3"/>
  <c r="N928" i="3" s="1"/>
  <c r="Q926" i="3"/>
  <c r="E929" i="3"/>
  <c r="A930" i="3"/>
  <c r="D930" i="3" s="1"/>
  <c r="B929" i="3"/>
  <c r="H930" i="3" l="1"/>
  <c r="I930" i="3"/>
  <c r="F929" i="3"/>
  <c r="G929" i="3" s="1"/>
  <c r="L929" i="3"/>
  <c r="O928" i="3"/>
  <c r="P928" i="3" s="1"/>
  <c r="J929" i="3"/>
  <c r="K929" i="3" s="1"/>
  <c r="M929" i="3"/>
  <c r="N929" i="3" s="1"/>
  <c r="C930" i="3"/>
  <c r="Q927" i="3"/>
  <c r="E930" i="3"/>
  <c r="A931" i="3"/>
  <c r="D931" i="3" s="1"/>
  <c r="B930" i="3"/>
  <c r="H931" i="3" l="1"/>
  <c r="I931" i="3"/>
  <c r="O929" i="3"/>
  <c r="P929" i="3" s="1"/>
  <c r="F930" i="3"/>
  <c r="G930" i="3" s="1"/>
  <c r="L930" i="3"/>
  <c r="J930" i="3"/>
  <c r="K930" i="3" s="1"/>
  <c r="M930" i="3"/>
  <c r="N930" i="3" s="1"/>
  <c r="C931" i="3"/>
  <c r="Q928" i="3"/>
  <c r="E931" i="3"/>
  <c r="A932" i="3"/>
  <c r="D932" i="3" s="1"/>
  <c r="B931" i="3"/>
  <c r="H932" i="3" l="1"/>
  <c r="I932" i="3"/>
  <c r="L931" i="3"/>
  <c r="F931" i="3"/>
  <c r="G931" i="3" s="1"/>
  <c r="O930" i="3"/>
  <c r="P930" i="3" s="1"/>
  <c r="J931" i="3"/>
  <c r="K931" i="3" s="1"/>
  <c r="M931" i="3"/>
  <c r="N931" i="3" s="1"/>
  <c r="C932" i="3"/>
  <c r="Q929" i="3"/>
  <c r="E932" i="3"/>
  <c r="A933" i="3"/>
  <c r="D933" i="3" s="1"/>
  <c r="B932" i="3"/>
  <c r="H933" i="3" l="1"/>
  <c r="I933" i="3"/>
  <c r="O931" i="3"/>
  <c r="P931" i="3" s="1"/>
  <c r="L932" i="3"/>
  <c r="F932" i="3"/>
  <c r="G932" i="3" s="1"/>
  <c r="C933" i="3"/>
  <c r="J932" i="3"/>
  <c r="K932" i="3" s="1"/>
  <c r="M932" i="3"/>
  <c r="N932" i="3" s="1"/>
  <c r="Q930" i="3"/>
  <c r="E933" i="3"/>
  <c r="A934" i="3"/>
  <c r="D934" i="3" s="1"/>
  <c r="B933" i="3"/>
  <c r="H934" i="3" l="1"/>
  <c r="I934" i="3"/>
  <c r="F933" i="3"/>
  <c r="G933" i="3" s="1"/>
  <c r="O932" i="3"/>
  <c r="P932" i="3" s="1"/>
  <c r="L933" i="3"/>
  <c r="C934" i="3"/>
  <c r="J933" i="3"/>
  <c r="K933" i="3" s="1"/>
  <c r="M933" i="3"/>
  <c r="N933" i="3" s="1"/>
  <c r="Q931" i="3"/>
  <c r="E934" i="3"/>
  <c r="A935" i="3"/>
  <c r="D935" i="3" s="1"/>
  <c r="B934" i="3"/>
  <c r="I935" i="3" l="1"/>
  <c r="H935" i="3"/>
  <c r="F934" i="3"/>
  <c r="G934" i="3" s="1"/>
  <c r="L934" i="3"/>
  <c r="O933" i="3"/>
  <c r="P933" i="3" s="1"/>
  <c r="J934" i="3"/>
  <c r="K934" i="3" s="1"/>
  <c r="M934" i="3"/>
  <c r="N934" i="3" s="1"/>
  <c r="C935" i="3"/>
  <c r="Q932" i="3"/>
  <c r="E935" i="3"/>
  <c r="A936" i="3"/>
  <c r="D936" i="3" s="1"/>
  <c r="B935" i="3"/>
  <c r="H936" i="3" l="1"/>
  <c r="I936" i="3"/>
  <c r="O934" i="3"/>
  <c r="P934" i="3" s="1"/>
  <c r="F935" i="3"/>
  <c r="G935" i="3" s="1"/>
  <c r="L935" i="3"/>
  <c r="C936" i="3"/>
  <c r="J935" i="3"/>
  <c r="K935" i="3" s="1"/>
  <c r="M935" i="3"/>
  <c r="N935" i="3" s="1"/>
  <c r="Q933" i="3"/>
  <c r="E936" i="3"/>
  <c r="A937" i="3"/>
  <c r="D937" i="3" s="1"/>
  <c r="B936" i="3"/>
  <c r="H937" i="3" l="1"/>
  <c r="I937" i="3"/>
  <c r="F936" i="3"/>
  <c r="G936" i="3" s="1"/>
  <c r="O935" i="3"/>
  <c r="P935" i="3" s="1"/>
  <c r="C937" i="3"/>
  <c r="J936" i="3"/>
  <c r="K936" i="3" s="1"/>
  <c r="M936" i="3"/>
  <c r="N936" i="3" s="1"/>
  <c r="L936" i="3"/>
  <c r="Q934" i="3"/>
  <c r="E937" i="3"/>
  <c r="A938" i="3"/>
  <c r="D938" i="3" s="1"/>
  <c r="B937" i="3"/>
  <c r="H938" i="3" l="1"/>
  <c r="I938" i="3"/>
  <c r="F937" i="3"/>
  <c r="G937" i="3" s="1"/>
  <c r="L937" i="3"/>
  <c r="O936" i="3"/>
  <c r="P936" i="3" s="1"/>
  <c r="J937" i="3"/>
  <c r="K937" i="3" s="1"/>
  <c r="M937" i="3"/>
  <c r="N937" i="3" s="1"/>
  <c r="C938" i="3"/>
  <c r="Q935" i="3"/>
  <c r="E938" i="3"/>
  <c r="A939" i="3"/>
  <c r="D939" i="3" s="1"/>
  <c r="B938" i="3"/>
  <c r="H939" i="3" l="1"/>
  <c r="I939" i="3"/>
  <c r="F938" i="3"/>
  <c r="G938" i="3" s="1"/>
  <c r="O937" i="3"/>
  <c r="P937" i="3" s="1"/>
  <c r="L938" i="3"/>
  <c r="C939" i="3"/>
  <c r="J938" i="3"/>
  <c r="K938" i="3" s="1"/>
  <c r="M938" i="3"/>
  <c r="N938" i="3" s="1"/>
  <c r="Q936" i="3"/>
  <c r="E939" i="3"/>
  <c r="A940" i="3"/>
  <c r="D940" i="3" s="1"/>
  <c r="B939" i="3"/>
  <c r="I940" i="3" l="1"/>
  <c r="H940" i="3"/>
  <c r="F939" i="3"/>
  <c r="G939" i="3" s="1"/>
  <c r="L939" i="3"/>
  <c r="O938" i="3"/>
  <c r="P938" i="3" s="1"/>
  <c r="J939" i="3"/>
  <c r="K939" i="3" s="1"/>
  <c r="M939" i="3"/>
  <c r="N939" i="3" s="1"/>
  <c r="C940" i="3"/>
  <c r="Q937" i="3"/>
  <c r="E940" i="3"/>
  <c r="A941" i="3"/>
  <c r="D941" i="3" s="1"/>
  <c r="B940" i="3"/>
  <c r="H941" i="3" l="1"/>
  <c r="I941" i="3"/>
  <c r="F940" i="3"/>
  <c r="G940" i="3" s="1"/>
  <c r="L940" i="3"/>
  <c r="O939" i="3"/>
  <c r="P939" i="3" s="1"/>
  <c r="C941" i="3"/>
  <c r="J940" i="3"/>
  <c r="K940" i="3" s="1"/>
  <c r="M940" i="3"/>
  <c r="N940" i="3" s="1"/>
  <c r="Q938" i="3"/>
  <c r="E941" i="3"/>
  <c r="A942" i="3"/>
  <c r="D942" i="3" s="1"/>
  <c r="B941" i="3"/>
  <c r="H942" i="3" l="1"/>
  <c r="I942" i="3"/>
  <c r="F941" i="3"/>
  <c r="G941" i="3" s="1"/>
  <c r="L941" i="3"/>
  <c r="O940" i="3"/>
  <c r="P940" i="3" s="1"/>
  <c r="J941" i="3"/>
  <c r="K941" i="3" s="1"/>
  <c r="M941" i="3"/>
  <c r="N941" i="3" s="1"/>
  <c r="C942" i="3"/>
  <c r="Q939" i="3"/>
  <c r="E942" i="3"/>
  <c r="A943" i="3"/>
  <c r="D943" i="3" s="1"/>
  <c r="B942" i="3"/>
  <c r="H943" i="3" l="1"/>
  <c r="I943" i="3"/>
  <c r="L942" i="3"/>
  <c r="F942" i="3"/>
  <c r="G942" i="3" s="1"/>
  <c r="O941" i="3"/>
  <c r="P941" i="3" s="1"/>
  <c r="C943" i="3"/>
  <c r="J942" i="3"/>
  <c r="K942" i="3" s="1"/>
  <c r="M942" i="3"/>
  <c r="N942" i="3" s="1"/>
  <c r="Q940" i="3"/>
  <c r="E943" i="3"/>
  <c r="A944" i="3"/>
  <c r="D944" i="3" s="1"/>
  <c r="B943" i="3"/>
  <c r="H944" i="3" l="1"/>
  <c r="I944" i="3"/>
  <c r="F943" i="3"/>
  <c r="G943" i="3" s="1"/>
  <c r="L943" i="3"/>
  <c r="O942" i="3"/>
  <c r="P942" i="3" s="1"/>
  <c r="C944" i="3"/>
  <c r="J943" i="3"/>
  <c r="K943" i="3" s="1"/>
  <c r="M943" i="3"/>
  <c r="N943" i="3" s="1"/>
  <c r="Q941" i="3"/>
  <c r="E944" i="3"/>
  <c r="A945" i="3"/>
  <c r="D945" i="3" s="1"/>
  <c r="B944" i="3"/>
  <c r="I945" i="3" l="1"/>
  <c r="H945" i="3"/>
  <c r="F944" i="3"/>
  <c r="G944" i="3" s="1"/>
  <c r="O943" i="3"/>
  <c r="P943" i="3" s="1"/>
  <c r="C945" i="3"/>
  <c r="J944" i="3"/>
  <c r="K944" i="3" s="1"/>
  <c r="M944" i="3"/>
  <c r="N944" i="3" s="1"/>
  <c r="L944" i="3"/>
  <c r="Q942" i="3"/>
  <c r="E945" i="3"/>
  <c r="A946" i="3"/>
  <c r="D946" i="3" s="1"/>
  <c r="B945" i="3"/>
  <c r="H946" i="3" l="1"/>
  <c r="I946" i="3"/>
  <c r="F945" i="3"/>
  <c r="G945" i="3" s="1"/>
  <c r="L945" i="3"/>
  <c r="O944" i="3"/>
  <c r="P944" i="3" s="1"/>
  <c r="J945" i="3"/>
  <c r="K945" i="3" s="1"/>
  <c r="M945" i="3"/>
  <c r="N945" i="3" s="1"/>
  <c r="C946" i="3"/>
  <c r="Q943" i="3"/>
  <c r="E946" i="3"/>
  <c r="A947" i="3"/>
  <c r="D947" i="3" s="1"/>
  <c r="B946" i="3"/>
  <c r="H947" i="3" l="1"/>
  <c r="I947" i="3"/>
  <c r="F946" i="3"/>
  <c r="G946" i="3" s="1"/>
  <c r="O945" i="3"/>
  <c r="P945" i="3" s="1"/>
  <c r="L946" i="3"/>
  <c r="C947" i="3"/>
  <c r="J946" i="3"/>
  <c r="K946" i="3" s="1"/>
  <c r="M946" i="3"/>
  <c r="N946" i="3" s="1"/>
  <c r="Q944" i="3"/>
  <c r="E947" i="3"/>
  <c r="A948" i="3"/>
  <c r="D948" i="3" s="1"/>
  <c r="B947" i="3"/>
  <c r="H948" i="3" l="1"/>
  <c r="I948" i="3"/>
  <c r="F947" i="3"/>
  <c r="G947" i="3" s="1"/>
  <c r="L947" i="3"/>
  <c r="O946" i="3"/>
  <c r="P946" i="3" s="1"/>
  <c r="J947" i="3"/>
  <c r="K947" i="3" s="1"/>
  <c r="M947" i="3"/>
  <c r="N947" i="3" s="1"/>
  <c r="C948" i="3"/>
  <c r="Q945" i="3"/>
  <c r="E948" i="3"/>
  <c r="A949" i="3"/>
  <c r="D949" i="3" s="1"/>
  <c r="B948" i="3"/>
  <c r="H949" i="3" l="1"/>
  <c r="I949" i="3"/>
  <c r="L948" i="3"/>
  <c r="O947" i="3"/>
  <c r="P947" i="3" s="1"/>
  <c r="F948" i="3"/>
  <c r="G948" i="3" s="1"/>
  <c r="C949" i="3"/>
  <c r="J948" i="3"/>
  <c r="K948" i="3" s="1"/>
  <c r="M948" i="3"/>
  <c r="N948" i="3" s="1"/>
  <c r="Q946" i="3"/>
  <c r="E949" i="3"/>
  <c r="A950" i="3"/>
  <c r="D950" i="3" s="1"/>
  <c r="B949" i="3"/>
  <c r="H950" i="3" l="1"/>
  <c r="I950" i="3"/>
  <c r="F949" i="3"/>
  <c r="G949" i="3" s="1"/>
  <c r="O948" i="3"/>
  <c r="P948" i="3" s="1"/>
  <c r="L949" i="3"/>
  <c r="C950" i="3"/>
  <c r="J949" i="3"/>
  <c r="K949" i="3" s="1"/>
  <c r="M949" i="3"/>
  <c r="N949" i="3" s="1"/>
  <c r="Q947" i="3"/>
  <c r="E950" i="3"/>
  <c r="A951" i="3"/>
  <c r="D951" i="3" s="1"/>
  <c r="B950" i="3"/>
  <c r="H951" i="3" l="1"/>
  <c r="I951" i="3"/>
  <c r="L950" i="3"/>
  <c r="F950" i="3"/>
  <c r="G950" i="3" s="1"/>
  <c r="O949" i="3"/>
  <c r="P949" i="3" s="1"/>
  <c r="C951" i="3"/>
  <c r="J950" i="3"/>
  <c r="K950" i="3" s="1"/>
  <c r="M950" i="3"/>
  <c r="N950" i="3" s="1"/>
  <c r="Q948" i="3"/>
  <c r="E951" i="3"/>
  <c r="A952" i="3"/>
  <c r="D952" i="3" s="1"/>
  <c r="B951" i="3"/>
  <c r="H952" i="3" l="1"/>
  <c r="I952" i="3"/>
  <c r="F951" i="3"/>
  <c r="G951" i="3" s="1"/>
  <c r="L951" i="3"/>
  <c r="O950" i="3"/>
  <c r="P950" i="3" s="1"/>
  <c r="C952" i="3"/>
  <c r="J951" i="3"/>
  <c r="K951" i="3" s="1"/>
  <c r="M951" i="3"/>
  <c r="N951" i="3" s="1"/>
  <c r="Q949" i="3"/>
  <c r="E952" i="3"/>
  <c r="A953" i="3"/>
  <c r="D953" i="3" s="1"/>
  <c r="B952" i="3"/>
  <c r="H953" i="3" l="1"/>
  <c r="I953" i="3"/>
  <c r="F952" i="3"/>
  <c r="G952" i="3" s="1"/>
  <c r="O951" i="3"/>
  <c r="P951" i="3" s="1"/>
  <c r="L952" i="3"/>
  <c r="J952" i="3"/>
  <c r="K952" i="3" s="1"/>
  <c r="M952" i="3"/>
  <c r="N952" i="3" s="1"/>
  <c r="C953" i="3"/>
  <c r="Q950" i="3"/>
  <c r="E953" i="3"/>
  <c r="A954" i="3"/>
  <c r="D954" i="3" s="1"/>
  <c r="B953" i="3"/>
  <c r="H954" i="3" l="1"/>
  <c r="I954" i="3"/>
  <c r="F953" i="3"/>
  <c r="G953" i="3" s="1"/>
  <c r="O952" i="3"/>
  <c r="P952" i="3" s="1"/>
  <c r="L953" i="3"/>
  <c r="C954" i="3"/>
  <c r="J953" i="3"/>
  <c r="K953" i="3" s="1"/>
  <c r="M953" i="3"/>
  <c r="N953" i="3" s="1"/>
  <c r="Q951" i="3"/>
  <c r="E954" i="3"/>
  <c r="A955" i="3"/>
  <c r="D955" i="3" s="1"/>
  <c r="B954" i="3"/>
  <c r="H955" i="3" l="1"/>
  <c r="I955" i="3"/>
  <c r="F954" i="3"/>
  <c r="G954" i="3" s="1"/>
  <c r="O953" i="3"/>
  <c r="P953" i="3" s="1"/>
  <c r="L954" i="3"/>
  <c r="J954" i="3"/>
  <c r="K954" i="3" s="1"/>
  <c r="M954" i="3"/>
  <c r="N954" i="3" s="1"/>
  <c r="C955" i="3"/>
  <c r="Q952" i="3"/>
  <c r="E955" i="3"/>
  <c r="A956" i="3"/>
  <c r="D956" i="3" s="1"/>
  <c r="B955" i="3"/>
  <c r="H956" i="3" l="1"/>
  <c r="I956" i="3"/>
  <c r="L955" i="3"/>
  <c r="F955" i="3"/>
  <c r="G955" i="3" s="1"/>
  <c r="O954" i="3"/>
  <c r="P954" i="3" s="1"/>
  <c r="J955" i="3"/>
  <c r="K955" i="3" s="1"/>
  <c r="M955" i="3"/>
  <c r="N955" i="3" s="1"/>
  <c r="C956" i="3"/>
  <c r="Q953" i="3"/>
  <c r="E956" i="3"/>
  <c r="A957" i="3"/>
  <c r="D957" i="3" s="1"/>
  <c r="B956" i="3"/>
  <c r="H957" i="3" l="1"/>
  <c r="I957" i="3"/>
  <c r="L956" i="3"/>
  <c r="F956" i="3"/>
  <c r="G956" i="3" s="1"/>
  <c r="O955" i="3"/>
  <c r="P955" i="3" s="1"/>
  <c r="J956" i="3"/>
  <c r="K956" i="3" s="1"/>
  <c r="M956" i="3"/>
  <c r="N956" i="3" s="1"/>
  <c r="C957" i="3"/>
  <c r="Q954" i="3"/>
  <c r="E957" i="3"/>
  <c r="A958" i="3"/>
  <c r="D958" i="3" s="1"/>
  <c r="B957" i="3"/>
  <c r="H958" i="3" l="1"/>
  <c r="I958" i="3"/>
  <c r="F957" i="3"/>
  <c r="G957" i="3" s="1"/>
  <c r="L957" i="3"/>
  <c r="O956" i="3"/>
  <c r="P956" i="3" s="1"/>
  <c r="J957" i="3"/>
  <c r="K957" i="3" s="1"/>
  <c r="M957" i="3"/>
  <c r="N957" i="3" s="1"/>
  <c r="C958" i="3"/>
  <c r="Q955" i="3"/>
  <c r="E958" i="3"/>
  <c r="A959" i="3"/>
  <c r="D959" i="3" s="1"/>
  <c r="B958" i="3"/>
  <c r="I959" i="3" l="1"/>
  <c r="H959" i="3"/>
  <c r="F958" i="3"/>
  <c r="G958" i="3" s="1"/>
  <c r="L958" i="3"/>
  <c r="O957" i="3"/>
  <c r="P957" i="3" s="1"/>
  <c r="C959" i="3"/>
  <c r="J958" i="3"/>
  <c r="K958" i="3" s="1"/>
  <c r="M958" i="3"/>
  <c r="N958" i="3" s="1"/>
  <c r="Q956" i="3"/>
  <c r="E959" i="3"/>
  <c r="A960" i="3"/>
  <c r="D960" i="3" s="1"/>
  <c r="B959" i="3"/>
  <c r="H960" i="3" l="1"/>
  <c r="I960" i="3"/>
  <c r="F959" i="3"/>
  <c r="G959" i="3" s="1"/>
  <c r="L959" i="3"/>
  <c r="O958" i="3"/>
  <c r="P958" i="3" s="1"/>
  <c r="C960" i="3"/>
  <c r="J959" i="3"/>
  <c r="K959" i="3" s="1"/>
  <c r="M959" i="3"/>
  <c r="N959" i="3" s="1"/>
  <c r="Q957" i="3"/>
  <c r="E960" i="3"/>
  <c r="A961" i="3"/>
  <c r="D961" i="3" s="1"/>
  <c r="B960" i="3"/>
  <c r="H961" i="3" l="1"/>
  <c r="I961" i="3"/>
  <c r="F960" i="3"/>
  <c r="G960" i="3" s="1"/>
  <c r="O959" i="3"/>
  <c r="P959" i="3" s="1"/>
  <c r="L960" i="3"/>
  <c r="C961" i="3"/>
  <c r="J960" i="3"/>
  <c r="K960" i="3" s="1"/>
  <c r="M960" i="3"/>
  <c r="N960" i="3" s="1"/>
  <c r="Q958" i="3"/>
  <c r="E961" i="3"/>
  <c r="A962" i="3"/>
  <c r="D962" i="3" s="1"/>
  <c r="B961" i="3"/>
  <c r="H962" i="3" l="1"/>
  <c r="I962" i="3"/>
  <c r="F961" i="3"/>
  <c r="G961" i="3" s="1"/>
  <c r="L961" i="3"/>
  <c r="O960" i="3"/>
  <c r="P960" i="3" s="1"/>
  <c r="J961" i="3"/>
  <c r="K961" i="3" s="1"/>
  <c r="M961" i="3"/>
  <c r="N961" i="3" s="1"/>
  <c r="C962" i="3"/>
  <c r="Q959" i="3"/>
  <c r="E962" i="3"/>
  <c r="A963" i="3"/>
  <c r="D963" i="3" s="1"/>
  <c r="B962" i="3"/>
  <c r="H963" i="3" l="1"/>
  <c r="I963" i="3"/>
  <c r="F962" i="3"/>
  <c r="G962" i="3" s="1"/>
  <c r="O961" i="3"/>
  <c r="P961" i="3" s="1"/>
  <c r="L962" i="3"/>
  <c r="J962" i="3"/>
  <c r="K962" i="3" s="1"/>
  <c r="M962" i="3"/>
  <c r="N962" i="3" s="1"/>
  <c r="C963" i="3"/>
  <c r="Q960" i="3"/>
  <c r="E963" i="3"/>
  <c r="A964" i="3"/>
  <c r="D964" i="3" s="1"/>
  <c r="B963" i="3"/>
  <c r="H964" i="3" l="1"/>
  <c r="I964" i="3"/>
  <c r="F963" i="3"/>
  <c r="G963" i="3" s="1"/>
  <c r="O962" i="3"/>
  <c r="P962" i="3" s="1"/>
  <c r="L963" i="3"/>
  <c r="C964" i="3"/>
  <c r="J963" i="3"/>
  <c r="K963" i="3" s="1"/>
  <c r="M963" i="3"/>
  <c r="N963" i="3" s="1"/>
  <c r="Q961" i="3"/>
  <c r="E964" i="3"/>
  <c r="A965" i="3"/>
  <c r="D965" i="3" s="1"/>
  <c r="B964" i="3"/>
  <c r="H965" i="3" l="1"/>
  <c r="I965" i="3"/>
  <c r="F964" i="3"/>
  <c r="G964" i="3" s="1"/>
  <c r="L964" i="3"/>
  <c r="O963" i="3"/>
  <c r="P963" i="3" s="1"/>
  <c r="C965" i="3"/>
  <c r="J964" i="3"/>
  <c r="K964" i="3" s="1"/>
  <c r="M964" i="3"/>
  <c r="N964" i="3" s="1"/>
  <c r="Q962" i="3"/>
  <c r="E965" i="3"/>
  <c r="A966" i="3"/>
  <c r="D966" i="3" s="1"/>
  <c r="B965" i="3"/>
  <c r="H966" i="3" l="1"/>
  <c r="I966" i="3"/>
  <c r="F965" i="3"/>
  <c r="G965" i="3" s="1"/>
  <c r="L965" i="3"/>
  <c r="O964" i="3"/>
  <c r="P964" i="3" s="1"/>
  <c r="J965" i="3"/>
  <c r="K965" i="3" s="1"/>
  <c r="M965" i="3"/>
  <c r="N965" i="3" s="1"/>
  <c r="C966" i="3"/>
  <c r="Q963" i="3"/>
  <c r="E966" i="3"/>
  <c r="A967" i="3"/>
  <c r="D967" i="3" s="1"/>
  <c r="B966" i="3"/>
  <c r="H967" i="3" l="1"/>
  <c r="M967" i="3" s="1"/>
  <c r="N967" i="3" s="1"/>
  <c r="I967" i="3"/>
  <c r="F966" i="3"/>
  <c r="G966" i="3" s="1"/>
  <c r="L966" i="3"/>
  <c r="O965" i="3"/>
  <c r="P965" i="3" s="1"/>
  <c r="C967" i="3"/>
  <c r="J966" i="3"/>
  <c r="K966" i="3" s="1"/>
  <c r="M966" i="3"/>
  <c r="N966" i="3" s="1"/>
  <c r="Q964" i="3"/>
  <c r="E967" i="3"/>
  <c r="A968" i="3"/>
  <c r="D968" i="3" s="1"/>
  <c r="B967" i="3"/>
  <c r="H968" i="3" l="1"/>
  <c r="I968" i="3"/>
  <c r="F967" i="3"/>
  <c r="G967" i="3" s="1"/>
  <c r="O966" i="3"/>
  <c r="P966" i="3" s="1"/>
  <c r="J967" i="3"/>
  <c r="K967" i="3" s="1"/>
  <c r="O967" i="3" s="1"/>
  <c r="L967" i="3"/>
  <c r="C968" i="3"/>
  <c r="Q965" i="3"/>
  <c r="E968" i="3"/>
  <c r="A969" i="3"/>
  <c r="D969" i="3" s="1"/>
  <c r="B968" i="3"/>
  <c r="H969" i="3" l="1"/>
  <c r="I969" i="3"/>
  <c r="F968" i="3"/>
  <c r="G968" i="3" s="1"/>
  <c r="L968" i="3"/>
  <c r="C969" i="3"/>
  <c r="J968" i="3"/>
  <c r="K968" i="3" s="1"/>
  <c r="M968" i="3"/>
  <c r="N968" i="3" s="1"/>
  <c r="Q966" i="3"/>
  <c r="P967" i="3"/>
  <c r="E969" i="3"/>
  <c r="A970" i="3"/>
  <c r="D970" i="3" s="1"/>
  <c r="B969" i="3"/>
  <c r="H970" i="3" l="1"/>
  <c r="I970" i="3"/>
  <c r="L969" i="3"/>
  <c r="F969" i="3"/>
  <c r="G969" i="3" s="1"/>
  <c r="O968" i="3"/>
  <c r="P968" i="3" s="1"/>
  <c r="J969" i="3"/>
  <c r="K969" i="3" s="1"/>
  <c r="M969" i="3"/>
  <c r="N969" i="3" s="1"/>
  <c r="C970" i="3"/>
  <c r="Q967" i="3"/>
  <c r="E970" i="3"/>
  <c r="A971" i="3"/>
  <c r="D971" i="3" s="1"/>
  <c r="B970" i="3"/>
  <c r="H971" i="3" l="1"/>
  <c r="I971" i="3"/>
  <c r="F970" i="3"/>
  <c r="G970" i="3" s="1"/>
  <c r="O969" i="3"/>
  <c r="P969" i="3" s="1"/>
  <c r="L970" i="3"/>
  <c r="J970" i="3"/>
  <c r="K970" i="3" s="1"/>
  <c r="M970" i="3"/>
  <c r="N970" i="3" s="1"/>
  <c r="C971" i="3"/>
  <c r="Q968" i="3"/>
  <c r="E971" i="3"/>
  <c r="A972" i="3"/>
  <c r="D972" i="3" s="1"/>
  <c r="B971" i="3"/>
  <c r="H972" i="3" l="1"/>
  <c r="I972" i="3"/>
  <c r="F971" i="3"/>
  <c r="G971" i="3" s="1"/>
  <c r="L971" i="3"/>
  <c r="O970" i="3"/>
  <c r="P970" i="3" s="1"/>
  <c r="J971" i="3"/>
  <c r="K971" i="3" s="1"/>
  <c r="M971" i="3"/>
  <c r="N971" i="3" s="1"/>
  <c r="C972" i="3"/>
  <c r="Q969" i="3"/>
  <c r="E972" i="3"/>
  <c r="A973" i="3"/>
  <c r="D973" i="3" s="1"/>
  <c r="B972" i="3"/>
  <c r="H973" i="3" l="1"/>
  <c r="I973" i="3"/>
  <c r="L972" i="3"/>
  <c r="F972" i="3"/>
  <c r="G972" i="3" s="1"/>
  <c r="O971" i="3"/>
  <c r="P971" i="3" s="1"/>
  <c r="J972" i="3"/>
  <c r="K972" i="3" s="1"/>
  <c r="M972" i="3"/>
  <c r="N972" i="3" s="1"/>
  <c r="C973" i="3"/>
  <c r="Q970" i="3"/>
  <c r="E973" i="3"/>
  <c r="A974" i="3"/>
  <c r="D974" i="3" s="1"/>
  <c r="B973" i="3"/>
  <c r="H974" i="3" l="1"/>
  <c r="I974" i="3"/>
  <c r="L973" i="3"/>
  <c r="F973" i="3"/>
  <c r="G973" i="3" s="1"/>
  <c r="O972" i="3"/>
  <c r="P972" i="3" s="1"/>
  <c r="J973" i="3"/>
  <c r="K973" i="3" s="1"/>
  <c r="M973" i="3"/>
  <c r="N973" i="3" s="1"/>
  <c r="C974" i="3"/>
  <c r="Q971" i="3"/>
  <c r="E974" i="3"/>
  <c r="A975" i="3"/>
  <c r="D975" i="3" s="1"/>
  <c r="B974" i="3"/>
  <c r="H975" i="3" l="1"/>
  <c r="I975" i="3"/>
  <c r="O973" i="3"/>
  <c r="P973" i="3" s="1"/>
  <c r="F974" i="3"/>
  <c r="G974" i="3" s="1"/>
  <c r="L974" i="3"/>
  <c r="J974" i="3"/>
  <c r="K974" i="3" s="1"/>
  <c r="M974" i="3"/>
  <c r="N974" i="3" s="1"/>
  <c r="C975" i="3"/>
  <c r="Q972" i="3"/>
  <c r="E975" i="3"/>
  <c r="A976" i="3"/>
  <c r="D976" i="3" s="1"/>
  <c r="B975" i="3"/>
  <c r="H976" i="3" l="1"/>
  <c r="I976" i="3"/>
  <c r="F975" i="3"/>
  <c r="G975" i="3" s="1"/>
  <c r="L975" i="3"/>
  <c r="O974" i="3"/>
  <c r="P974" i="3" s="1"/>
  <c r="C976" i="3"/>
  <c r="J975" i="3"/>
  <c r="K975" i="3" s="1"/>
  <c r="M975" i="3"/>
  <c r="N975" i="3" s="1"/>
  <c r="Q973" i="3"/>
  <c r="E976" i="3"/>
  <c r="A977" i="3"/>
  <c r="D977" i="3" s="1"/>
  <c r="B976" i="3"/>
  <c r="I977" i="3" l="1"/>
  <c r="H977" i="3"/>
  <c r="F976" i="3"/>
  <c r="G976" i="3" s="1"/>
  <c r="O975" i="3"/>
  <c r="P975" i="3" s="1"/>
  <c r="J976" i="3"/>
  <c r="K976" i="3" s="1"/>
  <c r="M976" i="3"/>
  <c r="N976" i="3" s="1"/>
  <c r="L976" i="3"/>
  <c r="C977" i="3"/>
  <c r="Q974" i="3"/>
  <c r="E977" i="3"/>
  <c r="A978" i="3"/>
  <c r="D978" i="3" s="1"/>
  <c r="B977" i="3"/>
  <c r="H978" i="3" l="1"/>
  <c r="I978" i="3"/>
  <c r="O976" i="3"/>
  <c r="P976" i="3" s="1"/>
  <c r="F977" i="3"/>
  <c r="G977" i="3" s="1"/>
  <c r="L977" i="3"/>
  <c r="C978" i="3"/>
  <c r="J977" i="3"/>
  <c r="K977" i="3" s="1"/>
  <c r="M977" i="3"/>
  <c r="N977" i="3" s="1"/>
  <c r="Q975" i="3"/>
  <c r="E978" i="3"/>
  <c r="A979" i="3"/>
  <c r="D979" i="3" s="1"/>
  <c r="B978" i="3"/>
  <c r="H979" i="3" l="1"/>
  <c r="I979" i="3"/>
  <c r="F978" i="3"/>
  <c r="G978" i="3" s="1"/>
  <c r="O977" i="3"/>
  <c r="P977" i="3" s="1"/>
  <c r="L978" i="3"/>
  <c r="C979" i="3"/>
  <c r="J978" i="3"/>
  <c r="K978" i="3" s="1"/>
  <c r="M978" i="3"/>
  <c r="N978" i="3" s="1"/>
  <c r="Q976" i="3"/>
  <c r="E979" i="3"/>
  <c r="A980" i="3"/>
  <c r="D980" i="3" s="1"/>
  <c r="B979" i="3"/>
  <c r="H980" i="3" l="1"/>
  <c r="I980" i="3"/>
  <c r="F979" i="3"/>
  <c r="G979" i="3" s="1"/>
  <c r="O978" i="3"/>
  <c r="P978" i="3" s="1"/>
  <c r="L979" i="3"/>
  <c r="J979" i="3"/>
  <c r="K979" i="3" s="1"/>
  <c r="M979" i="3"/>
  <c r="N979" i="3" s="1"/>
  <c r="C980" i="3"/>
  <c r="Q977" i="3"/>
  <c r="E980" i="3"/>
  <c r="A981" i="3"/>
  <c r="D981" i="3" s="1"/>
  <c r="B980" i="3"/>
  <c r="H981" i="3" l="1"/>
  <c r="I981" i="3"/>
  <c r="L980" i="3"/>
  <c r="F980" i="3"/>
  <c r="G980" i="3" s="1"/>
  <c r="O979" i="3"/>
  <c r="P979" i="3" s="1"/>
  <c r="C981" i="3"/>
  <c r="J980" i="3"/>
  <c r="K980" i="3" s="1"/>
  <c r="M980" i="3"/>
  <c r="N980" i="3" s="1"/>
  <c r="Q978" i="3"/>
  <c r="E981" i="3"/>
  <c r="A982" i="3"/>
  <c r="D982" i="3" s="1"/>
  <c r="B981" i="3"/>
  <c r="H982" i="3" l="1"/>
  <c r="I982" i="3"/>
  <c r="F981" i="3"/>
  <c r="G981" i="3" s="1"/>
  <c r="L981" i="3"/>
  <c r="O980" i="3"/>
  <c r="P980" i="3" s="1"/>
  <c r="J981" i="3"/>
  <c r="K981" i="3" s="1"/>
  <c r="M981" i="3"/>
  <c r="N981" i="3" s="1"/>
  <c r="C982" i="3"/>
  <c r="Q979" i="3"/>
  <c r="E982" i="3"/>
  <c r="A983" i="3"/>
  <c r="D983" i="3" s="1"/>
  <c r="B982" i="3"/>
  <c r="I983" i="3" l="1"/>
  <c r="H983" i="3"/>
  <c r="L982" i="3"/>
  <c r="F982" i="3"/>
  <c r="G982" i="3" s="1"/>
  <c r="O981" i="3"/>
  <c r="P981" i="3" s="1"/>
  <c r="J982" i="3"/>
  <c r="K982" i="3" s="1"/>
  <c r="M982" i="3"/>
  <c r="N982" i="3" s="1"/>
  <c r="C983" i="3"/>
  <c r="Q980" i="3"/>
  <c r="E983" i="3"/>
  <c r="A984" i="3"/>
  <c r="D984" i="3" s="1"/>
  <c r="B983" i="3"/>
  <c r="H984" i="3" l="1"/>
  <c r="I984" i="3"/>
  <c r="L983" i="3"/>
  <c r="F983" i="3"/>
  <c r="G983" i="3" s="1"/>
  <c r="O982" i="3"/>
  <c r="P982" i="3" s="1"/>
  <c r="J983" i="3"/>
  <c r="K983" i="3" s="1"/>
  <c r="M983" i="3"/>
  <c r="N983" i="3" s="1"/>
  <c r="C984" i="3"/>
  <c r="Q981" i="3"/>
  <c r="E984" i="3"/>
  <c r="A985" i="3"/>
  <c r="D985" i="3" s="1"/>
  <c r="B984" i="3"/>
  <c r="H985" i="3" l="1"/>
  <c r="I985" i="3"/>
  <c r="F984" i="3"/>
  <c r="G984" i="3" s="1"/>
  <c r="O983" i="3"/>
  <c r="P983" i="3" s="1"/>
  <c r="L984" i="3"/>
  <c r="J984" i="3"/>
  <c r="K984" i="3" s="1"/>
  <c r="M984" i="3"/>
  <c r="N984" i="3" s="1"/>
  <c r="C985" i="3"/>
  <c r="Q982" i="3"/>
  <c r="E985" i="3"/>
  <c r="A986" i="3"/>
  <c r="D986" i="3" s="1"/>
  <c r="B985" i="3"/>
  <c r="H986" i="3" l="1"/>
  <c r="I986" i="3"/>
  <c r="F985" i="3"/>
  <c r="G985" i="3" s="1"/>
  <c r="L985" i="3"/>
  <c r="O984" i="3"/>
  <c r="P984" i="3" s="1"/>
  <c r="J985" i="3"/>
  <c r="K985" i="3" s="1"/>
  <c r="M985" i="3"/>
  <c r="N985" i="3" s="1"/>
  <c r="C986" i="3"/>
  <c r="Q983" i="3"/>
  <c r="E986" i="3"/>
  <c r="A987" i="3"/>
  <c r="D987" i="3" s="1"/>
  <c r="B986" i="3"/>
  <c r="H987" i="3" l="1"/>
  <c r="I987" i="3"/>
  <c r="F986" i="3"/>
  <c r="G986" i="3" s="1"/>
  <c r="O985" i="3"/>
  <c r="P985" i="3" s="1"/>
  <c r="L986" i="3"/>
  <c r="J986" i="3"/>
  <c r="K986" i="3" s="1"/>
  <c r="M986" i="3"/>
  <c r="N986" i="3" s="1"/>
  <c r="C987" i="3"/>
  <c r="Q984" i="3"/>
  <c r="E987" i="3"/>
  <c r="A988" i="3"/>
  <c r="D988" i="3" s="1"/>
  <c r="B987" i="3"/>
  <c r="H988" i="3" l="1"/>
  <c r="I988" i="3"/>
  <c r="F987" i="3"/>
  <c r="G987" i="3" s="1"/>
  <c r="L987" i="3"/>
  <c r="O986" i="3"/>
  <c r="P986" i="3" s="1"/>
  <c r="J987" i="3"/>
  <c r="K987" i="3" s="1"/>
  <c r="M987" i="3"/>
  <c r="N987" i="3" s="1"/>
  <c r="C988" i="3"/>
  <c r="Q985" i="3"/>
  <c r="E988" i="3"/>
  <c r="A989" i="3"/>
  <c r="D989" i="3" s="1"/>
  <c r="B988" i="3"/>
  <c r="H989" i="3" l="1"/>
  <c r="I989" i="3"/>
  <c r="F988" i="3"/>
  <c r="G988" i="3" s="1"/>
  <c r="L988" i="3"/>
  <c r="O987" i="3"/>
  <c r="P987" i="3" s="1"/>
  <c r="J988" i="3"/>
  <c r="K988" i="3" s="1"/>
  <c r="M988" i="3"/>
  <c r="N988" i="3" s="1"/>
  <c r="C989" i="3"/>
  <c r="Q986" i="3"/>
  <c r="E989" i="3"/>
  <c r="A990" i="3"/>
  <c r="D990" i="3" s="1"/>
  <c r="B989" i="3"/>
  <c r="H990" i="3" l="1"/>
  <c r="I990" i="3"/>
  <c r="F989" i="3"/>
  <c r="G989" i="3" s="1"/>
  <c r="L989" i="3"/>
  <c r="O988" i="3"/>
  <c r="P988" i="3" s="1"/>
  <c r="J989" i="3"/>
  <c r="K989" i="3" s="1"/>
  <c r="M989" i="3"/>
  <c r="N989" i="3" s="1"/>
  <c r="C990" i="3"/>
  <c r="Q987" i="3"/>
  <c r="E990" i="3"/>
  <c r="A991" i="3"/>
  <c r="D991" i="3" s="1"/>
  <c r="B990" i="3"/>
  <c r="H991" i="3" l="1"/>
  <c r="I991" i="3"/>
  <c r="F990" i="3"/>
  <c r="G990" i="3" s="1"/>
  <c r="L990" i="3"/>
  <c r="O989" i="3"/>
  <c r="P989" i="3" s="1"/>
  <c r="J990" i="3"/>
  <c r="K990" i="3" s="1"/>
  <c r="M990" i="3"/>
  <c r="N990" i="3" s="1"/>
  <c r="C991" i="3"/>
  <c r="Q988" i="3"/>
  <c r="E991" i="3"/>
  <c r="A992" i="3"/>
  <c r="D992" i="3" s="1"/>
  <c r="B991" i="3"/>
  <c r="H992" i="3" l="1"/>
  <c r="I992" i="3"/>
  <c r="F991" i="3"/>
  <c r="G991" i="3" s="1"/>
  <c r="L991" i="3"/>
  <c r="O990" i="3"/>
  <c r="P990" i="3" s="1"/>
  <c r="J991" i="3"/>
  <c r="K991" i="3" s="1"/>
  <c r="M991" i="3"/>
  <c r="N991" i="3" s="1"/>
  <c r="C992" i="3"/>
  <c r="Q989" i="3"/>
  <c r="E992" i="3"/>
  <c r="A993" i="3"/>
  <c r="D993" i="3" s="1"/>
  <c r="B992" i="3"/>
  <c r="H993" i="3" l="1"/>
  <c r="I993" i="3"/>
  <c r="F992" i="3"/>
  <c r="G992" i="3" s="1"/>
  <c r="L992" i="3"/>
  <c r="O991" i="3"/>
  <c r="P991" i="3" s="1"/>
  <c r="J992" i="3"/>
  <c r="K992" i="3" s="1"/>
  <c r="M992" i="3"/>
  <c r="N992" i="3" s="1"/>
  <c r="C993" i="3"/>
  <c r="Q990" i="3"/>
  <c r="E993" i="3"/>
  <c r="A994" i="3"/>
  <c r="D994" i="3" s="1"/>
  <c r="B993" i="3"/>
  <c r="H994" i="3" l="1"/>
  <c r="I994" i="3"/>
  <c r="F993" i="3"/>
  <c r="G993" i="3" s="1"/>
  <c r="L993" i="3"/>
  <c r="O992" i="3"/>
  <c r="P992" i="3" s="1"/>
  <c r="J993" i="3"/>
  <c r="K993" i="3" s="1"/>
  <c r="M993" i="3"/>
  <c r="N993" i="3" s="1"/>
  <c r="C994" i="3"/>
  <c r="Q991" i="3"/>
  <c r="E994" i="3"/>
  <c r="A995" i="3"/>
  <c r="D995" i="3" s="1"/>
  <c r="B994" i="3"/>
  <c r="H995" i="3" l="1"/>
  <c r="I995" i="3"/>
  <c r="F994" i="3"/>
  <c r="G994" i="3" s="1"/>
  <c r="L994" i="3"/>
  <c r="O993" i="3"/>
  <c r="P993" i="3" s="1"/>
  <c r="J994" i="3"/>
  <c r="K994" i="3" s="1"/>
  <c r="M994" i="3"/>
  <c r="N994" i="3" s="1"/>
  <c r="C995" i="3"/>
  <c r="Q992" i="3"/>
  <c r="E995" i="3"/>
  <c r="A996" i="3"/>
  <c r="D996" i="3" s="1"/>
  <c r="B995" i="3"/>
  <c r="H996" i="3" l="1"/>
  <c r="I996" i="3"/>
  <c r="F995" i="3"/>
  <c r="G995" i="3" s="1"/>
  <c r="L995" i="3"/>
  <c r="O994" i="3"/>
  <c r="P994" i="3" s="1"/>
  <c r="C996" i="3"/>
  <c r="J995" i="3"/>
  <c r="K995" i="3" s="1"/>
  <c r="M995" i="3"/>
  <c r="N995" i="3" s="1"/>
  <c r="Q993" i="3"/>
  <c r="E996" i="3"/>
  <c r="A997" i="3"/>
  <c r="D997" i="3" s="1"/>
  <c r="B996" i="3"/>
  <c r="I997" i="3" l="1"/>
  <c r="H997" i="3"/>
  <c r="F996" i="3"/>
  <c r="G996" i="3" s="1"/>
  <c r="O995" i="3"/>
  <c r="P995" i="3" s="1"/>
  <c r="L996" i="3"/>
  <c r="J996" i="3"/>
  <c r="K996" i="3" s="1"/>
  <c r="M996" i="3"/>
  <c r="N996" i="3" s="1"/>
  <c r="C997" i="3"/>
  <c r="Q994" i="3"/>
  <c r="E997" i="3"/>
  <c r="A998" i="3"/>
  <c r="D998" i="3" s="1"/>
  <c r="B997" i="3"/>
  <c r="H998" i="3" l="1"/>
  <c r="I998" i="3"/>
  <c r="F997" i="3"/>
  <c r="G997" i="3" s="1"/>
  <c r="L997" i="3"/>
  <c r="O996" i="3"/>
  <c r="P996" i="3" s="1"/>
  <c r="C998" i="3"/>
  <c r="J997" i="3"/>
  <c r="K997" i="3" s="1"/>
  <c r="M997" i="3"/>
  <c r="N997" i="3" s="1"/>
  <c r="Q995" i="3"/>
  <c r="E998" i="3"/>
  <c r="A999" i="3"/>
  <c r="D999" i="3" s="1"/>
  <c r="B998" i="3"/>
  <c r="H999" i="3" l="1"/>
  <c r="I999" i="3"/>
  <c r="F998" i="3"/>
  <c r="G998" i="3" s="1"/>
  <c r="L998" i="3"/>
  <c r="O997" i="3"/>
  <c r="P997" i="3" s="1"/>
  <c r="C999" i="3"/>
  <c r="J998" i="3"/>
  <c r="K998" i="3" s="1"/>
  <c r="M998" i="3"/>
  <c r="N998" i="3" s="1"/>
  <c r="Q996" i="3"/>
  <c r="E999" i="3"/>
  <c r="A1000" i="3"/>
  <c r="D1000" i="3" s="1"/>
  <c r="B999" i="3"/>
  <c r="H1000" i="3" l="1"/>
  <c r="I1000" i="3"/>
  <c r="F999" i="3"/>
  <c r="G999" i="3" s="1"/>
  <c r="L999" i="3"/>
  <c r="O998" i="3"/>
  <c r="P998" i="3" s="1"/>
  <c r="J999" i="3"/>
  <c r="K999" i="3" s="1"/>
  <c r="M999" i="3"/>
  <c r="N999" i="3" s="1"/>
  <c r="C1000" i="3"/>
  <c r="Q997" i="3"/>
  <c r="E1000" i="3"/>
  <c r="A1001" i="3"/>
  <c r="D1001" i="3" s="1"/>
  <c r="B1000" i="3"/>
  <c r="H1001" i="3" l="1"/>
  <c r="I1001" i="3"/>
  <c r="F1000" i="3"/>
  <c r="G1000" i="3" s="1"/>
  <c r="O999" i="3"/>
  <c r="P999" i="3" s="1"/>
  <c r="L1000" i="3"/>
  <c r="C1001" i="3"/>
  <c r="J1000" i="3"/>
  <c r="K1000" i="3" s="1"/>
  <c r="M1000" i="3"/>
  <c r="N1000" i="3" s="1"/>
  <c r="Q998" i="3"/>
  <c r="E1001" i="3"/>
  <c r="A1002" i="3"/>
  <c r="D1002" i="3" s="1"/>
  <c r="B1001" i="3"/>
  <c r="H1002" i="3" l="1"/>
  <c r="I1002" i="3"/>
  <c r="F1001" i="3"/>
  <c r="G1001" i="3" s="1"/>
  <c r="L1001" i="3"/>
  <c r="O1000" i="3"/>
  <c r="P1000" i="3" s="1"/>
  <c r="C1002" i="3"/>
  <c r="J1001" i="3"/>
  <c r="K1001" i="3" s="1"/>
  <c r="M1001" i="3"/>
  <c r="N1001" i="3" s="1"/>
  <c r="Q999" i="3"/>
  <c r="E1002" i="3"/>
  <c r="A1003" i="3"/>
  <c r="D1003" i="3" s="1"/>
  <c r="B1002" i="3"/>
  <c r="H1003" i="3" l="1"/>
  <c r="I1003" i="3"/>
  <c r="F1002" i="3"/>
  <c r="G1002" i="3" s="1"/>
  <c r="O1001" i="3"/>
  <c r="P1001" i="3" s="1"/>
  <c r="L1002" i="3"/>
  <c r="C1003" i="3"/>
  <c r="J1002" i="3"/>
  <c r="K1002" i="3" s="1"/>
  <c r="M1002" i="3"/>
  <c r="N1002" i="3" s="1"/>
  <c r="Q1000" i="3"/>
  <c r="E1003" i="3"/>
  <c r="A1004" i="3"/>
  <c r="D1004" i="3" s="1"/>
  <c r="B1003" i="3"/>
  <c r="I1004" i="3" l="1"/>
  <c r="H1004" i="3"/>
  <c r="F1003" i="3"/>
  <c r="G1003" i="3" s="1"/>
  <c r="L1003" i="3"/>
  <c r="O1002" i="3"/>
  <c r="P1002" i="3" s="1"/>
  <c r="C1004" i="3"/>
  <c r="J1003" i="3"/>
  <c r="K1003" i="3" s="1"/>
  <c r="M1003" i="3"/>
  <c r="N1003" i="3" s="1"/>
  <c r="Q1001" i="3"/>
  <c r="E1004" i="3"/>
  <c r="A1005" i="3"/>
  <c r="D1005" i="3" s="1"/>
  <c r="B1004" i="3"/>
  <c r="H1005" i="3" l="1"/>
  <c r="I1005" i="3"/>
  <c r="F1004" i="3"/>
  <c r="G1004" i="3" s="1"/>
  <c r="O1003" i="3"/>
  <c r="P1003" i="3" s="1"/>
  <c r="L1004" i="3"/>
  <c r="C1005" i="3"/>
  <c r="J1004" i="3"/>
  <c r="K1004" i="3" s="1"/>
  <c r="M1004" i="3"/>
  <c r="N1004" i="3" s="1"/>
  <c r="Q1002" i="3"/>
  <c r="E1005" i="3"/>
  <c r="A1006" i="3"/>
  <c r="D1006" i="3" s="1"/>
  <c r="B1005" i="3"/>
  <c r="H1006" i="3" l="1"/>
  <c r="I1006" i="3"/>
  <c r="F1005" i="3"/>
  <c r="G1005" i="3" s="1"/>
  <c r="O1004" i="3"/>
  <c r="P1004" i="3" s="1"/>
  <c r="L1005" i="3"/>
  <c r="C1006" i="3"/>
  <c r="J1005" i="3"/>
  <c r="K1005" i="3" s="1"/>
  <c r="M1005" i="3"/>
  <c r="N1005" i="3" s="1"/>
  <c r="Q1003" i="3"/>
  <c r="E1006" i="3"/>
  <c r="A1007" i="3"/>
  <c r="D1007" i="3" s="1"/>
  <c r="B1006" i="3"/>
  <c r="H1007" i="3" l="1"/>
  <c r="I1007" i="3"/>
  <c r="F1006" i="3"/>
  <c r="G1006" i="3" s="1"/>
  <c r="O1005" i="3"/>
  <c r="P1005" i="3" s="1"/>
  <c r="L1006" i="3"/>
  <c r="C1007" i="3"/>
  <c r="J1006" i="3"/>
  <c r="K1006" i="3" s="1"/>
  <c r="M1006" i="3"/>
  <c r="N1006" i="3" s="1"/>
  <c r="Q1004" i="3"/>
  <c r="E1007" i="3"/>
  <c r="A1008" i="3"/>
  <c r="D1008" i="3" s="1"/>
  <c r="B1007" i="3"/>
  <c r="H1008" i="3" l="1"/>
  <c r="I1008" i="3"/>
  <c r="L1007" i="3"/>
  <c r="F1007" i="3"/>
  <c r="G1007" i="3" s="1"/>
  <c r="O1006" i="3"/>
  <c r="P1006" i="3" s="1"/>
  <c r="J1007" i="3"/>
  <c r="K1007" i="3" s="1"/>
  <c r="M1007" i="3"/>
  <c r="N1007" i="3" s="1"/>
  <c r="C1008" i="3"/>
  <c r="Q1005" i="3"/>
  <c r="E1008" i="3"/>
  <c r="A1009" i="3"/>
  <c r="D1009" i="3" s="1"/>
  <c r="B1008" i="3"/>
  <c r="H1009" i="3" l="1"/>
  <c r="I1009" i="3"/>
  <c r="F1008" i="3"/>
  <c r="G1008" i="3" s="1"/>
  <c r="O1007" i="3"/>
  <c r="P1007" i="3" s="1"/>
  <c r="L1008" i="3"/>
  <c r="C1009" i="3"/>
  <c r="J1008" i="3"/>
  <c r="K1008" i="3" s="1"/>
  <c r="M1008" i="3"/>
  <c r="N1008" i="3" s="1"/>
  <c r="Q1006" i="3"/>
  <c r="E1009" i="3"/>
  <c r="A1010" i="3"/>
  <c r="D1010" i="3" s="1"/>
  <c r="B1009" i="3"/>
  <c r="H1010" i="3" l="1"/>
  <c r="I1010" i="3"/>
  <c r="F1009" i="3"/>
  <c r="G1009" i="3" s="1"/>
  <c r="L1009" i="3"/>
  <c r="O1008" i="3"/>
  <c r="P1008" i="3" s="1"/>
  <c r="J1009" i="3"/>
  <c r="K1009" i="3" s="1"/>
  <c r="M1009" i="3"/>
  <c r="N1009" i="3" s="1"/>
  <c r="C1010" i="3"/>
  <c r="Q1007" i="3"/>
  <c r="E1010" i="3"/>
  <c r="A1011" i="3"/>
  <c r="D1011" i="3" s="1"/>
  <c r="B1010" i="3"/>
  <c r="H1011" i="3" l="1"/>
  <c r="M1011" i="3" s="1"/>
  <c r="N1011" i="3" s="1"/>
  <c r="I1011" i="3"/>
  <c r="F1010" i="3"/>
  <c r="G1010" i="3" s="1"/>
  <c r="L1010" i="3"/>
  <c r="O1009" i="3"/>
  <c r="P1009" i="3" s="1"/>
  <c r="J1010" i="3"/>
  <c r="K1010" i="3" s="1"/>
  <c r="M1010" i="3"/>
  <c r="N1010" i="3" s="1"/>
  <c r="C1011" i="3"/>
  <c r="Q1008" i="3"/>
  <c r="E1011" i="3"/>
  <c r="A1012" i="3"/>
  <c r="D1012" i="3" s="1"/>
  <c r="B1011" i="3"/>
  <c r="H1012" i="3" l="1"/>
  <c r="I1012" i="3"/>
  <c r="F1011" i="3"/>
  <c r="G1011" i="3" s="1"/>
  <c r="L1011" i="3"/>
  <c r="J1011" i="3"/>
  <c r="K1011" i="3" s="1"/>
  <c r="O1011" i="3" s="1"/>
  <c r="O1010" i="3"/>
  <c r="P1010" i="3" s="1"/>
  <c r="C1012" i="3"/>
  <c r="Q1009" i="3"/>
  <c r="E1012" i="3"/>
  <c r="A1013" i="3"/>
  <c r="D1013" i="3" s="1"/>
  <c r="B1012" i="3"/>
  <c r="H1013" i="3" l="1"/>
  <c r="I1013" i="3"/>
  <c r="F1012" i="3"/>
  <c r="G1012" i="3" s="1"/>
  <c r="J1012" i="3"/>
  <c r="K1012" i="3" s="1"/>
  <c r="M1012" i="3"/>
  <c r="N1012" i="3" s="1"/>
  <c r="C1013" i="3"/>
  <c r="L1012" i="3"/>
  <c r="Q1010" i="3"/>
  <c r="P1011" i="3"/>
  <c r="E1013" i="3"/>
  <c r="A1014" i="3"/>
  <c r="D1014" i="3" s="1"/>
  <c r="B1013" i="3"/>
  <c r="H1014" i="3" l="1"/>
  <c r="I1014" i="3"/>
  <c r="F1013" i="3"/>
  <c r="G1013" i="3" s="1"/>
  <c r="L1013" i="3"/>
  <c r="O1012" i="3"/>
  <c r="P1012" i="3" s="1"/>
  <c r="J1013" i="3"/>
  <c r="K1013" i="3" s="1"/>
  <c r="M1013" i="3"/>
  <c r="N1013" i="3" s="1"/>
  <c r="C1014" i="3"/>
  <c r="Q1011" i="3"/>
  <c r="E1014" i="3"/>
  <c r="A1015" i="3"/>
  <c r="D1015" i="3" s="1"/>
  <c r="B1014" i="3"/>
  <c r="H1015" i="3" l="1"/>
  <c r="I1015" i="3"/>
  <c r="F1014" i="3"/>
  <c r="G1014" i="3" s="1"/>
  <c r="L1014" i="3"/>
  <c r="O1013" i="3"/>
  <c r="P1013" i="3" s="1"/>
  <c r="J1014" i="3"/>
  <c r="K1014" i="3" s="1"/>
  <c r="M1014" i="3"/>
  <c r="N1014" i="3" s="1"/>
  <c r="C1015" i="3"/>
  <c r="Q1012" i="3"/>
  <c r="E1015" i="3"/>
  <c r="A1016" i="3"/>
  <c r="D1016" i="3" s="1"/>
  <c r="B1015" i="3"/>
  <c r="H1016" i="3" l="1"/>
  <c r="I1016" i="3"/>
  <c r="F1015" i="3"/>
  <c r="G1015" i="3" s="1"/>
  <c r="L1015" i="3"/>
  <c r="O1014" i="3"/>
  <c r="P1014" i="3" s="1"/>
  <c r="J1015" i="3"/>
  <c r="K1015" i="3" s="1"/>
  <c r="M1015" i="3"/>
  <c r="N1015" i="3" s="1"/>
  <c r="C1016" i="3"/>
  <c r="Q1013" i="3"/>
  <c r="E1016" i="3"/>
  <c r="A1017" i="3"/>
  <c r="D1017" i="3" s="1"/>
  <c r="B1016" i="3"/>
  <c r="H1017" i="3" l="1"/>
  <c r="I1017" i="3"/>
  <c r="F1016" i="3"/>
  <c r="G1016" i="3" s="1"/>
  <c r="L1016" i="3"/>
  <c r="O1015" i="3"/>
  <c r="P1015" i="3" s="1"/>
  <c r="C1017" i="3"/>
  <c r="J1016" i="3"/>
  <c r="K1016" i="3" s="1"/>
  <c r="M1016" i="3"/>
  <c r="N1016" i="3" s="1"/>
  <c r="Q1014" i="3"/>
  <c r="E1017" i="3"/>
  <c r="A1018" i="3"/>
  <c r="D1018" i="3" s="1"/>
  <c r="B1017" i="3"/>
  <c r="H1018" i="3" l="1"/>
  <c r="I1018" i="3"/>
  <c r="F1017" i="3"/>
  <c r="G1017" i="3" s="1"/>
  <c r="L1017" i="3"/>
  <c r="O1016" i="3"/>
  <c r="P1016" i="3" s="1"/>
  <c r="C1018" i="3"/>
  <c r="J1017" i="3"/>
  <c r="K1017" i="3" s="1"/>
  <c r="M1017" i="3"/>
  <c r="N1017" i="3" s="1"/>
  <c r="Q1015" i="3"/>
  <c r="E1018" i="3"/>
  <c r="A1019" i="3"/>
  <c r="D1019" i="3" s="1"/>
  <c r="B1018" i="3"/>
  <c r="H1019" i="3" l="1"/>
  <c r="I1019" i="3"/>
  <c r="F1018" i="3"/>
  <c r="G1018" i="3" s="1"/>
  <c r="O1017" i="3"/>
  <c r="P1017" i="3" s="1"/>
  <c r="L1018" i="3"/>
  <c r="C1019" i="3"/>
  <c r="J1018" i="3"/>
  <c r="K1018" i="3" s="1"/>
  <c r="M1018" i="3"/>
  <c r="N1018" i="3" s="1"/>
  <c r="Q1016" i="3"/>
  <c r="E1019" i="3"/>
  <c r="A1020" i="3"/>
  <c r="D1020" i="3" s="1"/>
  <c r="B1019" i="3"/>
  <c r="H1020" i="3" l="1"/>
  <c r="M1020" i="3" s="1"/>
  <c r="N1020" i="3" s="1"/>
  <c r="I1020" i="3"/>
  <c r="F1019" i="3"/>
  <c r="G1019" i="3" s="1"/>
  <c r="O1018" i="3"/>
  <c r="P1018" i="3" s="1"/>
  <c r="L1019" i="3"/>
  <c r="C1020" i="3"/>
  <c r="J1019" i="3"/>
  <c r="K1019" i="3" s="1"/>
  <c r="M1019" i="3"/>
  <c r="N1019" i="3" s="1"/>
  <c r="Q1017" i="3"/>
  <c r="E1020" i="3"/>
  <c r="A1021" i="3"/>
  <c r="D1021" i="3" s="1"/>
  <c r="B1020" i="3"/>
  <c r="H1021" i="3" l="1"/>
  <c r="I1021" i="3"/>
  <c r="F1020" i="3"/>
  <c r="G1020" i="3" s="1"/>
  <c r="J1020" i="3"/>
  <c r="K1020" i="3" s="1"/>
  <c r="O1020" i="3" s="1"/>
  <c r="O1019" i="3"/>
  <c r="P1019" i="3" s="1"/>
  <c r="L1020" i="3"/>
  <c r="C1021" i="3"/>
  <c r="Q1018" i="3"/>
  <c r="E1021" i="3"/>
  <c r="A1022" i="3"/>
  <c r="D1022" i="3" s="1"/>
  <c r="B1021" i="3"/>
  <c r="H1022" i="3" l="1"/>
  <c r="I1022" i="3"/>
  <c r="F1021" i="3"/>
  <c r="G1021" i="3" s="1"/>
  <c r="J1021" i="3"/>
  <c r="K1021" i="3" s="1"/>
  <c r="M1021" i="3"/>
  <c r="N1021" i="3" s="1"/>
  <c r="C1022" i="3"/>
  <c r="L1021" i="3"/>
  <c r="Q1019" i="3"/>
  <c r="P1020" i="3"/>
  <c r="E1022" i="3"/>
  <c r="A1023" i="3"/>
  <c r="D1023" i="3" s="1"/>
  <c r="B1022" i="3"/>
  <c r="H1023" i="3" l="1"/>
  <c r="I1023" i="3"/>
  <c r="F1022" i="3"/>
  <c r="G1022" i="3" s="1"/>
  <c r="L1022" i="3"/>
  <c r="O1021" i="3"/>
  <c r="P1021" i="3" s="1"/>
  <c r="J1022" i="3"/>
  <c r="K1022" i="3" s="1"/>
  <c r="M1022" i="3"/>
  <c r="N1022" i="3" s="1"/>
  <c r="C1023" i="3"/>
  <c r="Q1020" i="3"/>
  <c r="E1023" i="3"/>
  <c r="A1024" i="3"/>
  <c r="D1024" i="3" s="1"/>
  <c r="B1023" i="3"/>
  <c r="H1024" i="3" l="1"/>
  <c r="I1024" i="3"/>
  <c r="L1023" i="3"/>
  <c r="F1023" i="3"/>
  <c r="G1023" i="3" s="1"/>
  <c r="O1022" i="3"/>
  <c r="P1022" i="3" s="1"/>
  <c r="J1023" i="3"/>
  <c r="K1023" i="3" s="1"/>
  <c r="M1023" i="3"/>
  <c r="N1023" i="3" s="1"/>
  <c r="C1024" i="3"/>
  <c r="Q1021" i="3"/>
  <c r="E1024" i="3"/>
  <c r="A1025" i="3"/>
  <c r="D1025" i="3" s="1"/>
  <c r="B1024" i="3"/>
  <c r="I1025" i="3" l="1"/>
  <c r="H1025" i="3"/>
  <c r="L1024" i="3"/>
  <c r="F1024" i="3"/>
  <c r="G1024" i="3" s="1"/>
  <c r="O1023" i="3"/>
  <c r="P1023" i="3" s="1"/>
  <c r="J1024" i="3"/>
  <c r="K1024" i="3" s="1"/>
  <c r="M1024" i="3"/>
  <c r="N1024" i="3" s="1"/>
  <c r="C1025" i="3"/>
  <c r="Q1022" i="3"/>
  <c r="E1025" i="3"/>
  <c r="A1026" i="3"/>
  <c r="D1026" i="3" s="1"/>
  <c r="B1025" i="3"/>
  <c r="H1026" i="3" l="1"/>
  <c r="M1026" i="3" s="1"/>
  <c r="N1026" i="3" s="1"/>
  <c r="I1026" i="3"/>
  <c r="F1025" i="3"/>
  <c r="G1025" i="3" s="1"/>
  <c r="O1024" i="3"/>
  <c r="P1024" i="3" s="1"/>
  <c r="L1025" i="3"/>
  <c r="J1025" i="3"/>
  <c r="K1025" i="3" s="1"/>
  <c r="M1025" i="3"/>
  <c r="N1025" i="3" s="1"/>
  <c r="C1026" i="3"/>
  <c r="Q1023" i="3"/>
  <c r="E1026" i="3"/>
  <c r="A1027" i="3"/>
  <c r="D1027" i="3" s="1"/>
  <c r="B1026" i="3"/>
  <c r="H1027" i="3" l="1"/>
  <c r="I1027" i="3"/>
  <c r="F1026" i="3"/>
  <c r="G1026" i="3" s="1"/>
  <c r="O1025" i="3"/>
  <c r="P1025" i="3" s="1"/>
  <c r="L1026" i="3"/>
  <c r="C1027" i="3"/>
  <c r="J1026" i="3"/>
  <c r="K1026" i="3" s="1"/>
  <c r="O1026" i="3" s="1"/>
  <c r="Q1024" i="3"/>
  <c r="E1027" i="3"/>
  <c r="A1028" i="3"/>
  <c r="D1028" i="3" s="1"/>
  <c r="B1027" i="3"/>
  <c r="H1028" i="3" l="1"/>
  <c r="I1028" i="3"/>
  <c r="F1027" i="3"/>
  <c r="G1027" i="3" s="1"/>
  <c r="J1027" i="3"/>
  <c r="K1027" i="3" s="1"/>
  <c r="M1027" i="3"/>
  <c r="N1027" i="3" s="1"/>
  <c r="L1027" i="3"/>
  <c r="C1028" i="3"/>
  <c r="Q1025" i="3"/>
  <c r="P1026" i="3"/>
  <c r="E1028" i="3"/>
  <c r="A1029" i="3"/>
  <c r="D1029" i="3" s="1"/>
  <c r="B1028" i="3"/>
  <c r="H1029" i="3" l="1"/>
  <c r="I1029" i="3"/>
  <c r="F1028" i="3"/>
  <c r="G1028" i="3" s="1"/>
  <c r="L1028" i="3"/>
  <c r="O1027" i="3"/>
  <c r="P1027" i="3" s="1"/>
  <c r="J1028" i="3"/>
  <c r="K1028" i="3" s="1"/>
  <c r="M1028" i="3"/>
  <c r="N1028" i="3" s="1"/>
  <c r="C1029" i="3"/>
  <c r="Q1026" i="3"/>
  <c r="E1029" i="3"/>
  <c r="A1030" i="3"/>
  <c r="D1030" i="3" s="1"/>
  <c r="B1029" i="3"/>
  <c r="H1030" i="3" l="1"/>
  <c r="I1030" i="3"/>
  <c r="L1029" i="3"/>
  <c r="F1029" i="3"/>
  <c r="G1029" i="3" s="1"/>
  <c r="O1028" i="3"/>
  <c r="P1028" i="3" s="1"/>
  <c r="J1029" i="3"/>
  <c r="K1029" i="3" s="1"/>
  <c r="M1029" i="3"/>
  <c r="N1029" i="3" s="1"/>
  <c r="C1030" i="3"/>
  <c r="Q1027" i="3"/>
  <c r="E1030" i="3"/>
  <c r="A1031" i="3"/>
  <c r="D1031" i="3" s="1"/>
  <c r="B1030" i="3"/>
  <c r="H1031" i="3" l="1"/>
  <c r="I1031" i="3"/>
  <c r="L1030" i="3"/>
  <c r="F1030" i="3"/>
  <c r="G1030" i="3" s="1"/>
  <c r="O1029" i="3"/>
  <c r="P1029" i="3" s="1"/>
  <c r="J1030" i="3"/>
  <c r="K1030" i="3" s="1"/>
  <c r="M1030" i="3"/>
  <c r="N1030" i="3" s="1"/>
  <c r="C1031" i="3"/>
  <c r="Q1028" i="3"/>
  <c r="E1031" i="3"/>
  <c r="A1032" i="3"/>
  <c r="D1032" i="3" s="1"/>
  <c r="B1031" i="3"/>
  <c r="H1032" i="3" l="1"/>
  <c r="I1032" i="3"/>
  <c r="F1031" i="3"/>
  <c r="G1031" i="3" s="1"/>
  <c r="L1031" i="3"/>
  <c r="O1030" i="3"/>
  <c r="P1030" i="3" s="1"/>
  <c r="J1031" i="3"/>
  <c r="K1031" i="3" s="1"/>
  <c r="M1031" i="3"/>
  <c r="N1031" i="3" s="1"/>
  <c r="C1032" i="3"/>
  <c r="Q1029" i="3"/>
  <c r="E1032" i="3"/>
  <c r="A1033" i="3"/>
  <c r="D1033" i="3" s="1"/>
  <c r="B1032" i="3"/>
  <c r="H1033" i="3" l="1"/>
  <c r="I1033" i="3"/>
  <c r="F1032" i="3"/>
  <c r="G1032" i="3" s="1"/>
  <c r="L1032" i="3"/>
  <c r="O1031" i="3"/>
  <c r="P1031" i="3" s="1"/>
  <c r="C1033" i="3"/>
  <c r="J1032" i="3"/>
  <c r="K1032" i="3" s="1"/>
  <c r="M1032" i="3"/>
  <c r="N1032" i="3" s="1"/>
  <c r="Q1030" i="3"/>
  <c r="E1033" i="3"/>
  <c r="A1034" i="3"/>
  <c r="D1034" i="3" s="1"/>
  <c r="B1033" i="3"/>
  <c r="I1034" i="3" l="1"/>
  <c r="H1034" i="3"/>
  <c r="F1033" i="3"/>
  <c r="G1033" i="3" s="1"/>
  <c r="O1032" i="3"/>
  <c r="P1032" i="3" s="1"/>
  <c r="L1033" i="3"/>
  <c r="C1034" i="3"/>
  <c r="J1033" i="3"/>
  <c r="K1033" i="3" s="1"/>
  <c r="M1033" i="3"/>
  <c r="N1033" i="3" s="1"/>
  <c r="Q1031" i="3"/>
  <c r="E1034" i="3"/>
  <c r="A1035" i="3"/>
  <c r="D1035" i="3" s="1"/>
  <c r="B1034" i="3"/>
  <c r="H1035" i="3" l="1"/>
  <c r="I1035" i="3"/>
  <c r="F1034" i="3"/>
  <c r="G1034" i="3" s="1"/>
  <c r="O1033" i="3"/>
  <c r="P1033" i="3" s="1"/>
  <c r="L1034" i="3"/>
  <c r="C1035" i="3"/>
  <c r="J1034" i="3"/>
  <c r="K1034" i="3" s="1"/>
  <c r="M1034" i="3"/>
  <c r="N1034" i="3" s="1"/>
  <c r="Q1032" i="3"/>
  <c r="E1035" i="3"/>
  <c r="A1036" i="3"/>
  <c r="D1036" i="3" s="1"/>
  <c r="B1035" i="3"/>
  <c r="H1036" i="3" l="1"/>
  <c r="I1036" i="3"/>
  <c r="F1035" i="3"/>
  <c r="G1035" i="3" s="1"/>
  <c r="O1034" i="3"/>
  <c r="P1034" i="3" s="1"/>
  <c r="L1035" i="3"/>
  <c r="J1035" i="3"/>
  <c r="K1035" i="3" s="1"/>
  <c r="M1035" i="3"/>
  <c r="N1035" i="3" s="1"/>
  <c r="C1036" i="3"/>
  <c r="Q1033" i="3"/>
  <c r="E1036" i="3"/>
  <c r="A1037" i="3"/>
  <c r="D1037" i="3" s="1"/>
  <c r="B1036" i="3"/>
  <c r="H1037" i="3" l="1"/>
  <c r="I1037" i="3"/>
  <c r="L1036" i="3"/>
  <c r="F1036" i="3"/>
  <c r="G1036" i="3" s="1"/>
  <c r="O1035" i="3"/>
  <c r="P1035" i="3" s="1"/>
  <c r="C1037" i="3"/>
  <c r="J1036" i="3"/>
  <c r="K1036" i="3" s="1"/>
  <c r="M1036" i="3"/>
  <c r="N1036" i="3" s="1"/>
  <c r="Q1034" i="3"/>
  <c r="E1037" i="3"/>
  <c r="A1038" i="3"/>
  <c r="D1038" i="3" s="1"/>
  <c r="B1037" i="3"/>
  <c r="H1038" i="3" l="1"/>
  <c r="I1038" i="3"/>
  <c r="F1037" i="3"/>
  <c r="G1037" i="3" s="1"/>
  <c r="L1037" i="3"/>
  <c r="O1036" i="3"/>
  <c r="P1036" i="3" s="1"/>
  <c r="J1037" i="3"/>
  <c r="K1037" i="3" s="1"/>
  <c r="M1037" i="3"/>
  <c r="N1037" i="3" s="1"/>
  <c r="C1038" i="3"/>
  <c r="Q1035" i="3"/>
  <c r="E1038" i="3"/>
  <c r="A1039" i="3"/>
  <c r="D1039" i="3" s="1"/>
  <c r="B1038" i="3"/>
  <c r="H1039" i="3" l="1"/>
  <c r="I1039" i="3"/>
  <c r="F1038" i="3"/>
  <c r="G1038" i="3" s="1"/>
  <c r="L1038" i="3"/>
  <c r="O1037" i="3"/>
  <c r="P1037" i="3" s="1"/>
  <c r="J1038" i="3"/>
  <c r="K1038" i="3" s="1"/>
  <c r="M1038" i="3"/>
  <c r="N1038" i="3" s="1"/>
  <c r="C1039" i="3"/>
  <c r="Q1036" i="3"/>
  <c r="E1039" i="3"/>
  <c r="A1040" i="3"/>
  <c r="D1040" i="3" s="1"/>
  <c r="B1039" i="3"/>
  <c r="H1040" i="3" l="1"/>
  <c r="I1040" i="3"/>
  <c r="O1038" i="3"/>
  <c r="P1038" i="3" s="1"/>
  <c r="F1039" i="3"/>
  <c r="G1039" i="3" s="1"/>
  <c r="L1039" i="3"/>
  <c r="J1039" i="3"/>
  <c r="K1039" i="3" s="1"/>
  <c r="M1039" i="3"/>
  <c r="N1039" i="3" s="1"/>
  <c r="C1040" i="3"/>
  <c r="Q1037" i="3"/>
  <c r="E1040" i="3"/>
  <c r="A1041" i="3"/>
  <c r="D1041" i="3" s="1"/>
  <c r="B1040" i="3"/>
  <c r="H1041" i="3" l="1"/>
  <c r="I1041" i="3"/>
  <c r="F1040" i="3"/>
  <c r="G1040" i="3" s="1"/>
  <c r="L1040" i="3"/>
  <c r="O1039" i="3"/>
  <c r="P1039" i="3" s="1"/>
  <c r="J1040" i="3"/>
  <c r="K1040" i="3" s="1"/>
  <c r="M1040" i="3"/>
  <c r="N1040" i="3" s="1"/>
  <c r="C1041" i="3"/>
  <c r="Q1038" i="3"/>
  <c r="E1041" i="3"/>
  <c r="A1042" i="3"/>
  <c r="D1042" i="3" s="1"/>
  <c r="B1041" i="3"/>
  <c r="H1042" i="3" l="1"/>
  <c r="M1042" i="3" s="1"/>
  <c r="N1042" i="3" s="1"/>
  <c r="I1042" i="3"/>
  <c r="F1041" i="3"/>
  <c r="G1041" i="3" s="1"/>
  <c r="L1041" i="3"/>
  <c r="O1040" i="3"/>
  <c r="P1040" i="3" s="1"/>
  <c r="J1041" i="3"/>
  <c r="K1041" i="3" s="1"/>
  <c r="M1041" i="3"/>
  <c r="N1041" i="3" s="1"/>
  <c r="C1042" i="3"/>
  <c r="Q1039" i="3"/>
  <c r="E1042" i="3"/>
  <c r="A1043" i="3"/>
  <c r="D1043" i="3" s="1"/>
  <c r="B1042" i="3"/>
  <c r="H1043" i="3" l="1"/>
  <c r="I1043" i="3"/>
  <c r="F1042" i="3"/>
  <c r="G1042" i="3" s="1"/>
  <c r="O1041" i="3"/>
  <c r="P1041" i="3" s="1"/>
  <c r="J1042" i="3"/>
  <c r="K1042" i="3" s="1"/>
  <c r="O1042" i="3" s="1"/>
  <c r="L1042" i="3"/>
  <c r="C1043" i="3"/>
  <c r="Q1040" i="3"/>
  <c r="E1043" i="3"/>
  <c r="A1044" i="3"/>
  <c r="D1044" i="3" s="1"/>
  <c r="B1043" i="3"/>
  <c r="H1044" i="3" l="1"/>
  <c r="I1044" i="3"/>
  <c r="F1043" i="3"/>
  <c r="G1043" i="3" s="1"/>
  <c r="J1043" i="3"/>
  <c r="K1043" i="3" s="1"/>
  <c r="M1043" i="3"/>
  <c r="N1043" i="3" s="1"/>
  <c r="C1044" i="3"/>
  <c r="L1043" i="3"/>
  <c r="Q1041" i="3"/>
  <c r="P1042" i="3"/>
  <c r="E1044" i="3"/>
  <c r="A1045" i="3"/>
  <c r="D1045" i="3" s="1"/>
  <c r="B1044" i="3"/>
  <c r="H1045" i="3" l="1"/>
  <c r="I1045" i="3"/>
  <c r="F1044" i="3"/>
  <c r="G1044" i="3" s="1"/>
  <c r="O1043" i="3"/>
  <c r="P1043" i="3" s="1"/>
  <c r="L1044" i="3"/>
  <c r="C1045" i="3"/>
  <c r="J1044" i="3"/>
  <c r="K1044" i="3" s="1"/>
  <c r="M1044" i="3"/>
  <c r="N1044" i="3" s="1"/>
  <c r="Q1042" i="3"/>
  <c r="E1045" i="3"/>
  <c r="A1046" i="3"/>
  <c r="D1046" i="3" s="1"/>
  <c r="B1045" i="3"/>
  <c r="H1046" i="3" l="1"/>
  <c r="I1046" i="3"/>
  <c r="F1045" i="3"/>
  <c r="G1045" i="3" s="1"/>
  <c r="L1045" i="3"/>
  <c r="O1044" i="3"/>
  <c r="P1044" i="3" s="1"/>
  <c r="J1045" i="3"/>
  <c r="K1045" i="3" s="1"/>
  <c r="M1045" i="3"/>
  <c r="N1045" i="3" s="1"/>
  <c r="C1046" i="3"/>
  <c r="Q1043" i="3"/>
  <c r="E1046" i="3"/>
  <c r="A1047" i="3"/>
  <c r="D1047" i="3" s="1"/>
  <c r="B1046" i="3"/>
  <c r="H1047" i="3" l="1"/>
  <c r="I1047" i="3"/>
  <c r="F1046" i="3"/>
  <c r="G1046" i="3" s="1"/>
  <c r="L1046" i="3"/>
  <c r="O1045" i="3"/>
  <c r="P1045" i="3" s="1"/>
  <c r="J1046" i="3"/>
  <c r="K1046" i="3" s="1"/>
  <c r="M1046" i="3"/>
  <c r="N1046" i="3" s="1"/>
  <c r="C1047" i="3"/>
  <c r="Q1044" i="3"/>
  <c r="E1047" i="3"/>
  <c r="A1048" i="3"/>
  <c r="D1048" i="3" s="1"/>
  <c r="B1047" i="3"/>
  <c r="H1048" i="3" l="1"/>
  <c r="I1048" i="3"/>
  <c r="F1047" i="3"/>
  <c r="G1047" i="3" s="1"/>
  <c r="O1046" i="3"/>
  <c r="P1046" i="3" s="1"/>
  <c r="L1047" i="3"/>
  <c r="J1047" i="3"/>
  <c r="K1047" i="3" s="1"/>
  <c r="M1047" i="3"/>
  <c r="N1047" i="3" s="1"/>
  <c r="C1048" i="3"/>
  <c r="Q1045" i="3"/>
  <c r="E1048" i="3"/>
  <c r="A1049" i="3"/>
  <c r="D1049" i="3" s="1"/>
  <c r="B1048" i="3"/>
  <c r="H1049" i="3" l="1"/>
  <c r="I1049" i="3"/>
  <c r="F1048" i="3"/>
  <c r="G1048" i="3" s="1"/>
  <c r="L1048" i="3"/>
  <c r="O1047" i="3"/>
  <c r="P1047" i="3" s="1"/>
  <c r="C1049" i="3"/>
  <c r="J1048" i="3"/>
  <c r="K1048" i="3" s="1"/>
  <c r="M1048" i="3"/>
  <c r="N1048" i="3" s="1"/>
  <c r="Q1046" i="3"/>
  <c r="E1049" i="3"/>
  <c r="A1050" i="3"/>
  <c r="D1050" i="3" s="1"/>
  <c r="B1049" i="3"/>
  <c r="H1050" i="3" l="1"/>
  <c r="I1050" i="3"/>
  <c r="F1049" i="3"/>
  <c r="G1049" i="3" s="1"/>
  <c r="O1048" i="3"/>
  <c r="P1048" i="3" s="1"/>
  <c r="L1049" i="3"/>
  <c r="C1050" i="3"/>
  <c r="J1049" i="3"/>
  <c r="K1049" i="3" s="1"/>
  <c r="M1049" i="3"/>
  <c r="N1049" i="3" s="1"/>
  <c r="Q1047" i="3"/>
  <c r="E1050" i="3"/>
  <c r="A1051" i="3"/>
  <c r="D1051" i="3" s="1"/>
  <c r="B1050" i="3"/>
  <c r="H1051" i="3" l="1"/>
  <c r="I1051" i="3"/>
  <c r="F1050" i="3"/>
  <c r="G1050" i="3" s="1"/>
  <c r="L1050" i="3"/>
  <c r="O1049" i="3"/>
  <c r="P1049" i="3" s="1"/>
  <c r="C1051" i="3"/>
  <c r="J1050" i="3"/>
  <c r="K1050" i="3" s="1"/>
  <c r="M1050" i="3"/>
  <c r="N1050" i="3" s="1"/>
  <c r="Q1048" i="3"/>
  <c r="E1051" i="3"/>
  <c r="A1052" i="3"/>
  <c r="D1052" i="3" s="1"/>
  <c r="B1051" i="3"/>
  <c r="H1052" i="3" l="1"/>
  <c r="I1052" i="3"/>
  <c r="F1051" i="3"/>
  <c r="G1051" i="3" s="1"/>
  <c r="O1050" i="3"/>
  <c r="P1050" i="3" s="1"/>
  <c r="L1051" i="3"/>
  <c r="C1052" i="3"/>
  <c r="J1051" i="3"/>
  <c r="K1051" i="3" s="1"/>
  <c r="M1051" i="3"/>
  <c r="N1051" i="3" s="1"/>
  <c r="Q1049" i="3"/>
  <c r="E1052" i="3"/>
  <c r="A1053" i="3"/>
  <c r="D1053" i="3" s="1"/>
  <c r="B1052" i="3"/>
  <c r="H1053" i="3" l="1"/>
  <c r="I1053" i="3"/>
  <c r="F1052" i="3"/>
  <c r="G1052" i="3" s="1"/>
  <c r="O1051" i="3"/>
  <c r="P1051" i="3" s="1"/>
  <c r="J1052" i="3"/>
  <c r="K1052" i="3" s="1"/>
  <c r="M1052" i="3"/>
  <c r="N1052" i="3" s="1"/>
  <c r="L1052" i="3"/>
  <c r="C1053" i="3"/>
  <c r="Q1050" i="3"/>
  <c r="E1053" i="3"/>
  <c r="A1054" i="3"/>
  <c r="D1054" i="3" s="1"/>
  <c r="B1053" i="3"/>
  <c r="H1054" i="3" l="1"/>
  <c r="I1054" i="3"/>
  <c r="F1053" i="3"/>
  <c r="G1053" i="3" s="1"/>
  <c r="O1052" i="3"/>
  <c r="P1052" i="3" s="1"/>
  <c r="L1053" i="3"/>
  <c r="J1053" i="3"/>
  <c r="K1053" i="3" s="1"/>
  <c r="M1053" i="3"/>
  <c r="N1053" i="3" s="1"/>
  <c r="C1054" i="3"/>
  <c r="Q1051" i="3"/>
  <c r="E1054" i="3"/>
  <c r="A1055" i="3"/>
  <c r="D1055" i="3" s="1"/>
  <c r="B1054" i="3"/>
  <c r="H1055" i="3" l="1"/>
  <c r="I1055" i="3"/>
  <c r="F1054" i="3"/>
  <c r="G1054" i="3" s="1"/>
  <c r="L1054" i="3"/>
  <c r="O1053" i="3"/>
  <c r="P1053" i="3" s="1"/>
  <c r="J1054" i="3"/>
  <c r="K1054" i="3" s="1"/>
  <c r="M1054" i="3"/>
  <c r="N1054" i="3" s="1"/>
  <c r="C1055" i="3"/>
  <c r="Q1052" i="3"/>
  <c r="E1055" i="3"/>
  <c r="A1056" i="3"/>
  <c r="D1056" i="3" s="1"/>
  <c r="B1055" i="3"/>
  <c r="H1056" i="3" l="1"/>
  <c r="I1056" i="3"/>
  <c r="F1055" i="3"/>
  <c r="G1055" i="3" s="1"/>
  <c r="L1055" i="3"/>
  <c r="O1054" i="3"/>
  <c r="P1054" i="3" s="1"/>
  <c r="J1055" i="3"/>
  <c r="K1055" i="3" s="1"/>
  <c r="M1055" i="3"/>
  <c r="N1055" i="3" s="1"/>
  <c r="C1056" i="3"/>
  <c r="Q1053" i="3"/>
  <c r="E1056" i="3"/>
  <c r="A1057" i="3"/>
  <c r="D1057" i="3" s="1"/>
  <c r="B1056" i="3"/>
  <c r="I1057" i="3" l="1"/>
  <c r="H1057" i="3"/>
  <c r="F1056" i="3"/>
  <c r="G1056" i="3" s="1"/>
  <c r="L1056" i="3"/>
  <c r="O1055" i="3"/>
  <c r="P1055" i="3" s="1"/>
  <c r="J1056" i="3"/>
  <c r="K1056" i="3" s="1"/>
  <c r="M1056" i="3"/>
  <c r="N1056" i="3" s="1"/>
  <c r="C1057" i="3"/>
  <c r="Q1054" i="3"/>
  <c r="E1057" i="3"/>
  <c r="A1058" i="3"/>
  <c r="D1058" i="3" s="1"/>
  <c r="B1057" i="3"/>
  <c r="H1058" i="3" l="1"/>
  <c r="I1058" i="3"/>
  <c r="F1057" i="3"/>
  <c r="G1057" i="3" s="1"/>
  <c r="L1057" i="3"/>
  <c r="O1056" i="3"/>
  <c r="P1056" i="3" s="1"/>
  <c r="C1058" i="3"/>
  <c r="J1057" i="3"/>
  <c r="K1057" i="3" s="1"/>
  <c r="M1057" i="3"/>
  <c r="N1057" i="3" s="1"/>
  <c r="Q1055" i="3"/>
  <c r="E1058" i="3"/>
  <c r="A1059" i="3"/>
  <c r="D1059" i="3" s="1"/>
  <c r="B1058" i="3"/>
  <c r="I1059" i="3" l="1"/>
  <c r="H1059" i="3"/>
  <c r="M1059" i="3" s="1"/>
  <c r="N1059" i="3" s="1"/>
  <c r="O1057" i="3"/>
  <c r="P1057" i="3" s="1"/>
  <c r="F1058" i="3"/>
  <c r="G1058" i="3" s="1"/>
  <c r="L1058" i="3"/>
  <c r="C1059" i="3"/>
  <c r="J1058" i="3"/>
  <c r="K1058" i="3" s="1"/>
  <c r="M1058" i="3"/>
  <c r="N1058" i="3" s="1"/>
  <c r="Q1056" i="3"/>
  <c r="E1059" i="3"/>
  <c r="A1060" i="3"/>
  <c r="D1060" i="3" s="1"/>
  <c r="B1059" i="3"/>
  <c r="H1060" i="3" l="1"/>
  <c r="I1060" i="3"/>
  <c r="F1059" i="3"/>
  <c r="G1059" i="3" s="1"/>
  <c r="L1059" i="3"/>
  <c r="O1058" i="3"/>
  <c r="P1058" i="3" s="1"/>
  <c r="C1060" i="3"/>
  <c r="J1059" i="3"/>
  <c r="K1059" i="3" s="1"/>
  <c r="O1059" i="3" s="1"/>
  <c r="Q1057" i="3"/>
  <c r="E1060" i="3"/>
  <c r="A1061" i="3"/>
  <c r="D1061" i="3" s="1"/>
  <c r="B1060" i="3"/>
  <c r="H1061" i="3" l="1"/>
  <c r="I1061" i="3"/>
  <c r="F1060" i="3"/>
  <c r="G1060" i="3" s="1"/>
  <c r="L1060" i="3"/>
  <c r="C1061" i="3"/>
  <c r="J1060" i="3"/>
  <c r="K1060" i="3" s="1"/>
  <c r="M1060" i="3"/>
  <c r="N1060" i="3" s="1"/>
  <c r="Q1058" i="3"/>
  <c r="P1059" i="3"/>
  <c r="E1061" i="3"/>
  <c r="A1062" i="3"/>
  <c r="D1062" i="3" s="1"/>
  <c r="B1061" i="3"/>
  <c r="H1062" i="3" l="1"/>
  <c r="I1062" i="3"/>
  <c r="L1061" i="3"/>
  <c r="F1061" i="3"/>
  <c r="G1061" i="3" s="1"/>
  <c r="O1060" i="3"/>
  <c r="P1060" i="3" s="1"/>
  <c r="C1062" i="3"/>
  <c r="J1061" i="3"/>
  <c r="K1061" i="3" s="1"/>
  <c r="M1061" i="3"/>
  <c r="N1061" i="3" s="1"/>
  <c r="Q1059" i="3"/>
  <c r="E1062" i="3"/>
  <c r="A1063" i="3"/>
  <c r="D1063" i="3" s="1"/>
  <c r="B1062" i="3"/>
  <c r="H1063" i="3" l="1"/>
  <c r="I1063" i="3"/>
  <c r="L1062" i="3"/>
  <c r="F1062" i="3"/>
  <c r="G1062" i="3" s="1"/>
  <c r="O1061" i="3"/>
  <c r="P1061" i="3" s="1"/>
  <c r="C1063" i="3"/>
  <c r="J1062" i="3"/>
  <c r="K1062" i="3" s="1"/>
  <c r="M1062" i="3"/>
  <c r="N1062" i="3" s="1"/>
  <c r="Q1060" i="3"/>
  <c r="E1063" i="3"/>
  <c r="A1064" i="3"/>
  <c r="D1064" i="3" s="1"/>
  <c r="B1063" i="3"/>
  <c r="H1064" i="3" l="1"/>
  <c r="I1064" i="3"/>
  <c r="F1063" i="3"/>
  <c r="G1063" i="3" s="1"/>
  <c r="O1062" i="3"/>
  <c r="P1062" i="3" s="1"/>
  <c r="L1063" i="3"/>
  <c r="C1064" i="3"/>
  <c r="J1063" i="3"/>
  <c r="K1063" i="3" s="1"/>
  <c r="M1063" i="3"/>
  <c r="N1063" i="3" s="1"/>
  <c r="Q1061" i="3"/>
  <c r="E1064" i="3"/>
  <c r="A1065" i="3"/>
  <c r="D1065" i="3" s="1"/>
  <c r="B1064" i="3"/>
  <c r="H1065" i="3" l="1"/>
  <c r="I1065" i="3"/>
  <c r="F1064" i="3"/>
  <c r="G1064" i="3" s="1"/>
  <c r="L1064" i="3"/>
  <c r="O1063" i="3"/>
  <c r="P1063" i="3" s="1"/>
  <c r="C1065" i="3"/>
  <c r="J1064" i="3"/>
  <c r="K1064" i="3" s="1"/>
  <c r="M1064" i="3"/>
  <c r="N1064" i="3" s="1"/>
  <c r="Q1062" i="3"/>
  <c r="E1065" i="3"/>
  <c r="A1066" i="3"/>
  <c r="D1066" i="3" s="1"/>
  <c r="B1065" i="3"/>
  <c r="H1066" i="3" l="1"/>
  <c r="I1066" i="3"/>
  <c r="F1065" i="3"/>
  <c r="G1065" i="3" s="1"/>
  <c r="O1064" i="3"/>
  <c r="P1064" i="3" s="1"/>
  <c r="L1065" i="3"/>
  <c r="J1065" i="3"/>
  <c r="K1065" i="3" s="1"/>
  <c r="M1065" i="3"/>
  <c r="N1065" i="3" s="1"/>
  <c r="C1066" i="3"/>
  <c r="Q1063" i="3"/>
  <c r="E1066" i="3"/>
  <c r="A1067" i="3"/>
  <c r="D1067" i="3" s="1"/>
  <c r="B1066" i="3"/>
  <c r="H1067" i="3" l="1"/>
  <c r="I1067" i="3"/>
  <c r="F1066" i="3"/>
  <c r="G1066" i="3" s="1"/>
  <c r="O1065" i="3"/>
  <c r="P1065" i="3" s="1"/>
  <c r="L1066" i="3"/>
  <c r="C1067" i="3"/>
  <c r="J1066" i="3"/>
  <c r="K1066" i="3" s="1"/>
  <c r="M1066" i="3"/>
  <c r="N1066" i="3" s="1"/>
  <c r="Q1064" i="3"/>
  <c r="E1067" i="3"/>
  <c r="A1068" i="3"/>
  <c r="D1068" i="3" s="1"/>
  <c r="B1067" i="3"/>
  <c r="I1068" i="3" l="1"/>
  <c r="H1068" i="3"/>
  <c r="F1067" i="3"/>
  <c r="G1067" i="3" s="1"/>
  <c r="L1067" i="3"/>
  <c r="O1066" i="3"/>
  <c r="P1066" i="3" s="1"/>
  <c r="J1067" i="3"/>
  <c r="K1067" i="3" s="1"/>
  <c r="M1067" i="3"/>
  <c r="N1067" i="3" s="1"/>
  <c r="C1068" i="3"/>
  <c r="Q1065" i="3"/>
  <c r="E1068" i="3"/>
  <c r="A1069" i="3"/>
  <c r="D1069" i="3" s="1"/>
  <c r="B1068" i="3"/>
  <c r="H1069" i="3" l="1"/>
  <c r="I1069" i="3"/>
  <c r="F1068" i="3"/>
  <c r="G1068" i="3" s="1"/>
  <c r="L1068" i="3"/>
  <c r="O1067" i="3"/>
  <c r="P1067" i="3" s="1"/>
  <c r="C1069" i="3"/>
  <c r="J1068" i="3"/>
  <c r="K1068" i="3" s="1"/>
  <c r="M1068" i="3"/>
  <c r="N1068" i="3" s="1"/>
  <c r="Q1066" i="3"/>
  <c r="E1069" i="3"/>
  <c r="A1070" i="3"/>
  <c r="D1070" i="3" s="1"/>
  <c r="B1069" i="3"/>
  <c r="I1070" i="3" l="1"/>
  <c r="H1070" i="3"/>
  <c r="F1069" i="3"/>
  <c r="G1069" i="3" s="1"/>
  <c r="L1069" i="3"/>
  <c r="O1068" i="3"/>
  <c r="P1068" i="3" s="1"/>
  <c r="C1070" i="3"/>
  <c r="J1069" i="3"/>
  <c r="K1069" i="3" s="1"/>
  <c r="M1069" i="3"/>
  <c r="N1069" i="3" s="1"/>
  <c r="Q1067" i="3"/>
  <c r="E1070" i="3"/>
  <c r="A1071" i="3"/>
  <c r="D1071" i="3" s="1"/>
  <c r="B1070" i="3"/>
  <c r="H1071" i="3" l="1"/>
  <c r="I1071" i="3"/>
  <c r="F1070" i="3"/>
  <c r="G1070" i="3" s="1"/>
  <c r="O1069" i="3"/>
  <c r="P1069" i="3" s="1"/>
  <c r="L1070" i="3"/>
  <c r="J1070" i="3"/>
  <c r="K1070" i="3" s="1"/>
  <c r="M1070" i="3"/>
  <c r="N1070" i="3" s="1"/>
  <c r="C1071" i="3"/>
  <c r="Q1068" i="3"/>
  <c r="E1071" i="3"/>
  <c r="A1072" i="3"/>
  <c r="D1072" i="3" s="1"/>
  <c r="B1071" i="3"/>
  <c r="H1072" i="3" l="1"/>
  <c r="I1072" i="3"/>
  <c r="O1070" i="3"/>
  <c r="P1070" i="3" s="1"/>
  <c r="F1071" i="3"/>
  <c r="G1071" i="3" s="1"/>
  <c r="L1071" i="3"/>
  <c r="C1072" i="3"/>
  <c r="J1071" i="3"/>
  <c r="K1071" i="3" s="1"/>
  <c r="M1071" i="3"/>
  <c r="N1071" i="3" s="1"/>
  <c r="Q1069" i="3"/>
  <c r="E1072" i="3"/>
  <c r="A1073" i="3"/>
  <c r="D1073" i="3" s="1"/>
  <c r="B1072" i="3"/>
  <c r="I1073" i="3" l="1"/>
  <c r="H1073" i="3"/>
  <c r="F1072" i="3"/>
  <c r="G1072" i="3" s="1"/>
  <c r="O1071" i="3"/>
  <c r="P1071" i="3" s="1"/>
  <c r="L1072" i="3"/>
  <c r="J1072" i="3"/>
  <c r="K1072" i="3" s="1"/>
  <c r="M1072" i="3"/>
  <c r="N1072" i="3" s="1"/>
  <c r="C1073" i="3"/>
  <c r="Q1070" i="3"/>
  <c r="E1073" i="3"/>
  <c r="A1074" i="3"/>
  <c r="D1074" i="3" s="1"/>
  <c r="B1073" i="3"/>
  <c r="H1074" i="3" l="1"/>
  <c r="I1074" i="3"/>
  <c r="F1073" i="3"/>
  <c r="G1073" i="3" s="1"/>
  <c r="L1073" i="3"/>
  <c r="O1072" i="3"/>
  <c r="P1072" i="3" s="1"/>
  <c r="J1073" i="3"/>
  <c r="K1073" i="3" s="1"/>
  <c r="M1073" i="3"/>
  <c r="N1073" i="3" s="1"/>
  <c r="C1074" i="3"/>
  <c r="Q1071" i="3"/>
  <c r="E1074" i="3"/>
  <c r="A1075" i="3"/>
  <c r="D1075" i="3" s="1"/>
  <c r="B1074" i="3"/>
  <c r="H1075" i="3" l="1"/>
  <c r="I1075" i="3"/>
  <c r="F1074" i="3"/>
  <c r="G1074" i="3" s="1"/>
  <c r="O1073" i="3"/>
  <c r="P1073" i="3" s="1"/>
  <c r="L1074" i="3"/>
  <c r="C1075" i="3"/>
  <c r="J1074" i="3"/>
  <c r="K1074" i="3" s="1"/>
  <c r="M1074" i="3"/>
  <c r="N1074" i="3" s="1"/>
  <c r="Q1072" i="3"/>
  <c r="E1075" i="3"/>
  <c r="A1076" i="3"/>
  <c r="D1076" i="3" s="1"/>
  <c r="B1075" i="3"/>
  <c r="H1076" i="3" l="1"/>
  <c r="I1076" i="3"/>
  <c r="F1075" i="3"/>
  <c r="G1075" i="3" s="1"/>
  <c r="O1074" i="3"/>
  <c r="P1074" i="3" s="1"/>
  <c r="L1075" i="3"/>
  <c r="C1076" i="3"/>
  <c r="J1075" i="3"/>
  <c r="K1075" i="3" s="1"/>
  <c r="M1075" i="3"/>
  <c r="N1075" i="3" s="1"/>
  <c r="Q1073" i="3"/>
  <c r="E1076" i="3"/>
  <c r="A1077" i="3"/>
  <c r="D1077" i="3" s="1"/>
  <c r="B1076" i="3"/>
  <c r="H1077" i="3" l="1"/>
  <c r="I1077" i="3"/>
  <c r="F1076" i="3"/>
  <c r="G1076" i="3" s="1"/>
  <c r="L1076" i="3"/>
  <c r="O1075" i="3"/>
  <c r="P1075" i="3" s="1"/>
  <c r="C1077" i="3"/>
  <c r="J1076" i="3"/>
  <c r="K1076" i="3" s="1"/>
  <c r="M1076" i="3"/>
  <c r="N1076" i="3" s="1"/>
  <c r="Q1074" i="3"/>
  <c r="E1077" i="3"/>
  <c r="A1078" i="3"/>
  <c r="D1078" i="3" s="1"/>
  <c r="B1077" i="3"/>
  <c r="H1078" i="3" l="1"/>
  <c r="I1078" i="3"/>
  <c r="F1077" i="3"/>
  <c r="G1077" i="3" s="1"/>
  <c r="L1077" i="3"/>
  <c r="O1076" i="3"/>
  <c r="P1076" i="3" s="1"/>
  <c r="C1078" i="3"/>
  <c r="J1077" i="3"/>
  <c r="K1077" i="3" s="1"/>
  <c r="M1077" i="3"/>
  <c r="N1077" i="3" s="1"/>
  <c r="Q1075" i="3"/>
  <c r="E1078" i="3"/>
  <c r="A1079" i="3"/>
  <c r="D1079" i="3" s="1"/>
  <c r="B1078" i="3"/>
  <c r="I1079" i="3" l="1"/>
  <c r="H1079" i="3"/>
  <c r="F1078" i="3"/>
  <c r="G1078" i="3" s="1"/>
  <c r="L1078" i="3"/>
  <c r="O1077" i="3"/>
  <c r="P1077" i="3" s="1"/>
  <c r="J1078" i="3"/>
  <c r="K1078" i="3" s="1"/>
  <c r="M1078" i="3"/>
  <c r="N1078" i="3" s="1"/>
  <c r="C1079" i="3"/>
  <c r="Q1076" i="3"/>
  <c r="E1079" i="3"/>
  <c r="A1080" i="3"/>
  <c r="D1080" i="3" s="1"/>
  <c r="B1079" i="3"/>
  <c r="H1080" i="3" l="1"/>
  <c r="I1080" i="3"/>
  <c r="L1079" i="3"/>
  <c r="O1078" i="3"/>
  <c r="P1078" i="3" s="1"/>
  <c r="F1079" i="3"/>
  <c r="G1079" i="3" s="1"/>
  <c r="C1080" i="3"/>
  <c r="J1079" i="3"/>
  <c r="K1079" i="3" s="1"/>
  <c r="M1079" i="3"/>
  <c r="N1079" i="3" s="1"/>
  <c r="Q1077" i="3"/>
  <c r="E1080" i="3"/>
  <c r="A1081" i="3"/>
  <c r="D1081" i="3" s="1"/>
  <c r="B1080" i="3"/>
  <c r="H1081" i="3" l="1"/>
  <c r="I1081" i="3"/>
  <c r="F1080" i="3"/>
  <c r="G1080" i="3" s="1"/>
  <c r="O1079" i="3"/>
  <c r="P1079" i="3" s="1"/>
  <c r="L1080" i="3"/>
  <c r="C1081" i="3"/>
  <c r="J1080" i="3"/>
  <c r="K1080" i="3" s="1"/>
  <c r="M1080" i="3"/>
  <c r="N1080" i="3" s="1"/>
  <c r="Q1078" i="3"/>
  <c r="E1081" i="3"/>
  <c r="A1082" i="3"/>
  <c r="D1082" i="3" s="1"/>
  <c r="B1081" i="3"/>
  <c r="H1082" i="3" l="1"/>
  <c r="I1082" i="3"/>
  <c r="F1081" i="3"/>
  <c r="G1081" i="3" s="1"/>
  <c r="L1081" i="3"/>
  <c r="O1080" i="3"/>
  <c r="P1080" i="3" s="1"/>
  <c r="C1082" i="3"/>
  <c r="J1081" i="3"/>
  <c r="K1081" i="3" s="1"/>
  <c r="M1081" i="3"/>
  <c r="N1081" i="3" s="1"/>
  <c r="Q1079" i="3"/>
  <c r="E1082" i="3"/>
  <c r="A1083" i="3"/>
  <c r="D1083" i="3" s="1"/>
  <c r="B1082" i="3"/>
  <c r="H1083" i="3" l="1"/>
  <c r="I1083" i="3"/>
  <c r="O1081" i="3"/>
  <c r="P1081" i="3" s="1"/>
  <c r="F1082" i="3"/>
  <c r="G1082" i="3" s="1"/>
  <c r="L1082" i="3"/>
  <c r="C1083" i="3"/>
  <c r="J1082" i="3"/>
  <c r="K1082" i="3" s="1"/>
  <c r="M1082" i="3"/>
  <c r="N1082" i="3" s="1"/>
  <c r="Q1080" i="3"/>
  <c r="E1083" i="3"/>
  <c r="A1084" i="3"/>
  <c r="D1084" i="3" s="1"/>
  <c r="B1083" i="3"/>
  <c r="H1084" i="3" l="1"/>
  <c r="I1084" i="3"/>
  <c r="F1083" i="3"/>
  <c r="G1083" i="3" s="1"/>
  <c r="O1082" i="3"/>
  <c r="P1082" i="3" s="1"/>
  <c r="L1083" i="3"/>
  <c r="C1084" i="3"/>
  <c r="J1083" i="3"/>
  <c r="K1083" i="3" s="1"/>
  <c r="M1083" i="3"/>
  <c r="N1083" i="3" s="1"/>
  <c r="Q1081" i="3"/>
  <c r="E1084" i="3"/>
  <c r="A1085" i="3"/>
  <c r="D1085" i="3" s="1"/>
  <c r="B1084" i="3"/>
  <c r="H1085" i="3" l="1"/>
  <c r="I1085" i="3"/>
  <c r="F1084" i="3"/>
  <c r="G1084" i="3" s="1"/>
  <c r="L1084" i="3"/>
  <c r="O1083" i="3"/>
  <c r="P1083" i="3" s="1"/>
  <c r="C1085" i="3"/>
  <c r="J1084" i="3"/>
  <c r="K1084" i="3" s="1"/>
  <c r="M1084" i="3"/>
  <c r="N1084" i="3" s="1"/>
  <c r="Q1082" i="3"/>
  <c r="E1085" i="3"/>
  <c r="A1086" i="3"/>
  <c r="D1086" i="3" s="1"/>
  <c r="B1085" i="3"/>
  <c r="H1086" i="3" l="1"/>
  <c r="I1086" i="3"/>
  <c r="F1085" i="3"/>
  <c r="G1085" i="3" s="1"/>
  <c r="L1085" i="3"/>
  <c r="O1084" i="3"/>
  <c r="P1084" i="3" s="1"/>
  <c r="C1086" i="3"/>
  <c r="J1085" i="3"/>
  <c r="K1085" i="3" s="1"/>
  <c r="M1085" i="3"/>
  <c r="N1085" i="3" s="1"/>
  <c r="Q1083" i="3"/>
  <c r="E1086" i="3"/>
  <c r="A1087" i="3"/>
  <c r="D1087" i="3" s="1"/>
  <c r="B1086" i="3"/>
  <c r="H1087" i="3" l="1"/>
  <c r="I1087" i="3"/>
  <c r="F1086" i="3"/>
  <c r="G1086" i="3" s="1"/>
  <c r="L1086" i="3"/>
  <c r="O1085" i="3"/>
  <c r="P1085" i="3" s="1"/>
  <c r="C1087" i="3"/>
  <c r="J1086" i="3"/>
  <c r="K1086" i="3" s="1"/>
  <c r="M1086" i="3"/>
  <c r="N1086" i="3" s="1"/>
  <c r="Q1084" i="3"/>
  <c r="E1087" i="3"/>
  <c r="A1088" i="3"/>
  <c r="D1088" i="3" s="1"/>
  <c r="B1087" i="3"/>
  <c r="H1088" i="3" l="1"/>
  <c r="I1088" i="3"/>
  <c r="F1087" i="3"/>
  <c r="G1087" i="3" s="1"/>
  <c r="L1087" i="3"/>
  <c r="O1086" i="3"/>
  <c r="P1086" i="3" s="1"/>
  <c r="J1087" i="3"/>
  <c r="K1087" i="3" s="1"/>
  <c r="M1087" i="3"/>
  <c r="N1087" i="3" s="1"/>
  <c r="C1088" i="3"/>
  <c r="Q1085" i="3"/>
  <c r="E1088" i="3"/>
  <c r="A1089" i="3"/>
  <c r="D1089" i="3" s="1"/>
  <c r="B1088" i="3"/>
  <c r="I1089" i="3" l="1"/>
  <c r="H1089" i="3"/>
  <c r="F1088" i="3"/>
  <c r="G1088" i="3" s="1"/>
  <c r="L1088" i="3"/>
  <c r="O1087" i="3"/>
  <c r="P1087" i="3" s="1"/>
  <c r="J1088" i="3"/>
  <c r="K1088" i="3" s="1"/>
  <c r="M1088" i="3"/>
  <c r="N1088" i="3" s="1"/>
  <c r="C1089" i="3"/>
  <c r="Q1086" i="3"/>
  <c r="E1089" i="3"/>
  <c r="A1090" i="3"/>
  <c r="D1090" i="3" s="1"/>
  <c r="B1089" i="3"/>
  <c r="H1090" i="3" l="1"/>
  <c r="I1090" i="3"/>
  <c r="F1089" i="3"/>
  <c r="G1089" i="3" s="1"/>
  <c r="O1088" i="3"/>
  <c r="P1088" i="3" s="1"/>
  <c r="L1089" i="3"/>
  <c r="J1089" i="3"/>
  <c r="K1089" i="3" s="1"/>
  <c r="M1089" i="3"/>
  <c r="N1089" i="3" s="1"/>
  <c r="C1090" i="3"/>
  <c r="Q1087" i="3"/>
  <c r="E1090" i="3"/>
  <c r="A1091" i="3"/>
  <c r="D1091" i="3" s="1"/>
  <c r="B1090" i="3"/>
  <c r="I1091" i="3" l="1"/>
  <c r="H1091" i="3"/>
  <c r="F1090" i="3"/>
  <c r="G1090" i="3" s="1"/>
  <c r="L1090" i="3"/>
  <c r="O1089" i="3"/>
  <c r="P1089" i="3" s="1"/>
  <c r="C1091" i="3"/>
  <c r="J1090" i="3"/>
  <c r="K1090" i="3" s="1"/>
  <c r="M1090" i="3"/>
  <c r="N1090" i="3" s="1"/>
  <c r="Q1088" i="3"/>
  <c r="E1091" i="3"/>
  <c r="A1092" i="3"/>
  <c r="D1092" i="3" s="1"/>
  <c r="B1091" i="3"/>
  <c r="H1092" i="3" l="1"/>
  <c r="I1092" i="3"/>
  <c r="F1091" i="3"/>
  <c r="G1091" i="3" s="1"/>
  <c r="O1090" i="3"/>
  <c r="P1090" i="3" s="1"/>
  <c r="L1091" i="3"/>
  <c r="J1091" i="3"/>
  <c r="K1091" i="3" s="1"/>
  <c r="M1091" i="3"/>
  <c r="N1091" i="3" s="1"/>
  <c r="C1092" i="3"/>
  <c r="Q1089" i="3"/>
  <c r="E1092" i="3"/>
  <c r="A1093" i="3"/>
  <c r="D1093" i="3" s="1"/>
  <c r="B1092" i="3"/>
  <c r="H1093" i="3" l="1"/>
  <c r="I1093" i="3"/>
  <c r="L1092" i="3"/>
  <c r="F1092" i="3"/>
  <c r="G1092" i="3" s="1"/>
  <c r="O1091" i="3"/>
  <c r="P1091" i="3" s="1"/>
  <c r="C1093" i="3"/>
  <c r="J1092" i="3"/>
  <c r="K1092" i="3" s="1"/>
  <c r="M1092" i="3"/>
  <c r="N1092" i="3" s="1"/>
  <c r="Q1090" i="3"/>
  <c r="E1093" i="3"/>
  <c r="A1094" i="3"/>
  <c r="D1094" i="3" s="1"/>
  <c r="B1093" i="3"/>
  <c r="H1094" i="3" l="1"/>
  <c r="I1094" i="3"/>
  <c r="F1093" i="3"/>
  <c r="G1093" i="3" s="1"/>
  <c r="L1093" i="3"/>
  <c r="O1092" i="3"/>
  <c r="P1092" i="3" s="1"/>
  <c r="C1094" i="3"/>
  <c r="J1093" i="3"/>
  <c r="K1093" i="3" s="1"/>
  <c r="M1093" i="3"/>
  <c r="N1093" i="3" s="1"/>
  <c r="Q1091" i="3"/>
  <c r="E1094" i="3"/>
  <c r="A1095" i="3"/>
  <c r="D1095" i="3" s="1"/>
  <c r="B1094" i="3"/>
  <c r="H1095" i="3" l="1"/>
  <c r="I1095" i="3"/>
  <c r="F1094" i="3"/>
  <c r="G1094" i="3" s="1"/>
  <c r="O1093" i="3"/>
  <c r="P1093" i="3" s="1"/>
  <c r="L1094" i="3"/>
  <c r="C1095" i="3"/>
  <c r="J1094" i="3"/>
  <c r="K1094" i="3" s="1"/>
  <c r="M1094" i="3"/>
  <c r="N1094" i="3" s="1"/>
  <c r="Q1092" i="3"/>
  <c r="E1095" i="3"/>
  <c r="A1096" i="3"/>
  <c r="D1096" i="3" s="1"/>
  <c r="B1095" i="3"/>
  <c r="H1096" i="3" l="1"/>
  <c r="I1096" i="3"/>
  <c r="F1095" i="3"/>
  <c r="G1095" i="3" s="1"/>
  <c r="O1094" i="3"/>
  <c r="P1094" i="3" s="1"/>
  <c r="L1095" i="3"/>
  <c r="C1096" i="3"/>
  <c r="J1095" i="3"/>
  <c r="K1095" i="3" s="1"/>
  <c r="M1095" i="3"/>
  <c r="N1095" i="3" s="1"/>
  <c r="Q1093" i="3"/>
  <c r="E1096" i="3"/>
  <c r="A1097" i="3"/>
  <c r="D1097" i="3" s="1"/>
  <c r="B1096" i="3"/>
  <c r="H1097" i="3" l="1"/>
  <c r="I1097" i="3"/>
  <c r="F1096" i="3"/>
  <c r="G1096" i="3" s="1"/>
  <c r="O1095" i="3"/>
  <c r="P1095" i="3" s="1"/>
  <c r="L1096" i="3"/>
  <c r="C1097" i="3"/>
  <c r="J1096" i="3"/>
  <c r="K1096" i="3" s="1"/>
  <c r="M1096" i="3"/>
  <c r="N1096" i="3" s="1"/>
  <c r="Q1094" i="3"/>
  <c r="E1097" i="3"/>
  <c r="A1098" i="3"/>
  <c r="D1098" i="3" s="1"/>
  <c r="B1097" i="3"/>
  <c r="H1098" i="3" l="1"/>
  <c r="I1098" i="3"/>
  <c r="L1097" i="3"/>
  <c r="F1097" i="3"/>
  <c r="G1097" i="3" s="1"/>
  <c r="O1096" i="3"/>
  <c r="P1096" i="3" s="1"/>
  <c r="J1097" i="3"/>
  <c r="K1097" i="3" s="1"/>
  <c r="M1097" i="3"/>
  <c r="N1097" i="3" s="1"/>
  <c r="C1098" i="3"/>
  <c r="Q1095" i="3"/>
  <c r="E1098" i="3"/>
  <c r="A1099" i="3"/>
  <c r="D1099" i="3" s="1"/>
  <c r="B1098" i="3"/>
  <c r="H1099" i="3" l="1"/>
  <c r="I1099" i="3"/>
  <c r="F1098" i="3"/>
  <c r="G1098" i="3" s="1"/>
  <c r="O1097" i="3"/>
  <c r="P1097" i="3" s="1"/>
  <c r="L1098" i="3"/>
  <c r="C1099" i="3"/>
  <c r="J1098" i="3"/>
  <c r="K1098" i="3" s="1"/>
  <c r="M1098" i="3"/>
  <c r="N1098" i="3" s="1"/>
  <c r="Q1096" i="3"/>
  <c r="E1099" i="3"/>
  <c r="A1100" i="3"/>
  <c r="D1100" i="3" s="1"/>
  <c r="B1099" i="3"/>
  <c r="H1100" i="3" l="1"/>
  <c r="M1100" i="3" s="1"/>
  <c r="N1100" i="3" s="1"/>
  <c r="I1100" i="3"/>
  <c r="F1099" i="3"/>
  <c r="G1099" i="3" s="1"/>
  <c r="L1099" i="3"/>
  <c r="O1098" i="3"/>
  <c r="P1098" i="3" s="1"/>
  <c r="C1100" i="3"/>
  <c r="J1099" i="3"/>
  <c r="K1099" i="3" s="1"/>
  <c r="M1099" i="3"/>
  <c r="N1099" i="3" s="1"/>
  <c r="Q1097" i="3"/>
  <c r="E1100" i="3"/>
  <c r="A1101" i="3"/>
  <c r="D1101" i="3" s="1"/>
  <c r="B1100" i="3"/>
  <c r="H1101" i="3" l="1"/>
  <c r="I1101" i="3"/>
  <c r="F1100" i="3"/>
  <c r="G1100" i="3" s="1"/>
  <c r="J1100" i="3"/>
  <c r="K1100" i="3" s="1"/>
  <c r="O1100" i="3" s="1"/>
  <c r="O1099" i="3"/>
  <c r="P1099" i="3" s="1"/>
  <c r="L1100" i="3"/>
  <c r="C1101" i="3"/>
  <c r="Q1098" i="3"/>
  <c r="E1101" i="3"/>
  <c r="A1102" i="3"/>
  <c r="D1102" i="3" s="1"/>
  <c r="B1101" i="3"/>
  <c r="I1102" i="3" l="1"/>
  <c r="H1102" i="3"/>
  <c r="F1101" i="3"/>
  <c r="G1101" i="3" s="1"/>
  <c r="J1101" i="3"/>
  <c r="K1101" i="3" s="1"/>
  <c r="M1101" i="3"/>
  <c r="N1101" i="3" s="1"/>
  <c r="C1102" i="3"/>
  <c r="L1101" i="3"/>
  <c r="Q1099" i="3"/>
  <c r="P1100" i="3"/>
  <c r="E1102" i="3"/>
  <c r="A1103" i="3"/>
  <c r="D1103" i="3" s="1"/>
  <c r="B1102" i="3"/>
  <c r="H1103" i="3" l="1"/>
  <c r="I1103" i="3"/>
  <c r="L1102" i="3"/>
  <c r="O1101" i="3"/>
  <c r="P1101" i="3" s="1"/>
  <c r="F1102" i="3"/>
  <c r="G1102" i="3" s="1"/>
  <c r="J1102" i="3"/>
  <c r="K1102" i="3" s="1"/>
  <c r="M1102" i="3"/>
  <c r="N1102" i="3" s="1"/>
  <c r="C1103" i="3"/>
  <c r="Q1100" i="3"/>
  <c r="E1103" i="3"/>
  <c r="A1104" i="3"/>
  <c r="D1104" i="3" s="1"/>
  <c r="B1103" i="3"/>
  <c r="H1104" i="3" l="1"/>
  <c r="I1104" i="3"/>
  <c r="F1103" i="3"/>
  <c r="G1103" i="3" s="1"/>
  <c r="O1102" i="3"/>
  <c r="P1102" i="3" s="1"/>
  <c r="L1103" i="3"/>
  <c r="J1103" i="3"/>
  <c r="K1103" i="3" s="1"/>
  <c r="M1103" i="3"/>
  <c r="N1103" i="3" s="1"/>
  <c r="C1104" i="3"/>
  <c r="Q1101" i="3"/>
  <c r="E1104" i="3"/>
  <c r="A1105" i="3"/>
  <c r="D1105" i="3" s="1"/>
  <c r="B1104" i="3"/>
  <c r="H1105" i="3" l="1"/>
  <c r="I1105" i="3"/>
  <c r="F1104" i="3"/>
  <c r="G1104" i="3" s="1"/>
  <c r="L1104" i="3"/>
  <c r="O1103" i="3"/>
  <c r="P1103" i="3" s="1"/>
  <c r="J1104" i="3"/>
  <c r="K1104" i="3" s="1"/>
  <c r="M1104" i="3"/>
  <c r="N1104" i="3" s="1"/>
  <c r="C1105" i="3"/>
  <c r="Q1102" i="3"/>
  <c r="E1105" i="3"/>
  <c r="A1106" i="3"/>
  <c r="D1106" i="3" s="1"/>
  <c r="B1105" i="3"/>
  <c r="I1106" i="3" l="1"/>
  <c r="H1106" i="3"/>
  <c r="F1105" i="3"/>
  <c r="G1105" i="3" s="1"/>
  <c r="L1105" i="3"/>
  <c r="O1104" i="3"/>
  <c r="P1104" i="3" s="1"/>
  <c r="C1106" i="3"/>
  <c r="J1105" i="3"/>
  <c r="K1105" i="3" s="1"/>
  <c r="M1105" i="3"/>
  <c r="N1105" i="3" s="1"/>
  <c r="Q1103" i="3"/>
  <c r="E1106" i="3"/>
  <c r="A1107" i="3"/>
  <c r="D1107" i="3" s="1"/>
  <c r="B1106" i="3"/>
  <c r="H1107" i="3" l="1"/>
  <c r="I1107" i="3"/>
  <c r="F1106" i="3"/>
  <c r="G1106" i="3" s="1"/>
  <c r="L1106" i="3"/>
  <c r="O1105" i="3"/>
  <c r="P1105" i="3" s="1"/>
  <c r="C1107" i="3"/>
  <c r="J1106" i="3"/>
  <c r="K1106" i="3" s="1"/>
  <c r="M1106" i="3"/>
  <c r="N1106" i="3" s="1"/>
  <c r="Q1104" i="3"/>
  <c r="E1107" i="3"/>
  <c r="A1108" i="3"/>
  <c r="D1108" i="3" s="1"/>
  <c r="B1107" i="3"/>
  <c r="H1108" i="3" l="1"/>
  <c r="I1108" i="3"/>
  <c r="F1107" i="3"/>
  <c r="G1107" i="3" s="1"/>
  <c r="O1106" i="3"/>
  <c r="P1106" i="3" s="1"/>
  <c r="L1107" i="3"/>
  <c r="J1107" i="3"/>
  <c r="K1107" i="3" s="1"/>
  <c r="M1107" i="3"/>
  <c r="N1107" i="3" s="1"/>
  <c r="C1108" i="3"/>
  <c r="Q1105" i="3"/>
  <c r="E1108" i="3"/>
  <c r="A1109" i="3"/>
  <c r="D1109" i="3" s="1"/>
  <c r="B1108" i="3"/>
  <c r="H1109" i="3" l="1"/>
  <c r="I1109" i="3"/>
  <c r="F1108" i="3"/>
  <c r="G1108" i="3" s="1"/>
  <c r="L1108" i="3"/>
  <c r="O1107" i="3"/>
  <c r="P1107" i="3" s="1"/>
  <c r="C1109" i="3"/>
  <c r="J1108" i="3"/>
  <c r="K1108" i="3" s="1"/>
  <c r="M1108" i="3"/>
  <c r="N1108" i="3" s="1"/>
  <c r="Q1106" i="3"/>
  <c r="E1109" i="3"/>
  <c r="A1110" i="3"/>
  <c r="D1110" i="3" s="1"/>
  <c r="B1109" i="3"/>
  <c r="H1110" i="3" l="1"/>
  <c r="I1110" i="3"/>
  <c r="F1109" i="3"/>
  <c r="G1109" i="3" s="1"/>
  <c r="O1108" i="3"/>
  <c r="P1108" i="3" s="1"/>
  <c r="L1109" i="3"/>
  <c r="C1110" i="3"/>
  <c r="J1109" i="3"/>
  <c r="K1109" i="3" s="1"/>
  <c r="M1109" i="3"/>
  <c r="N1109" i="3" s="1"/>
  <c r="Q1107" i="3"/>
  <c r="E1110" i="3"/>
  <c r="A1111" i="3"/>
  <c r="D1111" i="3" s="1"/>
  <c r="B1110" i="3"/>
  <c r="H1111" i="3" l="1"/>
  <c r="I1111" i="3"/>
  <c r="F1110" i="3"/>
  <c r="G1110" i="3" s="1"/>
  <c r="L1110" i="3"/>
  <c r="O1109" i="3"/>
  <c r="P1109" i="3" s="1"/>
  <c r="J1110" i="3"/>
  <c r="K1110" i="3" s="1"/>
  <c r="M1110" i="3"/>
  <c r="N1110" i="3" s="1"/>
  <c r="C1111" i="3"/>
  <c r="Q1108" i="3"/>
  <c r="E1111" i="3"/>
  <c r="A1112" i="3"/>
  <c r="D1112" i="3" s="1"/>
  <c r="B1111" i="3"/>
  <c r="H1112" i="3" l="1"/>
  <c r="I1112" i="3"/>
  <c r="O1110" i="3"/>
  <c r="P1110" i="3" s="1"/>
  <c r="F1111" i="3"/>
  <c r="G1111" i="3" s="1"/>
  <c r="L1111" i="3"/>
  <c r="C1112" i="3"/>
  <c r="J1111" i="3"/>
  <c r="K1111" i="3" s="1"/>
  <c r="M1111" i="3"/>
  <c r="N1111" i="3" s="1"/>
  <c r="Q1109" i="3"/>
  <c r="E1112" i="3"/>
  <c r="A1113" i="3"/>
  <c r="D1113" i="3" s="1"/>
  <c r="B1112" i="3"/>
  <c r="H1113" i="3" l="1"/>
  <c r="I1113" i="3"/>
  <c r="F1112" i="3"/>
  <c r="G1112" i="3" s="1"/>
  <c r="O1111" i="3"/>
  <c r="P1111" i="3" s="1"/>
  <c r="L1112" i="3"/>
  <c r="C1113" i="3"/>
  <c r="J1112" i="3"/>
  <c r="K1112" i="3" s="1"/>
  <c r="M1112" i="3"/>
  <c r="N1112" i="3" s="1"/>
  <c r="Q1110" i="3"/>
  <c r="E1113" i="3"/>
  <c r="A1114" i="3"/>
  <c r="D1114" i="3" s="1"/>
  <c r="B1113" i="3"/>
  <c r="H1114" i="3" l="1"/>
  <c r="I1114" i="3"/>
  <c r="F1113" i="3"/>
  <c r="G1113" i="3" s="1"/>
  <c r="L1113" i="3"/>
  <c r="O1112" i="3"/>
  <c r="P1112" i="3" s="1"/>
  <c r="C1114" i="3"/>
  <c r="J1113" i="3"/>
  <c r="K1113" i="3" s="1"/>
  <c r="M1113" i="3"/>
  <c r="N1113" i="3" s="1"/>
  <c r="Q1111" i="3"/>
  <c r="E1114" i="3"/>
  <c r="A1115" i="3"/>
  <c r="D1115" i="3" s="1"/>
  <c r="B1114" i="3"/>
  <c r="H1115" i="3" l="1"/>
  <c r="I1115" i="3"/>
  <c r="F1114" i="3"/>
  <c r="G1114" i="3" s="1"/>
  <c r="O1113" i="3"/>
  <c r="P1113" i="3" s="1"/>
  <c r="L1114" i="3"/>
  <c r="C1115" i="3"/>
  <c r="J1114" i="3"/>
  <c r="K1114" i="3" s="1"/>
  <c r="M1114" i="3"/>
  <c r="N1114" i="3" s="1"/>
  <c r="Q1112" i="3"/>
  <c r="E1115" i="3"/>
  <c r="A1116" i="3"/>
  <c r="D1116" i="3" s="1"/>
  <c r="B1115" i="3"/>
  <c r="H1116" i="3" l="1"/>
  <c r="I1116" i="3"/>
  <c r="F1115" i="3"/>
  <c r="G1115" i="3" s="1"/>
  <c r="L1115" i="3"/>
  <c r="O1114" i="3"/>
  <c r="P1114" i="3" s="1"/>
  <c r="J1115" i="3"/>
  <c r="K1115" i="3" s="1"/>
  <c r="M1115" i="3"/>
  <c r="N1115" i="3" s="1"/>
  <c r="C1116" i="3"/>
  <c r="Q1113" i="3"/>
  <c r="E1116" i="3"/>
  <c r="A1117" i="3"/>
  <c r="D1117" i="3" s="1"/>
  <c r="B1116" i="3"/>
  <c r="H1117" i="3" l="1"/>
  <c r="I1117" i="3"/>
  <c r="F1116" i="3"/>
  <c r="G1116" i="3" s="1"/>
  <c r="L1116" i="3"/>
  <c r="O1115" i="3"/>
  <c r="P1115" i="3" s="1"/>
  <c r="J1116" i="3"/>
  <c r="K1116" i="3" s="1"/>
  <c r="M1116" i="3"/>
  <c r="N1116" i="3" s="1"/>
  <c r="C1117" i="3"/>
  <c r="Q1114" i="3"/>
  <c r="E1117" i="3"/>
  <c r="A1118" i="3"/>
  <c r="D1118" i="3" s="1"/>
  <c r="B1117" i="3"/>
  <c r="H1118" i="3" l="1"/>
  <c r="I1118" i="3"/>
  <c r="F1117" i="3"/>
  <c r="G1117" i="3" s="1"/>
  <c r="L1117" i="3"/>
  <c r="O1116" i="3"/>
  <c r="P1116" i="3" s="1"/>
  <c r="J1117" i="3"/>
  <c r="K1117" i="3" s="1"/>
  <c r="M1117" i="3"/>
  <c r="N1117" i="3" s="1"/>
  <c r="C1118" i="3"/>
  <c r="Q1115" i="3"/>
  <c r="E1118" i="3"/>
  <c r="A1119" i="3"/>
  <c r="D1119" i="3" s="1"/>
  <c r="B1118" i="3"/>
  <c r="I1119" i="3" l="1"/>
  <c r="H1119" i="3"/>
  <c r="O1117" i="3"/>
  <c r="P1117" i="3" s="1"/>
  <c r="F1118" i="3"/>
  <c r="G1118" i="3" s="1"/>
  <c r="L1118" i="3"/>
  <c r="C1119" i="3"/>
  <c r="J1118" i="3"/>
  <c r="K1118" i="3" s="1"/>
  <c r="M1118" i="3"/>
  <c r="N1118" i="3" s="1"/>
  <c r="Q1116" i="3"/>
  <c r="E1119" i="3"/>
  <c r="A1120" i="3"/>
  <c r="D1120" i="3" s="1"/>
  <c r="B1119" i="3"/>
  <c r="H1120" i="3" l="1"/>
  <c r="I1120" i="3"/>
  <c r="F1119" i="3"/>
  <c r="G1119" i="3" s="1"/>
  <c r="O1118" i="3"/>
  <c r="P1118" i="3" s="1"/>
  <c r="L1119" i="3"/>
  <c r="J1119" i="3"/>
  <c r="K1119" i="3" s="1"/>
  <c r="M1119" i="3"/>
  <c r="N1119" i="3" s="1"/>
  <c r="C1120" i="3"/>
  <c r="Q1117" i="3"/>
  <c r="E1120" i="3"/>
  <c r="A1121" i="3"/>
  <c r="D1121" i="3" s="1"/>
  <c r="B1120" i="3"/>
  <c r="I1121" i="3" l="1"/>
  <c r="H1121" i="3"/>
  <c r="L1120" i="3"/>
  <c r="F1120" i="3"/>
  <c r="G1120" i="3" s="1"/>
  <c r="O1119" i="3"/>
  <c r="P1119" i="3" s="1"/>
  <c r="J1120" i="3"/>
  <c r="K1120" i="3" s="1"/>
  <c r="M1120" i="3"/>
  <c r="N1120" i="3" s="1"/>
  <c r="C1121" i="3"/>
  <c r="Q1118" i="3"/>
  <c r="E1121" i="3"/>
  <c r="A1122" i="3"/>
  <c r="D1122" i="3" s="1"/>
  <c r="B1121" i="3"/>
  <c r="H1122" i="3" l="1"/>
  <c r="I1122" i="3"/>
  <c r="F1121" i="3"/>
  <c r="G1121" i="3" s="1"/>
  <c r="L1121" i="3"/>
  <c r="O1120" i="3"/>
  <c r="P1120" i="3" s="1"/>
  <c r="J1121" i="3"/>
  <c r="K1121" i="3" s="1"/>
  <c r="M1121" i="3"/>
  <c r="N1121" i="3" s="1"/>
  <c r="C1122" i="3"/>
  <c r="Q1119" i="3"/>
  <c r="E1122" i="3"/>
  <c r="A1123" i="3"/>
  <c r="D1123" i="3" s="1"/>
  <c r="B1122" i="3"/>
  <c r="H1123" i="3" l="1"/>
  <c r="I1123" i="3"/>
  <c r="F1122" i="3"/>
  <c r="G1122" i="3" s="1"/>
  <c r="O1121" i="3"/>
  <c r="P1121" i="3" s="1"/>
  <c r="L1122" i="3"/>
  <c r="C1123" i="3"/>
  <c r="J1122" i="3"/>
  <c r="K1122" i="3" s="1"/>
  <c r="M1122" i="3"/>
  <c r="N1122" i="3" s="1"/>
  <c r="Q1120" i="3"/>
  <c r="E1123" i="3"/>
  <c r="A1124" i="3"/>
  <c r="D1124" i="3" s="1"/>
  <c r="B1123" i="3"/>
  <c r="H1124" i="3" l="1"/>
  <c r="I1124" i="3"/>
  <c r="F1123" i="3"/>
  <c r="G1123" i="3" s="1"/>
  <c r="O1122" i="3"/>
  <c r="P1122" i="3" s="1"/>
  <c r="L1123" i="3"/>
  <c r="C1124" i="3"/>
  <c r="J1123" i="3"/>
  <c r="K1123" i="3" s="1"/>
  <c r="M1123" i="3"/>
  <c r="N1123" i="3" s="1"/>
  <c r="Q1121" i="3"/>
  <c r="E1124" i="3"/>
  <c r="A1125" i="3"/>
  <c r="D1125" i="3" s="1"/>
  <c r="B1124" i="3"/>
  <c r="H1125" i="3" l="1"/>
  <c r="I1125" i="3"/>
  <c r="F1124" i="3"/>
  <c r="G1124" i="3" s="1"/>
  <c r="O1123" i="3"/>
  <c r="P1123" i="3" s="1"/>
  <c r="L1124" i="3"/>
  <c r="C1125" i="3"/>
  <c r="J1124" i="3"/>
  <c r="K1124" i="3" s="1"/>
  <c r="M1124" i="3"/>
  <c r="N1124" i="3" s="1"/>
  <c r="Q1122" i="3"/>
  <c r="E1125" i="3"/>
  <c r="A1126" i="3"/>
  <c r="D1126" i="3" s="1"/>
  <c r="B1125" i="3"/>
  <c r="H1126" i="3" l="1"/>
  <c r="I1126" i="3"/>
  <c r="F1125" i="3"/>
  <c r="G1125" i="3" s="1"/>
  <c r="L1125" i="3"/>
  <c r="O1124" i="3"/>
  <c r="P1124" i="3" s="1"/>
  <c r="C1126" i="3"/>
  <c r="J1125" i="3"/>
  <c r="K1125" i="3" s="1"/>
  <c r="M1125" i="3"/>
  <c r="N1125" i="3" s="1"/>
  <c r="Q1123" i="3"/>
  <c r="E1126" i="3"/>
  <c r="A1127" i="3"/>
  <c r="D1127" i="3" s="1"/>
  <c r="B1126" i="3"/>
  <c r="H1127" i="3" l="1"/>
  <c r="I1127" i="3"/>
  <c r="F1126" i="3"/>
  <c r="G1126" i="3" s="1"/>
  <c r="O1125" i="3"/>
  <c r="P1125" i="3" s="1"/>
  <c r="L1126" i="3"/>
  <c r="C1127" i="3"/>
  <c r="J1126" i="3"/>
  <c r="K1126" i="3" s="1"/>
  <c r="M1126" i="3"/>
  <c r="N1126" i="3" s="1"/>
  <c r="Q1124" i="3"/>
  <c r="E1127" i="3"/>
  <c r="A1128" i="3"/>
  <c r="D1128" i="3" s="1"/>
  <c r="B1127" i="3"/>
  <c r="H1128" i="3" l="1"/>
  <c r="I1128" i="3"/>
  <c r="F1127" i="3"/>
  <c r="G1127" i="3" s="1"/>
  <c r="O1126" i="3"/>
  <c r="P1126" i="3" s="1"/>
  <c r="L1127" i="3"/>
  <c r="C1128" i="3"/>
  <c r="J1127" i="3"/>
  <c r="K1127" i="3" s="1"/>
  <c r="M1127" i="3"/>
  <c r="N1127" i="3" s="1"/>
  <c r="Q1125" i="3"/>
  <c r="E1128" i="3"/>
  <c r="A1129" i="3"/>
  <c r="D1129" i="3" s="1"/>
  <c r="B1128" i="3"/>
  <c r="H1129" i="3" l="1"/>
  <c r="I1129" i="3"/>
  <c r="F1128" i="3"/>
  <c r="G1128" i="3" s="1"/>
  <c r="O1127" i="3"/>
  <c r="P1127" i="3" s="1"/>
  <c r="L1128" i="3"/>
  <c r="C1129" i="3"/>
  <c r="J1128" i="3"/>
  <c r="K1128" i="3" s="1"/>
  <c r="M1128" i="3"/>
  <c r="N1128" i="3" s="1"/>
  <c r="Q1126" i="3"/>
  <c r="E1129" i="3"/>
  <c r="A1130" i="3"/>
  <c r="D1130" i="3" s="1"/>
  <c r="B1129" i="3"/>
  <c r="H1130" i="3" l="1"/>
  <c r="I1130" i="3"/>
  <c r="F1129" i="3"/>
  <c r="G1129" i="3" s="1"/>
  <c r="L1129" i="3"/>
  <c r="O1128" i="3"/>
  <c r="P1128" i="3" s="1"/>
  <c r="C1130" i="3"/>
  <c r="J1129" i="3"/>
  <c r="K1129" i="3" s="1"/>
  <c r="M1129" i="3"/>
  <c r="N1129" i="3" s="1"/>
  <c r="Q1127" i="3"/>
  <c r="E1130" i="3"/>
  <c r="A1131" i="3"/>
  <c r="D1131" i="3" s="1"/>
  <c r="B1130" i="3"/>
  <c r="H1131" i="3" l="1"/>
  <c r="I1131" i="3"/>
  <c r="F1130" i="3"/>
  <c r="G1130" i="3" s="1"/>
  <c r="L1130" i="3"/>
  <c r="O1129" i="3"/>
  <c r="P1129" i="3" s="1"/>
  <c r="C1131" i="3"/>
  <c r="J1130" i="3"/>
  <c r="K1130" i="3" s="1"/>
  <c r="M1130" i="3"/>
  <c r="N1130" i="3" s="1"/>
  <c r="Q1128" i="3"/>
  <c r="E1131" i="3"/>
  <c r="A1132" i="3"/>
  <c r="D1132" i="3" s="1"/>
  <c r="B1131" i="3"/>
  <c r="I1132" i="3" l="1"/>
  <c r="H1132" i="3"/>
  <c r="F1131" i="3"/>
  <c r="G1131" i="3" s="1"/>
  <c r="L1131" i="3"/>
  <c r="O1130" i="3"/>
  <c r="P1130" i="3" s="1"/>
  <c r="C1132" i="3"/>
  <c r="J1131" i="3"/>
  <c r="K1131" i="3" s="1"/>
  <c r="M1131" i="3"/>
  <c r="N1131" i="3" s="1"/>
  <c r="Q1129" i="3"/>
  <c r="E1132" i="3"/>
  <c r="A1133" i="3"/>
  <c r="D1133" i="3" s="1"/>
  <c r="B1132" i="3"/>
  <c r="H1133" i="3" l="1"/>
  <c r="I1133" i="3"/>
  <c r="F1132" i="3"/>
  <c r="G1132" i="3" s="1"/>
  <c r="L1132" i="3"/>
  <c r="O1131" i="3"/>
  <c r="P1131" i="3" s="1"/>
  <c r="C1133" i="3"/>
  <c r="J1132" i="3"/>
  <c r="K1132" i="3" s="1"/>
  <c r="M1132" i="3"/>
  <c r="N1132" i="3" s="1"/>
  <c r="Q1130" i="3"/>
  <c r="E1133" i="3"/>
  <c r="A1134" i="3"/>
  <c r="D1134" i="3" s="1"/>
  <c r="B1133" i="3"/>
  <c r="I1134" i="3" l="1"/>
  <c r="H1134" i="3"/>
  <c r="F1133" i="3"/>
  <c r="G1133" i="3" s="1"/>
  <c r="L1133" i="3"/>
  <c r="O1132" i="3"/>
  <c r="P1132" i="3" s="1"/>
  <c r="C1134" i="3"/>
  <c r="J1133" i="3"/>
  <c r="K1133" i="3" s="1"/>
  <c r="M1133" i="3"/>
  <c r="N1133" i="3" s="1"/>
  <c r="Q1131" i="3"/>
  <c r="E1134" i="3"/>
  <c r="A1135" i="3"/>
  <c r="D1135" i="3" s="1"/>
  <c r="B1134" i="3"/>
  <c r="H1135" i="3" l="1"/>
  <c r="I1135" i="3"/>
  <c r="F1134" i="3"/>
  <c r="G1134" i="3" s="1"/>
  <c r="O1133" i="3"/>
  <c r="P1133" i="3" s="1"/>
  <c r="L1134" i="3"/>
  <c r="C1135" i="3"/>
  <c r="J1134" i="3"/>
  <c r="K1134" i="3" s="1"/>
  <c r="M1134" i="3"/>
  <c r="N1134" i="3" s="1"/>
  <c r="Q1132" i="3"/>
  <c r="E1135" i="3"/>
  <c r="A1136" i="3"/>
  <c r="D1136" i="3" s="1"/>
  <c r="B1135" i="3"/>
  <c r="H1136" i="3" l="1"/>
  <c r="I1136" i="3"/>
  <c r="F1135" i="3"/>
  <c r="G1135" i="3" s="1"/>
  <c r="L1135" i="3"/>
  <c r="O1134" i="3"/>
  <c r="P1134" i="3" s="1"/>
  <c r="C1136" i="3"/>
  <c r="J1135" i="3"/>
  <c r="K1135" i="3" s="1"/>
  <c r="M1135" i="3"/>
  <c r="N1135" i="3" s="1"/>
  <c r="Q1133" i="3"/>
  <c r="E1136" i="3"/>
  <c r="A1137" i="3"/>
  <c r="D1137" i="3" s="1"/>
  <c r="B1136" i="3"/>
  <c r="I1137" i="3" l="1"/>
  <c r="H1137" i="3"/>
  <c r="F1136" i="3"/>
  <c r="G1136" i="3" s="1"/>
  <c r="O1135" i="3"/>
  <c r="P1135" i="3" s="1"/>
  <c r="L1136" i="3"/>
  <c r="C1137" i="3"/>
  <c r="J1136" i="3"/>
  <c r="K1136" i="3" s="1"/>
  <c r="M1136" i="3"/>
  <c r="N1136" i="3" s="1"/>
  <c r="Q1134" i="3"/>
  <c r="E1137" i="3"/>
  <c r="A1138" i="3"/>
  <c r="D1138" i="3" s="1"/>
  <c r="B1137" i="3"/>
  <c r="H1138" i="3" l="1"/>
  <c r="I1138" i="3"/>
  <c r="F1137" i="3"/>
  <c r="G1137" i="3" s="1"/>
  <c r="O1136" i="3"/>
  <c r="P1136" i="3" s="1"/>
  <c r="L1137" i="3"/>
  <c r="C1138" i="3"/>
  <c r="J1137" i="3"/>
  <c r="K1137" i="3" s="1"/>
  <c r="M1137" i="3"/>
  <c r="N1137" i="3" s="1"/>
  <c r="Q1135" i="3"/>
  <c r="E1138" i="3"/>
  <c r="A1139" i="3"/>
  <c r="D1139" i="3" s="1"/>
  <c r="B1138" i="3"/>
  <c r="H1139" i="3" l="1"/>
  <c r="I1139" i="3"/>
  <c r="F1138" i="3"/>
  <c r="G1138" i="3" s="1"/>
  <c r="L1138" i="3"/>
  <c r="O1137" i="3"/>
  <c r="P1137" i="3" s="1"/>
  <c r="C1139" i="3"/>
  <c r="J1138" i="3"/>
  <c r="K1138" i="3" s="1"/>
  <c r="M1138" i="3"/>
  <c r="N1138" i="3" s="1"/>
  <c r="Q1136" i="3"/>
  <c r="E1139" i="3"/>
  <c r="A1140" i="3"/>
  <c r="D1140" i="3" s="1"/>
  <c r="B1139" i="3"/>
  <c r="H1140" i="3" l="1"/>
  <c r="M1140" i="3" s="1"/>
  <c r="N1140" i="3" s="1"/>
  <c r="I1140" i="3"/>
  <c r="F1139" i="3"/>
  <c r="G1139" i="3" s="1"/>
  <c r="L1139" i="3"/>
  <c r="O1138" i="3"/>
  <c r="P1138" i="3" s="1"/>
  <c r="C1140" i="3"/>
  <c r="J1139" i="3"/>
  <c r="K1139" i="3" s="1"/>
  <c r="M1139" i="3"/>
  <c r="N1139" i="3" s="1"/>
  <c r="Q1137" i="3"/>
  <c r="E1140" i="3"/>
  <c r="A1141" i="3"/>
  <c r="D1141" i="3" s="1"/>
  <c r="B1140" i="3"/>
  <c r="H1141" i="3" l="1"/>
  <c r="I1141" i="3"/>
  <c r="F1140" i="3"/>
  <c r="G1140" i="3" s="1"/>
  <c r="J1140" i="3"/>
  <c r="K1140" i="3" s="1"/>
  <c r="O1140" i="3" s="1"/>
  <c r="O1139" i="3"/>
  <c r="P1139" i="3" s="1"/>
  <c r="L1140" i="3"/>
  <c r="C1141" i="3"/>
  <c r="Q1138" i="3"/>
  <c r="E1141" i="3"/>
  <c r="A1142" i="3"/>
  <c r="D1142" i="3" s="1"/>
  <c r="B1141" i="3"/>
  <c r="H1142" i="3" l="1"/>
  <c r="I1142" i="3"/>
  <c r="F1141" i="3"/>
  <c r="G1141" i="3" s="1"/>
  <c r="L1141" i="3"/>
  <c r="J1141" i="3"/>
  <c r="K1141" i="3" s="1"/>
  <c r="M1141" i="3"/>
  <c r="N1141" i="3" s="1"/>
  <c r="C1142" i="3"/>
  <c r="Q1139" i="3"/>
  <c r="P1140" i="3"/>
  <c r="E1142" i="3"/>
  <c r="A1143" i="3"/>
  <c r="D1143" i="3" s="1"/>
  <c r="B1142" i="3"/>
  <c r="H1143" i="3" l="1"/>
  <c r="I1143" i="3"/>
  <c r="L1142" i="3"/>
  <c r="F1142" i="3"/>
  <c r="G1142" i="3" s="1"/>
  <c r="O1141" i="3"/>
  <c r="P1141" i="3" s="1"/>
  <c r="J1142" i="3"/>
  <c r="K1142" i="3" s="1"/>
  <c r="M1142" i="3"/>
  <c r="N1142" i="3" s="1"/>
  <c r="C1143" i="3"/>
  <c r="Q1140" i="3"/>
  <c r="E1143" i="3"/>
  <c r="A1144" i="3"/>
  <c r="D1144" i="3" s="1"/>
  <c r="B1143" i="3"/>
  <c r="H1144" i="3" l="1"/>
  <c r="I1144" i="3"/>
  <c r="F1143" i="3"/>
  <c r="G1143" i="3" s="1"/>
  <c r="O1142" i="3"/>
  <c r="P1142" i="3" s="1"/>
  <c r="L1143" i="3"/>
  <c r="C1144" i="3"/>
  <c r="J1143" i="3"/>
  <c r="K1143" i="3" s="1"/>
  <c r="M1143" i="3"/>
  <c r="N1143" i="3" s="1"/>
  <c r="Q1141" i="3"/>
  <c r="E1144" i="3"/>
  <c r="A1145" i="3"/>
  <c r="D1145" i="3" s="1"/>
  <c r="B1144" i="3"/>
  <c r="H1145" i="3" l="1"/>
  <c r="I1145" i="3"/>
  <c r="F1144" i="3"/>
  <c r="G1144" i="3" s="1"/>
  <c r="L1144" i="3"/>
  <c r="O1143" i="3"/>
  <c r="P1143" i="3" s="1"/>
  <c r="C1145" i="3"/>
  <c r="J1144" i="3"/>
  <c r="K1144" i="3" s="1"/>
  <c r="M1144" i="3"/>
  <c r="N1144" i="3" s="1"/>
  <c r="Q1142" i="3"/>
  <c r="E1145" i="3"/>
  <c r="A1146" i="3"/>
  <c r="D1146" i="3" s="1"/>
  <c r="B1145" i="3"/>
  <c r="H1146" i="3" l="1"/>
  <c r="I1146" i="3"/>
  <c r="F1145" i="3"/>
  <c r="G1145" i="3" s="1"/>
  <c r="O1144" i="3"/>
  <c r="P1144" i="3" s="1"/>
  <c r="L1145" i="3"/>
  <c r="J1145" i="3"/>
  <c r="K1145" i="3" s="1"/>
  <c r="M1145" i="3"/>
  <c r="N1145" i="3" s="1"/>
  <c r="C1146" i="3"/>
  <c r="Q1143" i="3"/>
  <c r="E1146" i="3"/>
  <c r="A1147" i="3"/>
  <c r="D1147" i="3" s="1"/>
  <c r="B1146" i="3"/>
  <c r="H1147" i="3" l="1"/>
  <c r="I1147" i="3"/>
  <c r="L1146" i="3"/>
  <c r="O1145" i="3"/>
  <c r="P1145" i="3" s="1"/>
  <c r="F1146" i="3"/>
  <c r="G1146" i="3" s="1"/>
  <c r="C1147" i="3"/>
  <c r="J1146" i="3"/>
  <c r="K1146" i="3" s="1"/>
  <c r="M1146" i="3"/>
  <c r="N1146" i="3" s="1"/>
  <c r="Q1144" i="3"/>
  <c r="E1147" i="3"/>
  <c r="A1148" i="3"/>
  <c r="D1148" i="3" s="1"/>
  <c r="B1147" i="3"/>
  <c r="H1148" i="3" l="1"/>
  <c r="I1148" i="3"/>
  <c r="F1147" i="3"/>
  <c r="G1147" i="3" s="1"/>
  <c r="O1146" i="3"/>
  <c r="P1146" i="3" s="1"/>
  <c r="L1147" i="3"/>
  <c r="J1147" i="3"/>
  <c r="K1147" i="3" s="1"/>
  <c r="M1147" i="3"/>
  <c r="N1147" i="3" s="1"/>
  <c r="C1148" i="3"/>
  <c r="Q1145" i="3"/>
  <c r="E1148" i="3"/>
  <c r="A1149" i="3"/>
  <c r="D1149" i="3" s="1"/>
  <c r="B1148" i="3"/>
  <c r="H1149" i="3" l="1"/>
  <c r="I1149" i="3"/>
  <c r="L1148" i="3"/>
  <c r="F1148" i="3"/>
  <c r="G1148" i="3" s="1"/>
  <c r="O1147" i="3"/>
  <c r="P1147" i="3" s="1"/>
  <c r="J1148" i="3"/>
  <c r="K1148" i="3" s="1"/>
  <c r="M1148" i="3"/>
  <c r="N1148" i="3" s="1"/>
  <c r="C1149" i="3"/>
  <c r="Q1146" i="3"/>
  <c r="E1149" i="3"/>
  <c r="A1150" i="3"/>
  <c r="D1150" i="3" s="1"/>
  <c r="B1149" i="3"/>
  <c r="H1150" i="3" l="1"/>
  <c r="I1150" i="3"/>
  <c r="L1149" i="3"/>
  <c r="F1149" i="3"/>
  <c r="G1149" i="3" s="1"/>
  <c r="O1148" i="3"/>
  <c r="P1148" i="3" s="1"/>
  <c r="C1150" i="3"/>
  <c r="J1149" i="3"/>
  <c r="K1149" i="3" s="1"/>
  <c r="M1149" i="3"/>
  <c r="N1149" i="3" s="1"/>
  <c r="Q1147" i="3"/>
  <c r="E1150" i="3"/>
  <c r="A1151" i="3"/>
  <c r="D1151" i="3" s="1"/>
  <c r="B1150" i="3"/>
  <c r="H1151" i="3" l="1"/>
  <c r="M1151" i="3" s="1"/>
  <c r="N1151" i="3" s="1"/>
  <c r="I1151" i="3"/>
  <c r="F1150" i="3"/>
  <c r="G1150" i="3" s="1"/>
  <c r="O1149" i="3"/>
  <c r="P1149" i="3" s="1"/>
  <c r="L1150" i="3"/>
  <c r="J1150" i="3"/>
  <c r="K1150" i="3" s="1"/>
  <c r="M1150" i="3"/>
  <c r="N1150" i="3" s="1"/>
  <c r="C1151" i="3"/>
  <c r="Q1148" i="3"/>
  <c r="E1151" i="3"/>
  <c r="A1152" i="3"/>
  <c r="D1152" i="3" s="1"/>
  <c r="B1151" i="3"/>
  <c r="H1152" i="3" l="1"/>
  <c r="I1152" i="3"/>
  <c r="L1151" i="3"/>
  <c r="F1151" i="3"/>
  <c r="G1151" i="3" s="1"/>
  <c r="J1151" i="3"/>
  <c r="K1151" i="3" s="1"/>
  <c r="O1151" i="3" s="1"/>
  <c r="O1150" i="3"/>
  <c r="P1150" i="3" s="1"/>
  <c r="C1152" i="3"/>
  <c r="Q1149" i="3"/>
  <c r="E1152" i="3"/>
  <c r="A1153" i="3"/>
  <c r="D1153" i="3" s="1"/>
  <c r="B1152" i="3"/>
  <c r="I1153" i="3" l="1"/>
  <c r="H1153" i="3"/>
  <c r="F1152" i="3"/>
  <c r="G1152" i="3" s="1"/>
  <c r="J1152" i="3"/>
  <c r="K1152" i="3" s="1"/>
  <c r="M1152" i="3"/>
  <c r="N1152" i="3" s="1"/>
  <c r="C1153" i="3"/>
  <c r="L1152" i="3"/>
  <c r="Q1150" i="3"/>
  <c r="P1151" i="3"/>
  <c r="E1153" i="3"/>
  <c r="A1154" i="3"/>
  <c r="D1154" i="3" s="1"/>
  <c r="B1153" i="3"/>
  <c r="H1154" i="3" l="1"/>
  <c r="I1154" i="3"/>
  <c r="F1153" i="3"/>
  <c r="G1153" i="3" s="1"/>
  <c r="L1153" i="3"/>
  <c r="O1152" i="3"/>
  <c r="P1152" i="3" s="1"/>
  <c r="J1153" i="3"/>
  <c r="K1153" i="3" s="1"/>
  <c r="M1153" i="3"/>
  <c r="N1153" i="3" s="1"/>
  <c r="C1154" i="3"/>
  <c r="Q1151" i="3"/>
  <c r="E1154" i="3"/>
  <c r="A1155" i="3"/>
  <c r="D1155" i="3" s="1"/>
  <c r="B1154" i="3"/>
  <c r="H1155" i="3" l="1"/>
  <c r="I1155" i="3"/>
  <c r="F1154" i="3"/>
  <c r="G1154" i="3" s="1"/>
  <c r="L1154" i="3"/>
  <c r="O1153" i="3"/>
  <c r="P1153" i="3" s="1"/>
  <c r="C1155" i="3"/>
  <c r="J1154" i="3"/>
  <c r="K1154" i="3" s="1"/>
  <c r="M1154" i="3"/>
  <c r="N1154" i="3" s="1"/>
  <c r="Q1152" i="3"/>
  <c r="E1155" i="3"/>
  <c r="A1156" i="3"/>
  <c r="D1156" i="3" s="1"/>
  <c r="B1155" i="3"/>
  <c r="H1156" i="3" l="1"/>
  <c r="I1156" i="3"/>
  <c r="F1155" i="3"/>
  <c r="G1155" i="3" s="1"/>
  <c r="L1155" i="3"/>
  <c r="O1154" i="3"/>
  <c r="P1154" i="3" s="1"/>
  <c r="J1155" i="3"/>
  <c r="K1155" i="3" s="1"/>
  <c r="M1155" i="3"/>
  <c r="N1155" i="3" s="1"/>
  <c r="C1156" i="3"/>
  <c r="Q1153" i="3"/>
  <c r="E1156" i="3"/>
  <c r="A1157" i="3"/>
  <c r="D1157" i="3" s="1"/>
  <c r="B1156" i="3"/>
  <c r="H1157" i="3" l="1"/>
  <c r="I1157" i="3"/>
  <c r="L1156" i="3"/>
  <c r="F1156" i="3"/>
  <c r="G1156" i="3" s="1"/>
  <c r="O1155" i="3"/>
  <c r="P1155" i="3" s="1"/>
  <c r="J1156" i="3"/>
  <c r="K1156" i="3" s="1"/>
  <c r="M1156" i="3"/>
  <c r="N1156" i="3" s="1"/>
  <c r="C1157" i="3"/>
  <c r="Q1154" i="3"/>
  <c r="E1157" i="3"/>
  <c r="A1158" i="3"/>
  <c r="D1158" i="3" s="1"/>
  <c r="B1157" i="3"/>
  <c r="H1158" i="3" l="1"/>
  <c r="I1158" i="3"/>
  <c r="O1156" i="3"/>
  <c r="P1156" i="3" s="1"/>
  <c r="F1157" i="3"/>
  <c r="G1157" i="3" s="1"/>
  <c r="L1157" i="3"/>
  <c r="J1157" i="3"/>
  <c r="K1157" i="3" s="1"/>
  <c r="M1157" i="3"/>
  <c r="N1157" i="3" s="1"/>
  <c r="C1158" i="3"/>
  <c r="Q1155" i="3"/>
  <c r="E1158" i="3"/>
  <c r="A1159" i="3"/>
  <c r="D1159" i="3" s="1"/>
  <c r="B1158" i="3"/>
  <c r="H1159" i="3" l="1"/>
  <c r="I1159" i="3"/>
  <c r="F1158" i="3"/>
  <c r="G1158" i="3" s="1"/>
  <c r="L1158" i="3"/>
  <c r="O1157" i="3"/>
  <c r="P1157" i="3" s="1"/>
  <c r="J1158" i="3"/>
  <c r="K1158" i="3" s="1"/>
  <c r="M1158" i="3"/>
  <c r="N1158" i="3" s="1"/>
  <c r="C1159" i="3"/>
  <c r="Q1156" i="3"/>
  <c r="E1159" i="3"/>
  <c r="A1160" i="3"/>
  <c r="D1160" i="3" s="1"/>
  <c r="B1159" i="3"/>
  <c r="H1160" i="3" l="1"/>
  <c r="I1160" i="3"/>
  <c r="F1159" i="3"/>
  <c r="G1159" i="3" s="1"/>
  <c r="O1158" i="3"/>
  <c r="P1158" i="3" s="1"/>
  <c r="L1159" i="3"/>
  <c r="J1159" i="3"/>
  <c r="K1159" i="3" s="1"/>
  <c r="M1159" i="3"/>
  <c r="N1159" i="3" s="1"/>
  <c r="C1160" i="3"/>
  <c r="Q1157" i="3"/>
  <c r="E1160" i="3"/>
  <c r="A1161" i="3"/>
  <c r="D1161" i="3" s="1"/>
  <c r="B1160" i="3"/>
  <c r="H1161" i="3" l="1"/>
  <c r="I1161" i="3"/>
  <c r="F1160" i="3"/>
  <c r="G1160" i="3" s="1"/>
  <c r="L1160" i="3"/>
  <c r="O1159" i="3"/>
  <c r="P1159" i="3" s="1"/>
  <c r="C1161" i="3"/>
  <c r="J1160" i="3"/>
  <c r="K1160" i="3" s="1"/>
  <c r="M1160" i="3"/>
  <c r="N1160" i="3" s="1"/>
  <c r="Q1158" i="3"/>
  <c r="E1161" i="3"/>
  <c r="A1162" i="3"/>
  <c r="D1162" i="3" s="1"/>
  <c r="B1161" i="3"/>
  <c r="I1162" i="3" l="1"/>
  <c r="H1162" i="3"/>
  <c r="F1161" i="3"/>
  <c r="G1161" i="3" s="1"/>
  <c r="O1160" i="3"/>
  <c r="P1160" i="3" s="1"/>
  <c r="L1161" i="3"/>
  <c r="C1162" i="3"/>
  <c r="J1161" i="3"/>
  <c r="K1161" i="3" s="1"/>
  <c r="M1161" i="3"/>
  <c r="N1161" i="3" s="1"/>
  <c r="Q1159" i="3"/>
  <c r="E1162" i="3"/>
  <c r="A1163" i="3"/>
  <c r="D1163" i="3" s="1"/>
  <c r="B1162" i="3"/>
  <c r="H1163" i="3" l="1"/>
  <c r="I1163" i="3"/>
  <c r="F1162" i="3"/>
  <c r="G1162" i="3" s="1"/>
  <c r="O1161" i="3"/>
  <c r="P1161" i="3" s="1"/>
  <c r="L1162" i="3"/>
  <c r="C1163" i="3"/>
  <c r="J1162" i="3"/>
  <c r="K1162" i="3" s="1"/>
  <c r="M1162" i="3"/>
  <c r="N1162" i="3" s="1"/>
  <c r="Q1160" i="3"/>
  <c r="E1163" i="3"/>
  <c r="A1164" i="3"/>
  <c r="D1164" i="3" s="1"/>
  <c r="B1163" i="3"/>
  <c r="H1164" i="3" l="1"/>
  <c r="I1164" i="3"/>
  <c r="F1163" i="3"/>
  <c r="G1163" i="3" s="1"/>
  <c r="O1162" i="3"/>
  <c r="P1162" i="3" s="1"/>
  <c r="L1163" i="3"/>
  <c r="J1163" i="3"/>
  <c r="K1163" i="3" s="1"/>
  <c r="M1163" i="3"/>
  <c r="N1163" i="3" s="1"/>
  <c r="C1164" i="3"/>
  <c r="Q1161" i="3"/>
  <c r="E1164" i="3"/>
  <c r="A1165" i="3"/>
  <c r="D1165" i="3" s="1"/>
  <c r="B1164" i="3"/>
  <c r="H1165" i="3" l="1"/>
  <c r="I1165" i="3"/>
  <c r="F1164" i="3"/>
  <c r="G1164" i="3" s="1"/>
  <c r="O1163" i="3"/>
  <c r="P1163" i="3" s="1"/>
  <c r="L1164" i="3"/>
  <c r="C1165" i="3"/>
  <c r="J1164" i="3"/>
  <c r="K1164" i="3" s="1"/>
  <c r="M1164" i="3"/>
  <c r="N1164" i="3" s="1"/>
  <c r="Q1162" i="3"/>
  <c r="E1165" i="3"/>
  <c r="A1166" i="3"/>
  <c r="D1166" i="3" s="1"/>
  <c r="B1165" i="3"/>
  <c r="H1166" i="3" l="1"/>
  <c r="I1166" i="3"/>
  <c r="F1165" i="3"/>
  <c r="G1165" i="3" s="1"/>
  <c r="O1164" i="3"/>
  <c r="P1164" i="3" s="1"/>
  <c r="L1165" i="3"/>
  <c r="J1165" i="3"/>
  <c r="K1165" i="3" s="1"/>
  <c r="M1165" i="3"/>
  <c r="N1165" i="3" s="1"/>
  <c r="C1166" i="3"/>
  <c r="Q1163" i="3"/>
  <c r="E1166" i="3"/>
  <c r="A1167" i="3"/>
  <c r="D1167" i="3" s="1"/>
  <c r="B1166" i="3"/>
  <c r="H1167" i="3" l="1"/>
  <c r="I1167" i="3"/>
  <c r="F1166" i="3"/>
  <c r="G1166" i="3" s="1"/>
  <c r="L1166" i="3"/>
  <c r="O1165" i="3"/>
  <c r="P1165" i="3" s="1"/>
  <c r="J1166" i="3"/>
  <c r="K1166" i="3" s="1"/>
  <c r="M1166" i="3"/>
  <c r="N1166" i="3" s="1"/>
  <c r="C1167" i="3"/>
  <c r="Q1164" i="3"/>
  <c r="E1167" i="3"/>
  <c r="A1168" i="3"/>
  <c r="D1168" i="3" s="1"/>
  <c r="B1167" i="3"/>
  <c r="H1168" i="3" l="1"/>
  <c r="I1168" i="3"/>
  <c r="F1167" i="3"/>
  <c r="G1167" i="3" s="1"/>
  <c r="O1166" i="3"/>
  <c r="P1166" i="3" s="1"/>
  <c r="L1167" i="3"/>
  <c r="J1167" i="3"/>
  <c r="K1167" i="3" s="1"/>
  <c r="M1167" i="3"/>
  <c r="N1167" i="3" s="1"/>
  <c r="C1168" i="3"/>
  <c r="Q1165" i="3"/>
  <c r="E1168" i="3"/>
  <c r="A1169" i="3"/>
  <c r="D1169" i="3" s="1"/>
  <c r="B1168" i="3"/>
  <c r="I1169" i="3" l="1"/>
  <c r="H1169" i="3"/>
  <c r="F1168" i="3"/>
  <c r="G1168" i="3" s="1"/>
  <c r="L1168" i="3"/>
  <c r="O1167" i="3"/>
  <c r="P1167" i="3" s="1"/>
  <c r="J1168" i="3"/>
  <c r="K1168" i="3" s="1"/>
  <c r="M1168" i="3"/>
  <c r="N1168" i="3" s="1"/>
  <c r="C1169" i="3"/>
  <c r="Q1166" i="3"/>
  <c r="E1169" i="3"/>
  <c r="A1170" i="3"/>
  <c r="D1170" i="3" s="1"/>
  <c r="B1169" i="3"/>
  <c r="H1170" i="3" l="1"/>
  <c r="I1170" i="3"/>
  <c r="F1169" i="3"/>
  <c r="G1169" i="3" s="1"/>
  <c r="O1168" i="3"/>
  <c r="P1168" i="3" s="1"/>
  <c r="L1169" i="3"/>
  <c r="J1169" i="3"/>
  <c r="K1169" i="3" s="1"/>
  <c r="M1169" i="3"/>
  <c r="N1169" i="3" s="1"/>
  <c r="C1170" i="3"/>
  <c r="Q1167" i="3"/>
  <c r="E1170" i="3"/>
  <c r="A1171" i="3"/>
  <c r="D1171" i="3" s="1"/>
  <c r="B1170" i="3"/>
  <c r="H1171" i="3" l="1"/>
  <c r="I1171" i="3"/>
  <c r="F1170" i="3"/>
  <c r="G1170" i="3" s="1"/>
  <c r="O1169" i="3"/>
  <c r="P1169" i="3" s="1"/>
  <c r="L1170" i="3"/>
  <c r="C1171" i="3"/>
  <c r="J1170" i="3"/>
  <c r="K1170" i="3" s="1"/>
  <c r="M1170" i="3"/>
  <c r="N1170" i="3" s="1"/>
  <c r="Q1168" i="3"/>
  <c r="E1171" i="3"/>
  <c r="A1172" i="3"/>
  <c r="D1172" i="3" s="1"/>
  <c r="B1171" i="3"/>
  <c r="H1172" i="3" l="1"/>
  <c r="I1172" i="3"/>
  <c r="F1171" i="3"/>
  <c r="G1171" i="3" s="1"/>
  <c r="L1171" i="3"/>
  <c r="O1170" i="3"/>
  <c r="P1170" i="3" s="1"/>
  <c r="C1172" i="3"/>
  <c r="J1171" i="3"/>
  <c r="K1171" i="3" s="1"/>
  <c r="M1171" i="3"/>
  <c r="N1171" i="3" s="1"/>
  <c r="Q1169" i="3"/>
  <c r="E1172" i="3"/>
  <c r="A1173" i="3"/>
  <c r="D1173" i="3" s="1"/>
  <c r="B1172" i="3"/>
  <c r="H1173" i="3" l="1"/>
  <c r="I1173" i="3"/>
  <c r="F1172" i="3"/>
  <c r="G1172" i="3" s="1"/>
  <c r="O1171" i="3"/>
  <c r="P1171" i="3" s="1"/>
  <c r="L1172" i="3"/>
  <c r="C1173" i="3"/>
  <c r="J1172" i="3"/>
  <c r="K1172" i="3" s="1"/>
  <c r="M1172" i="3"/>
  <c r="N1172" i="3" s="1"/>
  <c r="Q1170" i="3"/>
  <c r="E1173" i="3"/>
  <c r="A1174" i="3"/>
  <c r="D1174" i="3" s="1"/>
  <c r="B1173" i="3"/>
  <c r="H1174" i="3" l="1"/>
  <c r="M1174" i="3" s="1"/>
  <c r="N1174" i="3" s="1"/>
  <c r="I1174" i="3"/>
  <c r="F1173" i="3"/>
  <c r="G1173" i="3" s="1"/>
  <c r="L1173" i="3"/>
  <c r="O1172" i="3"/>
  <c r="P1172" i="3" s="1"/>
  <c r="C1174" i="3"/>
  <c r="J1173" i="3"/>
  <c r="K1173" i="3" s="1"/>
  <c r="M1173" i="3"/>
  <c r="N1173" i="3" s="1"/>
  <c r="Q1171" i="3"/>
  <c r="E1174" i="3"/>
  <c r="A1175" i="3"/>
  <c r="D1175" i="3" s="1"/>
  <c r="B1174" i="3"/>
  <c r="H1175" i="3" l="1"/>
  <c r="I1175" i="3"/>
  <c r="F1174" i="3"/>
  <c r="G1174" i="3" s="1"/>
  <c r="O1173" i="3"/>
  <c r="P1173" i="3" s="1"/>
  <c r="L1174" i="3"/>
  <c r="C1175" i="3"/>
  <c r="J1174" i="3"/>
  <c r="K1174" i="3" s="1"/>
  <c r="O1174" i="3" s="1"/>
  <c r="Q1172" i="3"/>
  <c r="E1175" i="3"/>
  <c r="A1176" i="3"/>
  <c r="D1176" i="3" s="1"/>
  <c r="B1175" i="3"/>
  <c r="H1176" i="3" l="1"/>
  <c r="I1176" i="3"/>
  <c r="L1175" i="3"/>
  <c r="F1175" i="3"/>
  <c r="G1175" i="3" s="1"/>
  <c r="C1176" i="3"/>
  <c r="J1175" i="3"/>
  <c r="K1175" i="3" s="1"/>
  <c r="M1175" i="3"/>
  <c r="N1175" i="3" s="1"/>
  <c r="Q1173" i="3"/>
  <c r="P1174" i="3"/>
  <c r="E1176" i="3"/>
  <c r="A1177" i="3"/>
  <c r="D1177" i="3" s="1"/>
  <c r="B1176" i="3"/>
  <c r="H1177" i="3" l="1"/>
  <c r="I1177" i="3"/>
  <c r="F1176" i="3"/>
  <c r="G1176" i="3" s="1"/>
  <c r="L1176" i="3"/>
  <c r="O1175" i="3"/>
  <c r="P1175" i="3" s="1"/>
  <c r="C1177" i="3"/>
  <c r="J1176" i="3"/>
  <c r="K1176" i="3" s="1"/>
  <c r="M1176" i="3"/>
  <c r="N1176" i="3" s="1"/>
  <c r="Q1174" i="3"/>
  <c r="E1177" i="3"/>
  <c r="A1178" i="3"/>
  <c r="D1178" i="3" s="1"/>
  <c r="B1177" i="3"/>
  <c r="H1178" i="3" l="1"/>
  <c r="I1178" i="3"/>
  <c r="F1177" i="3"/>
  <c r="G1177" i="3" s="1"/>
  <c r="L1177" i="3"/>
  <c r="O1176" i="3"/>
  <c r="P1176" i="3" s="1"/>
  <c r="C1178" i="3"/>
  <c r="J1177" i="3"/>
  <c r="K1177" i="3" s="1"/>
  <c r="M1177" i="3"/>
  <c r="N1177" i="3" s="1"/>
  <c r="Q1175" i="3"/>
  <c r="E1178" i="3"/>
  <c r="A1179" i="3"/>
  <c r="D1179" i="3" s="1"/>
  <c r="B1178" i="3"/>
  <c r="H1179" i="3" l="1"/>
  <c r="I1179" i="3"/>
  <c r="F1178" i="3"/>
  <c r="G1178" i="3" s="1"/>
  <c r="L1178" i="3"/>
  <c r="O1177" i="3"/>
  <c r="P1177" i="3" s="1"/>
  <c r="C1179" i="3"/>
  <c r="J1178" i="3"/>
  <c r="K1178" i="3" s="1"/>
  <c r="M1178" i="3"/>
  <c r="N1178" i="3" s="1"/>
  <c r="Q1176" i="3"/>
  <c r="E1179" i="3"/>
  <c r="A1180" i="3"/>
  <c r="D1180" i="3" s="1"/>
  <c r="B1179" i="3"/>
  <c r="H1180" i="3" l="1"/>
  <c r="I1180" i="3"/>
  <c r="F1179" i="3"/>
  <c r="G1179" i="3" s="1"/>
  <c r="O1178" i="3"/>
  <c r="P1178" i="3" s="1"/>
  <c r="L1179" i="3"/>
  <c r="C1180" i="3"/>
  <c r="J1179" i="3"/>
  <c r="K1179" i="3" s="1"/>
  <c r="M1179" i="3"/>
  <c r="N1179" i="3" s="1"/>
  <c r="Q1177" i="3"/>
  <c r="E1180" i="3"/>
  <c r="A1181" i="3"/>
  <c r="D1181" i="3" s="1"/>
  <c r="B1180" i="3"/>
  <c r="H1181" i="3" l="1"/>
  <c r="I1181" i="3"/>
  <c r="F1180" i="3"/>
  <c r="G1180" i="3" s="1"/>
  <c r="L1180" i="3"/>
  <c r="O1179" i="3"/>
  <c r="P1179" i="3" s="1"/>
  <c r="C1181" i="3"/>
  <c r="J1180" i="3"/>
  <c r="K1180" i="3" s="1"/>
  <c r="M1180" i="3"/>
  <c r="N1180" i="3" s="1"/>
  <c r="Q1178" i="3"/>
  <c r="E1181" i="3"/>
  <c r="A1182" i="3"/>
  <c r="D1182" i="3" s="1"/>
  <c r="B1181" i="3"/>
  <c r="H1182" i="3" l="1"/>
  <c r="I1182" i="3"/>
  <c r="F1181" i="3"/>
  <c r="G1181" i="3" s="1"/>
  <c r="O1180" i="3"/>
  <c r="P1180" i="3" s="1"/>
  <c r="L1181" i="3"/>
  <c r="C1182" i="3"/>
  <c r="J1181" i="3"/>
  <c r="K1181" i="3" s="1"/>
  <c r="M1181" i="3"/>
  <c r="N1181" i="3" s="1"/>
  <c r="Q1179" i="3"/>
  <c r="E1182" i="3"/>
  <c r="A1183" i="3"/>
  <c r="D1183" i="3" s="1"/>
  <c r="B1182" i="3"/>
  <c r="I1183" i="3" l="1"/>
  <c r="H1183" i="3"/>
  <c r="F1182" i="3"/>
  <c r="G1182" i="3" s="1"/>
  <c r="L1182" i="3"/>
  <c r="O1181" i="3"/>
  <c r="P1181" i="3" s="1"/>
  <c r="C1183" i="3"/>
  <c r="J1182" i="3"/>
  <c r="K1182" i="3" s="1"/>
  <c r="M1182" i="3"/>
  <c r="N1182" i="3" s="1"/>
  <c r="Q1180" i="3"/>
  <c r="E1183" i="3"/>
  <c r="A1184" i="3"/>
  <c r="D1184" i="3" s="1"/>
  <c r="B1183" i="3"/>
  <c r="H1184" i="3" l="1"/>
  <c r="I1184" i="3"/>
  <c r="F1183" i="3"/>
  <c r="G1183" i="3" s="1"/>
  <c r="O1182" i="3"/>
  <c r="P1182" i="3" s="1"/>
  <c r="L1183" i="3"/>
  <c r="C1184" i="3"/>
  <c r="J1183" i="3"/>
  <c r="K1183" i="3" s="1"/>
  <c r="M1183" i="3"/>
  <c r="N1183" i="3" s="1"/>
  <c r="Q1181" i="3"/>
  <c r="E1184" i="3"/>
  <c r="A1185" i="3"/>
  <c r="D1185" i="3" s="1"/>
  <c r="B1184" i="3"/>
  <c r="I1185" i="3" l="1"/>
  <c r="H1185" i="3"/>
  <c r="F1184" i="3"/>
  <c r="G1184" i="3" s="1"/>
  <c r="O1183" i="3"/>
  <c r="P1183" i="3" s="1"/>
  <c r="L1184" i="3"/>
  <c r="J1184" i="3"/>
  <c r="K1184" i="3" s="1"/>
  <c r="M1184" i="3"/>
  <c r="N1184" i="3" s="1"/>
  <c r="C1185" i="3"/>
  <c r="Q1182" i="3"/>
  <c r="E1185" i="3"/>
  <c r="A1186" i="3"/>
  <c r="D1186" i="3" s="1"/>
  <c r="B1185" i="3"/>
  <c r="H1186" i="3" l="1"/>
  <c r="I1186" i="3"/>
  <c r="L1185" i="3"/>
  <c r="F1185" i="3"/>
  <c r="G1185" i="3" s="1"/>
  <c r="O1184" i="3"/>
  <c r="P1184" i="3" s="1"/>
  <c r="J1185" i="3"/>
  <c r="K1185" i="3" s="1"/>
  <c r="M1185" i="3"/>
  <c r="N1185" i="3" s="1"/>
  <c r="C1186" i="3"/>
  <c r="Q1183" i="3"/>
  <c r="E1186" i="3"/>
  <c r="A1187" i="3"/>
  <c r="D1187" i="3" s="1"/>
  <c r="B1186" i="3"/>
  <c r="I1187" i="3" l="1"/>
  <c r="H1187" i="3"/>
  <c r="F1186" i="3"/>
  <c r="G1186" i="3" s="1"/>
  <c r="O1185" i="3"/>
  <c r="P1185" i="3" s="1"/>
  <c r="L1186" i="3"/>
  <c r="C1187" i="3"/>
  <c r="J1186" i="3"/>
  <c r="K1186" i="3" s="1"/>
  <c r="M1186" i="3"/>
  <c r="N1186" i="3" s="1"/>
  <c r="Q1184" i="3"/>
  <c r="E1187" i="3"/>
  <c r="A1188" i="3"/>
  <c r="D1188" i="3" s="1"/>
  <c r="B1187" i="3"/>
  <c r="H1188" i="3" l="1"/>
  <c r="I1188" i="3"/>
  <c r="F1187" i="3"/>
  <c r="G1187" i="3" s="1"/>
  <c r="O1186" i="3"/>
  <c r="P1186" i="3" s="1"/>
  <c r="L1187" i="3"/>
  <c r="C1188" i="3"/>
  <c r="J1187" i="3"/>
  <c r="K1187" i="3" s="1"/>
  <c r="M1187" i="3"/>
  <c r="N1187" i="3" s="1"/>
  <c r="Q1185" i="3"/>
  <c r="E1188" i="3"/>
  <c r="A1189" i="3"/>
  <c r="D1189" i="3" s="1"/>
  <c r="B1188" i="3"/>
  <c r="H1189" i="3" l="1"/>
  <c r="I1189" i="3"/>
  <c r="F1188" i="3"/>
  <c r="G1188" i="3" s="1"/>
  <c r="L1188" i="3"/>
  <c r="O1187" i="3"/>
  <c r="P1187" i="3" s="1"/>
  <c r="J1188" i="3"/>
  <c r="K1188" i="3" s="1"/>
  <c r="M1188" i="3"/>
  <c r="N1188" i="3" s="1"/>
  <c r="C1189" i="3"/>
  <c r="Q1186" i="3"/>
  <c r="E1189" i="3"/>
  <c r="A1190" i="3"/>
  <c r="D1190" i="3" s="1"/>
  <c r="B1189" i="3"/>
  <c r="H1190" i="3" l="1"/>
  <c r="I1190" i="3"/>
  <c r="F1189" i="3"/>
  <c r="G1189" i="3" s="1"/>
  <c r="O1188" i="3"/>
  <c r="P1188" i="3" s="1"/>
  <c r="L1189" i="3"/>
  <c r="J1189" i="3"/>
  <c r="K1189" i="3" s="1"/>
  <c r="M1189" i="3"/>
  <c r="N1189" i="3" s="1"/>
  <c r="C1190" i="3"/>
  <c r="Q1187" i="3"/>
  <c r="E1190" i="3"/>
  <c r="A1191" i="3"/>
  <c r="D1191" i="3" s="1"/>
  <c r="B1190" i="3"/>
  <c r="H1191" i="3" l="1"/>
  <c r="I1191" i="3"/>
  <c r="F1190" i="3"/>
  <c r="G1190" i="3" s="1"/>
  <c r="L1190" i="3"/>
  <c r="O1189" i="3"/>
  <c r="P1189" i="3" s="1"/>
  <c r="C1191" i="3"/>
  <c r="J1190" i="3"/>
  <c r="K1190" i="3" s="1"/>
  <c r="M1190" i="3"/>
  <c r="N1190" i="3" s="1"/>
  <c r="Q1188" i="3"/>
  <c r="E1191" i="3"/>
  <c r="A1192" i="3"/>
  <c r="D1192" i="3" s="1"/>
  <c r="B1191" i="3"/>
  <c r="H1192" i="3" l="1"/>
  <c r="I1192" i="3"/>
  <c r="O1190" i="3"/>
  <c r="P1190" i="3" s="1"/>
  <c r="F1191" i="3"/>
  <c r="G1191" i="3" s="1"/>
  <c r="L1191" i="3"/>
  <c r="C1192" i="3"/>
  <c r="J1191" i="3"/>
  <c r="K1191" i="3" s="1"/>
  <c r="M1191" i="3"/>
  <c r="N1191" i="3" s="1"/>
  <c r="Q1189" i="3"/>
  <c r="E1192" i="3"/>
  <c r="A1193" i="3"/>
  <c r="D1193" i="3" s="1"/>
  <c r="B1192" i="3"/>
  <c r="H1193" i="3" l="1"/>
  <c r="I1193" i="3"/>
  <c r="F1192" i="3"/>
  <c r="G1192" i="3" s="1"/>
  <c r="O1191" i="3"/>
  <c r="P1191" i="3" s="1"/>
  <c r="L1192" i="3"/>
  <c r="C1193" i="3"/>
  <c r="J1192" i="3"/>
  <c r="K1192" i="3" s="1"/>
  <c r="M1192" i="3"/>
  <c r="N1192" i="3" s="1"/>
  <c r="Q1190" i="3"/>
  <c r="E1193" i="3"/>
  <c r="A1194" i="3"/>
  <c r="D1194" i="3" s="1"/>
  <c r="B1193" i="3"/>
  <c r="H1194" i="3" l="1"/>
  <c r="I1194" i="3"/>
  <c r="F1193" i="3"/>
  <c r="G1193" i="3" s="1"/>
  <c r="L1193" i="3"/>
  <c r="O1192" i="3"/>
  <c r="P1192" i="3" s="1"/>
  <c r="C1194" i="3"/>
  <c r="J1193" i="3"/>
  <c r="K1193" i="3" s="1"/>
  <c r="M1193" i="3"/>
  <c r="N1193" i="3" s="1"/>
  <c r="Q1191" i="3"/>
  <c r="E1194" i="3"/>
  <c r="A1195" i="3"/>
  <c r="D1195" i="3" s="1"/>
  <c r="B1194" i="3"/>
  <c r="H1195" i="3" l="1"/>
  <c r="I1195" i="3"/>
  <c r="F1194" i="3"/>
  <c r="G1194" i="3" s="1"/>
  <c r="O1193" i="3"/>
  <c r="P1193" i="3" s="1"/>
  <c r="C1195" i="3"/>
  <c r="J1194" i="3"/>
  <c r="K1194" i="3" s="1"/>
  <c r="M1194" i="3"/>
  <c r="N1194" i="3" s="1"/>
  <c r="L1194" i="3"/>
  <c r="Q1192" i="3"/>
  <c r="E1195" i="3"/>
  <c r="A1196" i="3"/>
  <c r="D1196" i="3" s="1"/>
  <c r="B1195" i="3"/>
  <c r="I1196" i="3" l="1"/>
  <c r="H1196" i="3"/>
  <c r="F1195" i="3"/>
  <c r="G1195" i="3" s="1"/>
  <c r="L1195" i="3"/>
  <c r="O1194" i="3"/>
  <c r="P1194" i="3" s="1"/>
  <c r="J1195" i="3"/>
  <c r="K1195" i="3" s="1"/>
  <c r="M1195" i="3"/>
  <c r="N1195" i="3" s="1"/>
  <c r="C1196" i="3"/>
  <c r="Q1193" i="3"/>
  <c r="E1196" i="3"/>
  <c r="A1197" i="3"/>
  <c r="D1197" i="3" s="1"/>
  <c r="B1196" i="3"/>
  <c r="H1197" i="3" l="1"/>
  <c r="I1197" i="3"/>
  <c r="F1196" i="3"/>
  <c r="G1196" i="3" s="1"/>
  <c r="L1196" i="3"/>
  <c r="O1195" i="3"/>
  <c r="P1195" i="3" s="1"/>
  <c r="J1196" i="3"/>
  <c r="K1196" i="3" s="1"/>
  <c r="M1196" i="3"/>
  <c r="N1196" i="3" s="1"/>
  <c r="C1197" i="3"/>
  <c r="Q1194" i="3"/>
  <c r="E1197" i="3"/>
  <c r="A1198" i="3"/>
  <c r="D1198" i="3" s="1"/>
  <c r="B1197" i="3"/>
  <c r="I1198" i="3" l="1"/>
  <c r="H1198" i="3"/>
  <c r="F1197" i="3"/>
  <c r="G1197" i="3" s="1"/>
  <c r="L1197" i="3"/>
  <c r="O1196" i="3"/>
  <c r="P1196" i="3" s="1"/>
  <c r="J1197" i="3"/>
  <c r="K1197" i="3" s="1"/>
  <c r="M1197" i="3"/>
  <c r="N1197" i="3" s="1"/>
  <c r="C1198" i="3"/>
  <c r="Q1195" i="3"/>
  <c r="E1198" i="3"/>
  <c r="A1199" i="3"/>
  <c r="D1199" i="3" s="1"/>
  <c r="B1198" i="3"/>
  <c r="H1199" i="3" l="1"/>
  <c r="I1199" i="3"/>
  <c r="L1198" i="3"/>
  <c r="F1198" i="3"/>
  <c r="G1198" i="3" s="1"/>
  <c r="O1197" i="3"/>
  <c r="P1197" i="3" s="1"/>
  <c r="J1198" i="3"/>
  <c r="K1198" i="3" s="1"/>
  <c r="M1198" i="3"/>
  <c r="N1198" i="3" s="1"/>
  <c r="C1199" i="3"/>
  <c r="Q1196" i="3"/>
  <c r="E1199" i="3"/>
  <c r="A1200" i="3"/>
  <c r="D1200" i="3" s="1"/>
  <c r="B1199" i="3"/>
  <c r="H1200" i="3" l="1"/>
  <c r="I1200" i="3"/>
  <c r="F1199" i="3"/>
  <c r="G1199" i="3" s="1"/>
  <c r="L1199" i="3"/>
  <c r="O1198" i="3"/>
  <c r="P1198" i="3" s="1"/>
  <c r="J1199" i="3"/>
  <c r="K1199" i="3" s="1"/>
  <c r="M1199" i="3"/>
  <c r="N1199" i="3" s="1"/>
  <c r="C1200" i="3"/>
  <c r="Q1197" i="3"/>
  <c r="E1200" i="3"/>
  <c r="A1201" i="3"/>
  <c r="D1201" i="3" s="1"/>
  <c r="B1200" i="3"/>
  <c r="I1201" i="3" l="1"/>
  <c r="H1201" i="3"/>
  <c r="L1200" i="3"/>
  <c r="O1199" i="3"/>
  <c r="P1199" i="3" s="1"/>
  <c r="F1200" i="3"/>
  <c r="G1200" i="3" s="1"/>
  <c r="J1200" i="3"/>
  <c r="K1200" i="3" s="1"/>
  <c r="M1200" i="3"/>
  <c r="N1200" i="3" s="1"/>
  <c r="C1201" i="3"/>
  <c r="Q1198" i="3"/>
  <c r="E1201" i="3"/>
  <c r="A1202" i="3"/>
  <c r="D1202" i="3" s="1"/>
  <c r="B1201" i="3"/>
  <c r="H1202" i="3" l="1"/>
  <c r="I1202" i="3"/>
  <c r="F1201" i="3"/>
  <c r="G1201" i="3" s="1"/>
  <c r="L1201" i="3"/>
  <c r="O1200" i="3"/>
  <c r="P1200" i="3" s="1"/>
  <c r="J1201" i="3"/>
  <c r="K1201" i="3" s="1"/>
  <c r="M1201" i="3"/>
  <c r="N1201" i="3" s="1"/>
  <c r="C1202" i="3"/>
  <c r="Q1199" i="3"/>
  <c r="E1202" i="3"/>
  <c r="A1203" i="3"/>
  <c r="D1203" i="3" s="1"/>
  <c r="B1202" i="3"/>
  <c r="H1203" i="3" l="1"/>
  <c r="I1203" i="3"/>
  <c r="F1202" i="3"/>
  <c r="G1202" i="3" s="1"/>
  <c r="O1201" i="3"/>
  <c r="P1201" i="3" s="1"/>
  <c r="L1202" i="3"/>
  <c r="C1203" i="3"/>
  <c r="J1202" i="3"/>
  <c r="K1202" i="3" s="1"/>
  <c r="M1202" i="3"/>
  <c r="N1202" i="3" s="1"/>
  <c r="Q1200" i="3"/>
  <c r="E1203" i="3"/>
  <c r="A1204" i="3"/>
  <c r="D1204" i="3" s="1"/>
  <c r="B1203" i="3"/>
  <c r="H1204" i="3" l="1"/>
  <c r="M1204" i="3" s="1"/>
  <c r="N1204" i="3" s="1"/>
  <c r="I1204" i="3"/>
  <c r="F1203" i="3"/>
  <c r="G1203" i="3" s="1"/>
  <c r="L1203" i="3"/>
  <c r="O1202" i="3"/>
  <c r="P1202" i="3" s="1"/>
  <c r="C1204" i="3"/>
  <c r="J1203" i="3"/>
  <c r="K1203" i="3" s="1"/>
  <c r="M1203" i="3"/>
  <c r="N1203" i="3" s="1"/>
  <c r="Q1201" i="3"/>
  <c r="E1204" i="3"/>
  <c r="A1205" i="3"/>
  <c r="D1205" i="3" s="1"/>
  <c r="B1204" i="3"/>
  <c r="H1205" i="3" l="1"/>
  <c r="I1205" i="3"/>
  <c r="F1204" i="3"/>
  <c r="G1204" i="3" s="1"/>
  <c r="L1204" i="3"/>
  <c r="J1204" i="3"/>
  <c r="K1204" i="3" s="1"/>
  <c r="O1204" i="3" s="1"/>
  <c r="O1203" i="3"/>
  <c r="P1203" i="3" s="1"/>
  <c r="C1205" i="3"/>
  <c r="Q1202" i="3"/>
  <c r="E1205" i="3"/>
  <c r="A1206" i="3"/>
  <c r="D1206" i="3" s="1"/>
  <c r="B1205" i="3"/>
  <c r="H1206" i="3" l="1"/>
  <c r="I1206" i="3"/>
  <c r="F1205" i="3"/>
  <c r="G1205" i="3" s="1"/>
  <c r="L1205" i="3"/>
  <c r="J1205" i="3"/>
  <c r="K1205" i="3" s="1"/>
  <c r="M1205" i="3"/>
  <c r="N1205" i="3" s="1"/>
  <c r="C1206" i="3"/>
  <c r="Q1203" i="3"/>
  <c r="P1204" i="3"/>
  <c r="E1206" i="3"/>
  <c r="A1207" i="3"/>
  <c r="D1207" i="3" s="1"/>
  <c r="B1206" i="3"/>
  <c r="I1207" i="3" l="1"/>
  <c r="H1207" i="3"/>
  <c r="M1207" i="3" s="1"/>
  <c r="N1207" i="3" s="1"/>
  <c r="L1206" i="3"/>
  <c r="F1206" i="3"/>
  <c r="G1206" i="3" s="1"/>
  <c r="O1205" i="3"/>
  <c r="P1205" i="3" s="1"/>
  <c r="J1206" i="3"/>
  <c r="K1206" i="3" s="1"/>
  <c r="M1206" i="3"/>
  <c r="N1206" i="3" s="1"/>
  <c r="C1207" i="3"/>
  <c r="Q1204" i="3"/>
  <c r="E1207" i="3"/>
  <c r="A1208" i="3"/>
  <c r="D1208" i="3" s="1"/>
  <c r="B1207" i="3"/>
  <c r="H1208" i="3" l="1"/>
  <c r="I1208" i="3"/>
  <c r="F1207" i="3"/>
  <c r="G1207" i="3" s="1"/>
  <c r="O1206" i="3"/>
  <c r="P1206" i="3" s="1"/>
  <c r="L1207" i="3"/>
  <c r="C1208" i="3"/>
  <c r="J1207" i="3"/>
  <c r="K1207" i="3" s="1"/>
  <c r="O1207" i="3" s="1"/>
  <c r="Q1205" i="3"/>
  <c r="E1208" i="3"/>
  <c r="A1209" i="3"/>
  <c r="D1209" i="3" s="1"/>
  <c r="B1208" i="3"/>
  <c r="H1209" i="3" l="1"/>
  <c r="I1209" i="3"/>
  <c r="L1208" i="3"/>
  <c r="F1208" i="3"/>
  <c r="G1208" i="3" s="1"/>
  <c r="C1209" i="3"/>
  <c r="J1208" i="3"/>
  <c r="K1208" i="3" s="1"/>
  <c r="M1208" i="3"/>
  <c r="N1208" i="3" s="1"/>
  <c r="Q1206" i="3"/>
  <c r="P1207" i="3"/>
  <c r="E1209" i="3"/>
  <c r="A1210" i="3"/>
  <c r="D1210" i="3" s="1"/>
  <c r="B1209" i="3"/>
  <c r="H1210" i="3" l="1"/>
  <c r="I1210" i="3"/>
  <c r="F1209" i="3"/>
  <c r="G1209" i="3" s="1"/>
  <c r="O1208" i="3"/>
  <c r="P1208" i="3" s="1"/>
  <c r="L1209" i="3"/>
  <c r="C1210" i="3"/>
  <c r="J1209" i="3"/>
  <c r="K1209" i="3" s="1"/>
  <c r="M1209" i="3"/>
  <c r="N1209" i="3" s="1"/>
  <c r="Q1207" i="3"/>
  <c r="E1210" i="3"/>
  <c r="A1211" i="3"/>
  <c r="D1211" i="3" s="1"/>
  <c r="B1210" i="3"/>
  <c r="H1211" i="3" l="1"/>
  <c r="I1211" i="3"/>
  <c r="F1210" i="3"/>
  <c r="G1210" i="3" s="1"/>
  <c r="L1210" i="3"/>
  <c r="O1209" i="3"/>
  <c r="P1209" i="3" s="1"/>
  <c r="C1211" i="3"/>
  <c r="J1210" i="3"/>
  <c r="K1210" i="3" s="1"/>
  <c r="M1210" i="3"/>
  <c r="N1210" i="3" s="1"/>
  <c r="Q1208" i="3"/>
  <c r="E1211" i="3"/>
  <c r="A1212" i="3"/>
  <c r="D1212" i="3" s="1"/>
  <c r="B1211" i="3"/>
  <c r="H1212" i="3" l="1"/>
  <c r="I1212" i="3"/>
  <c r="F1211" i="3"/>
  <c r="G1211" i="3" s="1"/>
  <c r="O1210" i="3"/>
  <c r="P1210" i="3" s="1"/>
  <c r="L1211" i="3"/>
  <c r="C1212" i="3"/>
  <c r="J1211" i="3"/>
  <c r="K1211" i="3" s="1"/>
  <c r="M1211" i="3"/>
  <c r="N1211" i="3" s="1"/>
  <c r="Q1209" i="3"/>
  <c r="E1212" i="3"/>
  <c r="A1213" i="3"/>
  <c r="D1213" i="3" s="1"/>
  <c r="B1212" i="3"/>
  <c r="H1213" i="3" l="1"/>
  <c r="I1213" i="3"/>
  <c r="F1212" i="3"/>
  <c r="G1212" i="3" s="1"/>
  <c r="L1212" i="3"/>
  <c r="O1211" i="3"/>
  <c r="P1211" i="3" s="1"/>
  <c r="C1213" i="3"/>
  <c r="J1212" i="3"/>
  <c r="K1212" i="3" s="1"/>
  <c r="M1212" i="3"/>
  <c r="N1212" i="3" s="1"/>
  <c r="Q1210" i="3"/>
  <c r="E1213" i="3"/>
  <c r="A1214" i="3"/>
  <c r="D1214" i="3" s="1"/>
  <c r="B1213" i="3"/>
  <c r="H1214" i="3" l="1"/>
  <c r="I1214" i="3"/>
  <c r="F1213" i="3"/>
  <c r="G1213" i="3" s="1"/>
  <c r="L1213" i="3"/>
  <c r="O1212" i="3"/>
  <c r="P1212" i="3" s="1"/>
  <c r="C1214" i="3"/>
  <c r="J1213" i="3"/>
  <c r="K1213" i="3" s="1"/>
  <c r="M1213" i="3"/>
  <c r="N1213" i="3" s="1"/>
  <c r="Q1211" i="3"/>
  <c r="E1214" i="3"/>
  <c r="A1215" i="3"/>
  <c r="D1215" i="3" s="1"/>
  <c r="B1214" i="3"/>
  <c r="H1215" i="3" l="1"/>
  <c r="I1215" i="3"/>
  <c r="F1214" i="3"/>
  <c r="G1214" i="3" s="1"/>
  <c r="L1214" i="3"/>
  <c r="O1213" i="3"/>
  <c r="P1213" i="3" s="1"/>
  <c r="C1215" i="3"/>
  <c r="J1214" i="3"/>
  <c r="K1214" i="3" s="1"/>
  <c r="M1214" i="3"/>
  <c r="N1214" i="3" s="1"/>
  <c r="Q1212" i="3"/>
  <c r="E1215" i="3"/>
  <c r="A1216" i="3"/>
  <c r="D1216" i="3" s="1"/>
  <c r="B1215" i="3"/>
  <c r="H1216" i="3" l="1"/>
  <c r="I1216" i="3"/>
  <c r="F1215" i="3"/>
  <c r="G1215" i="3" s="1"/>
  <c r="L1215" i="3"/>
  <c r="O1214" i="3"/>
  <c r="P1214" i="3" s="1"/>
  <c r="J1215" i="3"/>
  <c r="K1215" i="3" s="1"/>
  <c r="M1215" i="3"/>
  <c r="N1215" i="3" s="1"/>
  <c r="C1216" i="3"/>
  <c r="Q1213" i="3"/>
  <c r="E1216" i="3"/>
  <c r="A1217" i="3"/>
  <c r="D1217" i="3" s="1"/>
  <c r="B1216" i="3"/>
  <c r="I1217" i="3" l="1"/>
  <c r="H1217" i="3"/>
  <c r="F1216" i="3"/>
  <c r="G1216" i="3" s="1"/>
  <c r="O1215" i="3"/>
  <c r="P1215" i="3" s="1"/>
  <c r="L1216" i="3"/>
  <c r="C1217" i="3"/>
  <c r="J1216" i="3"/>
  <c r="K1216" i="3" s="1"/>
  <c r="M1216" i="3"/>
  <c r="N1216" i="3" s="1"/>
  <c r="Q1214" i="3"/>
  <c r="E1217" i="3"/>
  <c r="A1218" i="3"/>
  <c r="D1218" i="3" s="1"/>
  <c r="B1217" i="3"/>
  <c r="H1218" i="3" l="1"/>
  <c r="I1218" i="3"/>
  <c r="F1217" i="3"/>
  <c r="G1217" i="3" s="1"/>
  <c r="O1216" i="3"/>
  <c r="P1216" i="3" s="1"/>
  <c r="C1218" i="3"/>
  <c r="J1217" i="3"/>
  <c r="K1217" i="3" s="1"/>
  <c r="M1217" i="3"/>
  <c r="N1217" i="3" s="1"/>
  <c r="L1217" i="3"/>
  <c r="Q1215" i="3"/>
  <c r="E1218" i="3"/>
  <c r="A1219" i="3"/>
  <c r="D1219" i="3" s="1"/>
  <c r="B1218" i="3"/>
  <c r="I1219" i="3" l="1"/>
  <c r="H1219" i="3"/>
  <c r="M1219" i="3" s="1"/>
  <c r="N1219" i="3" s="1"/>
  <c r="F1218" i="3"/>
  <c r="G1218" i="3" s="1"/>
  <c r="L1218" i="3"/>
  <c r="O1217" i="3"/>
  <c r="P1217" i="3" s="1"/>
  <c r="J1218" i="3"/>
  <c r="K1218" i="3" s="1"/>
  <c r="M1218" i="3"/>
  <c r="N1218" i="3" s="1"/>
  <c r="C1219" i="3"/>
  <c r="Q1216" i="3"/>
  <c r="E1219" i="3"/>
  <c r="A1220" i="3"/>
  <c r="D1220" i="3" s="1"/>
  <c r="B1219" i="3"/>
  <c r="H1220" i="3" l="1"/>
  <c r="I1220" i="3"/>
  <c r="F1219" i="3"/>
  <c r="G1219" i="3" s="1"/>
  <c r="L1219" i="3"/>
  <c r="O1218" i="3"/>
  <c r="P1218" i="3" s="1"/>
  <c r="C1220" i="3"/>
  <c r="J1219" i="3"/>
  <c r="K1219" i="3" s="1"/>
  <c r="O1219" i="3" s="1"/>
  <c r="Q1217" i="3"/>
  <c r="E1220" i="3"/>
  <c r="A1221" i="3"/>
  <c r="D1221" i="3" s="1"/>
  <c r="B1220" i="3"/>
  <c r="H1221" i="3" l="1"/>
  <c r="I1221" i="3"/>
  <c r="F1220" i="3"/>
  <c r="G1220" i="3" s="1"/>
  <c r="L1220" i="3"/>
  <c r="J1220" i="3"/>
  <c r="K1220" i="3" s="1"/>
  <c r="M1220" i="3"/>
  <c r="N1220" i="3" s="1"/>
  <c r="C1221" i="3"/>
  <c r="Q1218" i="3"/>
  <c r="P1219" i="3"/>
  <c r="E1221" i="3"/>
  <c r="A1222" i="3"/>
  <c r="D1222" i="3" s="1"/>
  <c r="B1221" i="3"/>
  <c r="H1222" i="3" l="1"/>
  <c r="I1222" i="3"/>
  <c r="F1221" i="3"/>
  <c r="G1221" i="3" s="1"/>
  <c r="L1221" i="3"/>
  <c r="O1220" i="3"/>
  <c r="P1220" i="3" s="1"/>
  <c r="J1221" i="3"/>
  <c r="K1221" i="3" s="1"/>
  <c r="M1221" i="3"/>
  <c r="N1221" i="3" s="1"/>
  <c r="C1222" i="3"/>
  <c r="Q1219" i="3"/>
  <c r="E1222" i="3"/>
  <c r="A1223" i="3"/>
  <c r="D1223" i="3" s="1"/>
  <c r="B1222" i="3"/>
  <c r="H1223" i="3" l="1"/>
  <c r="I1223" i="3"/>
  <c r="F1222" i="3"/>
  <c r="G1222" i="3" s="1"/>
  <c r="O1221" i="3"/>
  <c r="P1221" i="3" s="1"/>
  <c r="L1222" i="3"/>
  <c r="C1223" i="3"/>
  <c r="J1222" i="3"/>
  <c r="K1222" i="3" s="1"/>
  <c r="M1222" i="3"/>
  <c r="N1222" i="3" s="1"/>
  <c r="Q1220" i="3"/>
  <c r="E1223" i="3"/>
  <c r="A1224" i="3"/>
  <c r="D1224" i="3" s="1"/>
  <c r="B1223" i="3"/>
  <c r="H1224" i="3" l="1"/>
  <c r="I1224" i="3"/>
  <c r="F1223" i="3"/>
  <c r="G1223" i="3" s="1"/>
  <c r="O1222" i="3"/>
  <c r="P1222" i="3" s="1"/>
  <c r="J1223" i="3"/>
  <c r="K1223" i="3" s="1"/>
  <c r="M1223" i="3"/>
  <c r="N1223" i="3" s="1"/>
  <c r="L1223" i="3"/>
  <c r="C1224" i="3"/>
  <c r="Q1221" i="3"/>
  <c r="E1224" i="3"/>
  <c r="A1225" i="3"/>
  <c r="D1225" i="3" s="1"/>
  <c r="B1224" i="3"/>
  <c r="H1225" i="3" l="1"/>
  <c r="I1225" i="3"/>
  <c r="F1224" i="3"/>
  <c r="G1224" i="3" s="1"/>
  <c r="L1224" i="3"/>
  <c r="O1223" i="3"/>
  <c r="P1223" i="3" s="1"/>
  <c r="J1224" i="3"/>
  <c r="K1224" i="3" s="1"/>
  <c r="M1224" i="3"/>
  <c r="N1224" i="3" s="1"/>
  <c r="C1225" i="3"/>
  <c r="Q1222" i="3"/>
  <c r="E1225" i="3"/>
  <c r="A1226" i="3"/>
  <c r="D1226" i="3" s="1"/>
  <c r="B1225" i="3"/>
  <c r="H1226" i="3" l="1"/>
  <c r="I1226" i="3"/>
  <c r="L1225" i="3"/>
  <c r="F1225" i="3"/>
  <c r="G1225" i="3" s="1"/>
  <c r="O1224" i="3"/>
  <c r="P1224" i="3" s="1"/>
  <c r="J1225" i="3"/>
  <c r="K1225" i="3" s="1"/>
  <c r="M1225" i="3"/>
  <c r="N1225" i="3" s="1"/>
  <c r="C1226" i="3"/>
  <c r="Q1223" i="3"/>
  <c r="E1226" i="3"/>
  <c r="A1227" i="3"/>
  <c r="D1227" i="3" s="1"/>
  <c r="B1226" i="3"/>
  <c r="H1227" i="3" l="1"/>
  <c r="M1227" i="3" s="1"/>
  <c r="N1227" i="3" s="1"/>
  <c r="I1227" i="3"/>
  <c r="F1226" i="3"/>
  <c r="G1226" i="3" s="1"/>
  <c r="L1226" i="3"/>
  <c r="O1225" i="3"/>
  <c r="P1225" i="3" s="1"/>
  <c r="J1226" i="3"/>
  <c r="K1226" i="3" s="1"/>
  <c r="M1226" i="3"/>
  <c r="N1226" i="3" s="1"/>
  <c r="C1227" i="3"/>
  <c r="Q1224" i="3"/>
  <c r="E1227" i="3"/>
  <c r="A1228" i="3"/>
  <c r="D1228" i="3" s="1"/>
  <c r="B1227" i="3"/>
  <c r="H1228" i="3" l="1"/>
  <c r="I1228" i="3"/>
  <c r="F1227" i="3"/>
  <c r="G1227" i="3" s="1"/>
  <c r="L1227" i="3"/>
  <c r="O1226" i="3"/>
  <c r="P1226" i="3" s="1"/>
  <c r="J1227" i="3"/>
  <c r="K1227" i="3" s="1"/>
  <c r="O1227" i="3" s="1"/>
  <c r="C1228" i="3"/>
  <c r="Q1225" i="3"/>
  <c r="E1228" i="3"/>
  <c r="A1229" i="3"/>
  <c r="D1229" i="3" s="1"/>
  <c r="B1228" i="3"/>
  <c r="H1229" i="3" l="1"/>
  <c r="I1229" i="3"/>
  <c r="F1228" i="3"/>
  <c r="G1228" i="3" s="1"/>
  <c r="L1228" i="3"/>
  <c r="J1228" i="3"/>
  <c r="K1228" i="3" s="1"/>
  <c r="M1228" i="3"/>
  <c r="N1228" i="3" s="1"/>
  <c r="C1229" i="3"/>
  <c r="Q1226" i="3"/>
  <c r="P1227" i="3"/>
  <c r="E1229" i="3"/>
  <c r="A1230" i="3"/>
  <c r="D1230" i="3" s="1"/>
  <c r="B1229" i="3"/>
  <c r="I1230" i="3" l="1"/>
  <c r="H1230" i="3"/>
  <c r="F1229" i="3"/>
  <c r="G1229" i="3" s="1"/>
  <c r="L1229" i="3"/>
  <c r="O1228" i="3"/>
  <c r="P1228" i="3" s="1"/>
  <c r="C1230" i="3"/>
  <c r="J1229" i="3"/>
  <c r="K1229" i="3" s="1"/>
  <c r="M1229" i="3"/>
  <c r="N1229" i="3" s="1"/>
  <c r="Q1227" i="3"/>
  <c r="E1230" i="3"/>
  <c r="A1231" i="3"/>
  <c r="D1231" i="3" s="1"/>
  <c r="B1230" i="3"/>
  <c r="H1231" i="3" l="1"/>
  <c r="I1231" i="3"/>
  <c r="F1230" i="3"/>
  <c r="G1230" i="3" s="1"/>
  <c r="O1229" i="3"/>
  <c r="P1229" i="3" s="1"/>
  <c r="L1230" i="3"/>
  <c r="C1231" i="3"/>
  <c r="J1230" i="3"/>
  <c r="K1230" i="3" s="1"/>
  <c r="M1230" i="3"/>
  <c r="N1230" i="3" s="1"/>
  <c r="Q1228" i="3"/>
  <c r="E1231" i="3"/>
  <c r="A1232" i="3"/>
  <c r="D1232" i="3" s="1"/>
  <c r="B1231" i="3"/>
  <c r="H1232" i="3" l="1"/>
  <c r="I1232" i="3"/>
  <c r="F1231" i="3"/>
  <c r="G1231" i="3" s="1"/>
  <c r="L1231" i="3"/>
  <c r="O1230" i="3"/>
  <c r="P1230" i="3" s="1"/>
  <c r="C1232" i="3"/>
  <c r="J1231" i="3"/>
  <c r="K1231" i="3" s="1"/>
  <c r="M1231" i="3"/>
  <c r="N1231" i="3" s="1"/>
  <c r="Q1229" i="3"/>
  <c r="E1232" i="3"/>
  <c r="A1233" i="3"/>
  <c r="D1233" i="3" s="1"/>
  <c r="B1232" i="3"/>
  <c r="I1233" i="3" l="1"/>
  <c r="H1233" i="3"/>
  <c r="F1232" i="3"/>
  <c r="G1232" i="3" s="1"/>
  <c r="L1232" i="3"/>
  <c r="O1231" i="3"/>
  <c r="P1231" i="3" s="1"/>
  <c r="C1233" i="3"/>
  <c r="J1232" i="3"/>
  <c r="K1232" i="3" s="1"/>
  <c r="M1232" i="3"/>
  <c r="N1232" i="3" s="1"/>
  <c r="Q1230" i="3"/>
  <c r="E1233" i="3"/>
  <c r="A1234" i="3"/>
  <c r="D1234" i="3" s="1"/>
  <c r="B1233" i="3"/>
  <c r="I1234" i="3" l="1"/>
  <c r="H1234" i="3"/>
  <c r="F1233" i="3"/>
  <c r="G1233" i="3" s="1"/>
  <c r="O1232" i="3"/>
  <c r="P1232" i="3" s="1"/>
  <c r="L1233" i="3"/>
  <c r="J1233" i="3"/>
  <c r="K1233" i="3" s="1"/>
  <c r="M1233" i="3"/>
  <c r="N1233" i="3" s="1"/>
  <c r="C1234" i="3"/>
  <c r="Q1231" i="3"/>
  <c r="E1234" i="3"/>
  <c r="A1235" i="3"/>
  <c r="D1235" i="3" s="1"/>
  <c r="B1234" i="3"/>
  <c r="H1235" i="3" l="1"/>
  <c r="I1235" i="3"/>
  <c r="F1234" i="3"/>
  <c r="G1234" i="3" s="1"/>
  <c r="L1234" i="3"/>
  <c r="O1233" i="3"/>
  <c r="P1233" i="3" s="1"/>
  <c r="C1235" i="3"/>
  <c r="J1234" i="3"/>
  <c r="K1234" i="3" s="1"/>
  <c r="M1234" i="3"/>
  <c r="N1234" i="3" s="1"/>
  <c r="Q1232" i="3"/>
  <c r="E1235" i="3"/>
  <c r="A1236" i="3"/>
  <c r="D1236" i="3" s="1"/>
  <c r="B1235" i="3"/>
  <c r="H1236" i="3" l="1"/>
  <c r="I1236" i="3"/>
  <c r="F1235" i="3"/>
  <c r="G1235" i="3" s="1"/>
  <c r="O1234" i="3"/>
  <c r="P1234" i="3" s="1"/>
  <c r="L1235" i="3"/>
  <c r="C1236" i="3"/>
  <c r="J1235" i="3"/>
  <c r="K1235" i="3" s="1"/>
  <c r="M1235" i="3"/>
  <c r="N1235" i="3" s="1"/>
  <c r="Q1233" i="3"/>
  <c r="E1236" i="3"/>
  <c r="A1237" i="3"/>
  <c r="D1237" i="3" s="1"/>
  <c r="B1236" i="3"/>
  <c r="H1237" i="3" l="1"/>
  <c r="I1237" i="3"/>
  <c r="F1236" i="3"/>
  <c r="G1236" i="3" s="1"/>
  <c r="L1236" i="3"/>
  <c r="O1235" i="3"/>
  <c r="P1235" i="3" s="1"/>
  <c r="C1237" i="3"/>
  <c r="J1236" i="3"/>
  <c r="K1236" i="3" s="1"/>
  <c r="M1236" i="3"/>
  <c r="N1236" i="3" s="1"/>
  <c r="Q1234" i="3"/>
  <c r="E1237" i="3"/>
  <c r="A1238" i="3"/>
  <c r="D1238" i="3" s="1"/>
  <c r="B1237" i="3"/>
  <c r="H1238" i="3" l="1"/>
  <c r="I1238" i="3"/>
  <c r="F1237" i="3"/>
  <c r="G1237" i="3" s="1"/>
  <c r="L1237" i="3"/>
  <c r="O1236" i="3"/>
  <c r="P1236" i="3" s="1"/>
  <c r="C1238" i="3"/>
  <c r="J1237" i="3"/>
  <c r="K1237" i="3" s="1"/>
  <c r="M1237" i="3"/>
  <c r="N1237" i="3" s="1"/>
  <c r="Q1235" i="3"/>
  <c r="E1238" i="3"/>
  <c r="A1239" i="3"/>
  <c r="D1239" i="3" s="1"/>
  <c r="B1238" i="3"/>
  <c r="H1239" i="3" l="1"/>
  <c r="I1239" i="3"/>
  <c r="F1238" i="3"/>
  <c r="G1238" i="3" s="1"/>
  <c r="O1237" i="3"/>
  <c r="P1237" i="3" s="1"/>
  <c r="L1238" i="3"/>
  <c r="C1239" i="3"/>
  <c r="J1238" i="3"/>
  <c r="K1238" i="3" s="1"/>
  <c r="M1238" i="3"/>
  <c r="N1238" i="3" s="1"/>
  <c r="Q1236" i="3"/>
  <c r="E1239" i="3"/>
  <c r="A1240" i="3"/>
  <c r="D1240" i="3" s="1"/>
  <c r="B1239" i="3"/>
  <c r="H1240" i="3" l="1"/>
  <c r="I1240" i="3"/>
  <c r="F1239" i="3"/>
  <c r="G1239" i="3" s="1"/>
  <c r="L1239" i="3"/>
  <c r="O1238" i="3"/>
  <c r="P1238" i="3" s="1"/>
  <c r="C1240" i="3"/>
  <c r="J1239" i="3"/>
  <c r="K1239" i="3" s="1"/>
  <c r="M1239" i="3"/>
  <c r="N1239" i="3" s="1"/>
  <c r="Q1237" i="3"/>
  <c r="E1240" i="3"/>
  <c r="A1241" i="3"/>
  <c r="D1241" i="3" s="1"/>
  <c r="B1240" i="3"/>
  <c r="H1241" i="3" l="1"/>
  <c r="I1241" i="3"/>
  <c r="F1240" i="3"/>
  <c r="G1240" i="3" s="1"/>
  <c r="L1240" i="3"/>
  <c r="O1239" i="3"/>
  <c r="P1239" i="3" s="1"/>
  <c r="C1241" i="3"/>
  <c r="J1240" i="3"/>
  <c r="K1240" i="3" s="1"/>
  <c r="M1240" i="3"/>
  <c r="N1240" i="3" s="1"/>
  <c r="Q1238" i="3"/>
  <c r="E1241" i="3"/>
  <c r="A1242" i="3"/>
  <c r="D1242" i="3" s="1"/>
  <c r="B1241" i="3"/>
  <c r="H1242" i="3" l="1"/>
  <c r="I1242" i="3"/>
  <c r="F1241" i="3"/>
  <c r="G1241" i="3" s="1"/>
  <c r="O1240" i="3"/>
  <c r="P1240" i="3" s="1"/>
  <c r="L1241" i="3"/>
  <c r="C1242" i="3"/>
  <c r="J1241" i="3"/>
  <c r="K1241" i="3" s="1"/>
  <c r="M1241" i="3"/>
  <c r="N1241" i="3" s="1"/>
  <c r="Q1239" i="3"/>
  <c r="E1242" i="3"/>
  <c r="A1243" i="3"/>
  <c r="D1243" i="3" s="1"/>
  <c r="B1242" i="3"/>
  <c r="H1243" i="3" l="1"/>
  <c r="I1243" i="3"/>
  <c r="L1242" i="3"/>
  <c r="F1242" i="3"/>
  <c r="G1242" i="3" s="1"/>
  <c r="O1241" i="3"/>
  <c r="P1241" i="3" s="1"/>
  <c r="C1243" i="3"/>
  <c r="J1242" i="3"/>
  <c r="K1242" i="3" s="1"/>
  <c r="M1242" i="3"/>
  <c r="N1242" i="3" s="1"/>
  <c r="Q1240" i="3"/>
  <c r="E1243" i="3"/>
  <c r="A1244" i="3"/>
  <c r="D1244" i="3" s="1"/>
  <c r="B1243" i="3"/>
  <c r="H1244" i="3" l="1"/>
  <c r="I1244" i="3"/>
  <c r="O1242" i="3"/>
  <c r="P1242" i="3" s="1"/>
  <c r="F1243" i="3"/>
  <c r="G1243" i="3" s="1"/>
  <c r="L1243" i="3"/>
  <c r="C1244" i="3"/>
  <c r="J1243" i="3"/>
  <c r="K1243" i="3" s="1"/>
  <c r="M1243" i="3"/>
  <c r="N1243" i="3" s="1"/>
  <c r="Q1241" i="3"/>
  <c r="E1244" i="3"/>
  <c r="A1245" i="3"/>
  <c r="D1245" i="3" s="1"/>
  <c r="B1244" i="3"/>
  <c r="H1245" i="3" l="1"/>
  <c r="I1245" i="3"/>
  <c r="F1244" i="3"/>
  <c r="G1244" i="3" s="1"/>
  <c r="L1244" i="3"/>
  <c r="O1243" i="3"/>
  <c r="P1243" i="3" s="1"/>
  <c r="C1245" i="3"/>
  <c r="J1244" i="3"/>
  <c r="K1244" i="3" s="1"/>
  <c r="M1244" i="3"/>
  <c r="N1244" i="3" s="1"/>
  <c r="Q1242" i="3"/>
  <c r="E1245" i="3"/>
  <c r="A1246" i="3"/>
  <c r="D1246" i="3" s="1"/>
  <c r="B1245" i="3"/>
  <c r="H1246" i="3" l="1"/>
  <c r="I1246" i="3"/>
  <c r="F1245" i="3"/>
  <c r="G1245" i="3" s="1"/>
  <c r="L1245" i="3"/>
  <c r="O1244" i="3"/>
  <c r="P1244" i="3" s="1"/>
  <c r="C1246" i="3"/>
  <c r="J1245" i="3"/>
  <c r="K1245" i="3" s="1"/>
  <c r="M1245" i="3"/>
  <c r="N1245" i="3" s="1"/>
  <c r="Q1243" i="3"/>
  <c r="E1246" i="3"/>
  <c r="A1247" i="3"/>
  <c r="D1247" i="3" s="1"/>
  <c r="B1246" i="3"/>
  <c r="I1247" i="3" l="1"/>
  <c r="H1247" i="3"/>
  <c r="F1246" i="3"/>
  <c r="G1246" i="3" s="1"/>
  <c r="O1245" i="3"/>
  <c r="P1245" i="3" s="1"/>
  <c r="L1246" i="3"/>
  <c r="C1247" i="3"/>
  <c r="J1246" i="3"/>
  <c r="K1246" i="3" s="1"/>
  <c r="M1246" i="3"/>
  <c r="N1246" i="3" s="1"/>
  <c r="Q1244" i="3"/>
  <c r="E1247" i="3"/>
  <c r="A1248" i="3"/>
  <c r="D1248" i="3" s="1"/>
  <c r="B1247" i="3"/>
  <c r="H1248" i="3" l="1"/>
  <c r="I1248" i="3"/>
  <c r="F1247" i="3"/>
  <c r="G1247" i="3" s="1"/>
  <c r="L1247" i="3"/>
  <c r="O1246" i="3"/>
  <c r="P1246" i="3" s="1"/>
  <c r="C1248" i="3"/>
  <c r="J1247" i="3"/>
  <c r="K1247" i="3" s="1"/>
  <c r="M1247" i="3"/>
  <c r="N1247" i="3" s="1"/>
  <c r="Q1245" i="3"/>
  <c r="E1248" i="3"/>
  <c r="A1249" i="3"/>
  <c r="D1249" i="3" s="1"/>
  <c r="B1248" i="3"/>
  <c r="I1249" i="3" l="1"/>
  <c r="H1249" i="3"/>
  <c r="F1248" i="3"/>
  <c r="G1248" i="3" s="1"/>
  <c r="O1247" i="3"/>
  <c r="P1247" i="3" s="1"/>
  <c r="L1248" i="3"/>
  <c r="C1249" i="3"/>
  <c r="J1248" i="3"/>
  <c r="K1248" i="3" s="1"/>
  <c r="M1248" i="3"/>
  <c r="N1248" i="3" s="1"/>
  <c r="Q1246" i="3"/>
  <c r="E1249" i="3"/>
  <c r="A1250" i="3"/>
  <c r="D1250" i="3" s="1"/>
  <c r="B1249" i="3"/>
  <c r="H1250" i="3" l="1"/>
  <c r="I1250" i="3"/>
  <c r="F1249" i="3"/>
  <c r="G1249" i="3" s="1"/>
  <c r="O1248" i="3"/>
  <c r="P1248" i="3" s="1"/>
  <c r="L1249" i="3"/>
  <c r="C1250" i="3"/>
  <c r="J1249" i="3"/>
  <c r="K1249" i="3" s="1"/>
  <c r="M1249" i="3"/>
  <c r="N1249" i="3" s="1"/>
  <c r="Q1247" i="3"/>
  <c r="E1250" i="3"/>
  <c r="A1251" i="3"/>
  <c r="D1251" i="3" s="1"/>
  <c r="B1250" i="3"/>
  <c r="H1251" i="3" l="1"/>
  <c r="I1251" i="3"/>
  <c r="F1250" i="3"/>
  <c r="G1250" i="3" s="1"/>
  <c r="L1250" i="3"/>
  <c r="O1249" i="3"/>
  <c r="P1249" i="3" s="1"/>
  <c r="C1251" i="3"/>
  <c r="J1250" i="3"/>
  <c r="K1250" i="3" s="1"/>
  <c r="M1250" i="3"/>
  <c r="N1250" i="3" s="1"/>
  <c r="Q1248" i="3"/>
  <c r="E1251" i="3"/>
  <c r="A1252" i="3"/>
  <c r="D1252" i="3" s="1"/>
  <c r="B1251" i="3"/>
  <c r="H1252" i="3" l="1"/>
  <c r="I1252" i="3"/>
  <c r="F1251" i="3"/>
  <c r="G1251" i="3" s="1"/>
  <c r="O1250" i="3"/>
  <c r="P1250" i="3" s="1"/>
  <c r="L1251" i="3"/>
  <c r="J1251" i="3"/>
  <c r="K1251" i="3" s="1"/>
  <c r="M1251" i="3"/>
  <c r="N1251" i="3" s="1"/>
  <c r="C1252" i="3"/>
  <c r="Q1249" i="3"/>
  <c r="E1252" i="3"/>
  <c r="A1253" i="3"/>
  <c r="D1253" i="3" s="1"/>
  <c r="B1252" i="3"/>
  <c r="H1253" i="3" l="1"/>
  <c r="I1253" i="3"/>
  <c r="L1252" i="3"/>
  <c r="O1251" i="3"/>
  <c r="P1251" i="3" s="1"/>
  <c r="F1252" i="3"/>
  <c r="G1252" i="3" s="1"/>
  <c r="J1252" i="3"/>
  <c r="K1252" i="3" s="1"/>
  <c r="M1252" i="3"/>
  <c r="N1252" i="3" s="1"/>
  <c r="C1253" i="3"/>
  <c r="Q1250" i="3"/>
  <c r="E1253" i="3"/>
  <c r="A1254" i="3"/>
  <c r="D1254" i="3" s="1"/>
  <c r="B1253" i="3"/>
  <c r="H1254" i="3" l="1"/>
  <c r="I1254" i="3"/>
  <c r="F1253" i="3"/>
  <c r="G1253" i="3" s="1"/>
  <c r="O1252" i="3"/>
  <c r="P1252" i="3" s="1"/>
  <c r="L1253" i="3"/>
  <c r="J1253" i="3"/>
  <c r="K1253" i="3" s="1"/>
  <c r="M1253" i="3"/>
  <c r="N1253" i="3" s="1"/>
  <c r="C1254" i="3"/>
  <c r="Q1251" i="3"/>
  <c r="E1254" i="3"/>
  <c r="A1255" i="3"/>
  <c r="D1255" i="3" s="1"/>
  <c r="B1254" i="3"/>
  <c r="H1255" i="3" l="1"/>
  <c r="I1255" i="3"/>
  <c r="F1254" i="3"/>
  <c r="G1254" i="3" s="1"/>
  <c r="O1253" i="3"/>
  <c r="P1253" i="3" s="1"/>
  <c r="L1254" i="3"/>
  <c r="C1255" i="3"/>
  <c r="J1254" i="3"/>
  <c r="K1254" i="3" s="1"/>
  <c r="M1254" i="3"/>
  <c r="N1254" i="3" s="1"/>
  <c r="Q1252" i="3"/>
  <c r="E1255" i="3"/>
  <c r="A1256" i="3"/>
  <c r="D1256" i="3" s="1"/>
  <c r="B1255" i="3"/>
  <c r="H1256" i="3" l="1"/>
  <c r="I1256" i="3"/>
  <c r="F1255" i="3"/>
  <c r="G1255" i="3" s="1"/>
  <c r="O1254" i="3"/>
  <c r="P1254" i="3" s="1"/>
  <c r="J1255" i="3"/>
  <c r="K1255" i="3" s="1"/>
  <c r="M1255" i="3"/>
  <c r="N1255" i="3" s="1"/>
  <c r="L1255" i="3"/>
  <c r="C1256" i="3"/>
  <c r="Q1253" i="3"/>
  <c r="E1256" i="3"/>
  <c r="A1257" i="3"/>
  <c r="D1257" i="3" s="1"/>
  <c r="B1256" i="3"/>
  <c r="H1257" i="3" l="1"/>
  <c r="I1257" i="3"/>
  <c r="O1255" i="3"/>
  <c r="P1255" i="3" s="1"/>
  <c r="L1256" i="3"/>
  <c r="F1256" i="3"/>
  <c r="G1256" i="3" s="1"/>
  <c r="J1256" i="3"/>
  <c r="K1256" i="3" s="1"/>
  <c r="M1256" i="3"/>
  <c r="N1256" i="3" s="1"/>
  <c r="C1257" i="3"/>
  <c r="Q1254" i="3"/>
  <c r="E1257" i="3"/>
  <c r="A1258" i="3"/>
  <c r="D1258" i="3" s="1"/>
  <c r="B1257" i="3"/>
  <c r="H1258" i="3" l="1"/>
  <c r="I1258" i="3"/>
  <c r="F1257" i="3"/>
  <c r="G1257" i="3" s="1"/>
  <c r="O1256" i="3"/>
  <c r="P1256" i="3" s="1"/>
  <c r="L1257" i="3"/>
  <c r="J1257" i="3"/>
  <c r="K1257" i="3" s="1"/>
  <c r="M1257" i="3"/>
  <c r="N1257" i="3" s="1"/>
  <c r="C1258" i="3"/>
  <c r="Q1255" i="3"/>
  <c r="E1258" i="3"/>
  <c r="A1259" i="3"/>
  <c r="D1259" i="3" s="1"/>
  <c r="B1258" i="3"/>
  <c r="H1259" i="3" l="1"/>
  <c r="I1259" i="3"/>
  <c r="F1258" i="3"/>
  <c r="G1258" i="3" s="1"/>
  <c r="L1258" i="3"/>
  <c r="O1257" i="3"/>
  <c r="P1257" i="3" s="1"/>
  <c r="J1258" i="3"/>
  <c r="K1258" i="3" s="1"/>
  <c r="M1258" i="3"/>
  <c r="N1258" i="3" s="1"/>
  <c r="C1259" i="3"/>
  <c r="Q1256" i="3"/>
  <c r="E1259" i="3"/>
  <c r="A1260" i="3"/>
  <c r="D1260" i="3" s="1"/>
  <c r="B1259" i="3"/>
  <c r="I1260" i="3" l="1"/>
  <c r="H1260" i="3"/>
  <c r="F1259" i="3"/>
  <c r="G1259" i="3" s="1"/>
  <c r="O1258" i="3"/>
  <c r="P1258" i="3" s="1"/>
  <c r="L1259" i="3"/>
  <c r="C1260" i="3"/>
  <c r="J1259" i="3"/>
  <c r="K1259" i="3" s="1"/>
  <c r="M1259" i="3"/>
  <c r="N1259" i="3" s="1"/>
  <c r="Q1257" i="3"/>
  <c r="E1260" i="3"/>
  <c r="A1261" i="3"/>
  <c r="D1261" i="3" s="1"/>
  <c r="B1260" i="3"/>
  <c r="H1261" i="3" l="1"/>
  <c r="I1261" i="3"/>
  <c r="F1260" i="3"/>
  <c r="G1260" i="3" s="1"/>
  <c r="L1260" i="3"/>
  <c r="O1259" i="3"/>
  <c r="P1259" i="3" s="1"/>
  <c r="C1261" i="3"/>
  <c r="J1260" i="3"/>
  <c r="K1260" i="3" s="1"/>
  <c r="M1260" i="3"/>
  <c r="N1260" i="3" s="1"/>
  <c r="Q1258" i="3"/>
  <c r="E1261" i="3"/>
  <c r="A1262" i="3"/>
  <c r="D1262" i="3" s="1"/>
  <c r="B1261" i="3"/>
  <c r="I1262" i="3" l="1"/>
  <c r="H1262" i="3"/>
  <c r="F1261" i="3"/>
  <c r="G1261" i="3" s="1"/>
  <c r="L1261" i="3"/>
  <c r="O1260" i="3"/>
  <c r="P1260" i="3" s="1"/>
  <c r="C1262" i="3"/>
  <c r="J1261" i="3"/>
  <c r="K1261" i="3" s="1"/>
  <c r="M1261" i="3"/>
  <c r="N1261" i="3" s="1"/>
  <c r="Q1259" i="3"/>
  <c r="E1262" i="3"/>
  <c r="A1263" i="3"/>
  <c r="D1263" i="3" s="1"/>
  <c r="B1262" i="3"/>
  <c r="H1263" i="3" l="1"/>
  <c r="I1263" i="3"/>
  <c r="L1262" i="3"/>
  <c r="F1262" i="3"/>
  <c r="G1262" i="3" s="1"/>
  <c r="O1261" i="3"/>
  <c r="P1261" i="3" s="1"/>
  <c r="J1262" i="3"/>
  <c r="K1262" i="3" s="1"/>
  <c r="M1262" i="3"/>
  <c r="N1262" i="3" s="1"/>
  <c r="C1263" i="3"/>
  <c r="Q1260" i="3"/>
  <c r="E1263" i="3"/>
  <c r="A1264" i="3"/>
  <c r="D1264" i="3" s="1"/>
  <c r="B1263" i="3"/>
  <c r="H1264" i="3" l="1"/>
  <c r="I1264" i="3"/>
  <c r="F1263" i="3"/>
  <c r="G1263" i="3" s="1"/>
  <c r="L1263" i="3"/>
  <c r="O1262" i="3"/>
  <c r="P1262" i="3" s="1"/>
  <c r="J1263" i="3"/>
  <c r="K1263" i="3" s="1"/>
  <c r="M1263" i="3"/>
  <c r="N1263" i="3" s="1"/>
  <c r="C1264" i="3"/>
  <c r="Q1261" i="3"/>
  <c r="E1264" i="3"/>
  <c r="A1265" i="3"/>
  <c r="D1265" i="3" s="1"/>
  <c r="B1264" i="3"/>
  <c r="I1265" i="3" l="1"/>
  <c r="H1265" i="3"/>
  <c r="F1264" i="3"/>
  <c r="G1264" i="3" s="1"/>
  <c r="L1264" i="3"/>
  <c r="O1263" i="3"/>
  <c r="P1263" i="3" s="1"/>
  <c r="J1264" i="3"/>
  <c r="K1264" i="3" s="1"/>
  <c r="M1264" i="3"/>
  <c r="N1264" i="3" s="1"/>
  <c r="C1265" i="3"/>
  <c r="Q1262" i="3"/>
  <c r="E1265" i="3"/>
  <c r="A1266" i="3"/>
  <c r="D1266" i="3" s="1"/>
  <c r="B1265" i="3"/>
  <c r="H1266" i="3" l="1"/>
  <c r="I1266" i="3"/>
  <c r="F1265" i="3"/>
  <c r="G1265" i="3" s="1"/>
  <c r="L1265" i="3"/>
  <c r="O1264" i="3"/>
  <c r="P1264" i="3" s="1"/>
  <c r="J1265" i="3"/>
  <c r="K1265" i="3" s="1"/>
  <c r="M1265" i="3"/>
  <c r="N1265" i="3" s="1"/>
  <c r="C1266" i="3"/>
  <c r="Q1263" i="3"/>
  <c r="E1266" i="3"/>
  <c r="A1267" i="3"/>
  <c r="D1267" i="3" s="1"/>
  <c r="B1266" i="3"/>
  <c r="H1267" i="3" l="1"/>
  <c r="I1267" i="3"/>
  <c r="F1266" i="3"/>
  <c r="G1266" i="3" s="1"/>
  <c r="L1266" i="3"/>
  <c r="O1265" i="3"/>
  <c r="P1265" i="3" s="1"/>
  <c r="J1266" i="3"/>
  <c r="K1266" i="3" s="1"/>
  <c r="M1266" i="3"/>
  <c r="N1266" i="3" s="1"/>
  <c r="C1267" i="3"/>
  <c r="Q1264" i="3"/>
  <c r="E1267" i="3"/>
  <c r="A1268" i="3"/>
  <c r="D1268" i="3" s="1"/>
  <c r="B1267" i="3"/>
  <c r="H1268" i="3" l="1"/>
  <c r="I1268" i="3"/>
  <c r="F1267" i="3"/>
  <c r="G1267" i="3" s="1"/>
  <c r="O1266" i="3"/>
  <c r="P1266" i="3" s="1"/>
  <c r="L1267" i="3"/>
  <c r="C1268" i="3"/>
  <c r="J1267" i="3"/>
  <c r="K1267" i="3" s="1"/>
  <c r="M1267" i="3"/>
  <c r="N1267" i="3" s="1"/>
  <c r="Q1265" i="3"/>
  <c r="E1268" i="3"/>
  <c r="A1269" i="3"/>
  <c r="D1269" i="3" s="1"/>
  <c r="B1268" i="3"/>
  <c r="H1269" i="3" l="1"/>
  <c r="I1269" i="3"/>
  <c r="F1268" i="3"/>
  <c r="G1268" i="3" s="1"/>
  <c r="O1267" i="3"/>
  <c r="P1267" i="3" s="1"/>
  <c r="L1268" i="3"/>
  <c r="C1269" i="3"/>
  <c r="J1268" i="3"/>
  <c r="K1268" i="3" s="1"/>
  <c r="M1268" i="3"/>
  <c r="N1268" i="3" s="1"/>
  <c r="Q1266" i="3"/>
  <c r="E1269" i="3"/>
  <c r="A1270" i="3"/>
  <c r="D1270" i="3" s="1"/>
  <c r="B1269" i="3"/>
  <c r="H1270" i="3" l="1"/>
  <c r="I1270" i="3"/>
  <c r="F1269" i="3"/>
  <c r="G1269" i="3" s="1"/>
  <c r="O1268" i="3"/>
  <c r="P1268" i="3" s="1"/>
  <c r="L1269" i="3"/>
  <c r="C1270" i="3"/>
  <c r="J1269" i="3"/>
  <c r="K1269" i="3" s="1"/>
  <c r="M1269" i="3"/>
  <c r="N1269" i="3" s="1"/>
  <c r="Q1267" i="3"/>
  <c r="E1270" i="3"/>
  <c r="A1271" i="3"/>
  <c r="D1271" i="3" s="1"/>
  <c r="B1270" i="3"/>
  <c r="H1271" i="3" l="1"/>
  <c r="I1271" i="3"/>
  <c r="F1270" i="3"/>
  <c r="G1270" i="3" s="1"/>
  <c r="O1269" i="3"/>
  <c r="P1269" i="3" s="1"/>
  <c r="J1270" i="3"/>
  <c r="K1270" i="3" s="1"/>
  <c r="M1270" i="3"/>
  <c r="N1270" i="3" s="1"/>
  <c r="L1270" i="3"/>
  <c r="C1271" i="3"/>
  <c r="Q1268" i="3"/>
  <c r="E1271" i="3"/>
  <c r="A1272" i="3"/>
  <c r="D1272" i="3" s="1"/>
  <c r="B1271" i="3"/>
  <c r="H1272" i="3" l="1"/>
  <c r="I1272" i="3"/>
  <c r="F1271" i="3"/>
  <c r="G1271" i="3" s="1"/>
  <c r="L1271" i="3"/>
  <c r="O1270" i="3"/>
  <c r="P1270" i="3" s="1"/>
  <c r="J1271" i="3"/>
  <c r="K1271" i="3" s="1"/>
  <c r="M1271" i="3"/>
  <c r="N1271" i="3" s="1"/>
  <c r="C1272" i="3"/>
  <c r="Q1269" i="3"/>
  <c r="E1272" i="3"/>
  <c r="A1273" i="3"/>
  <c r="D1273" i="3" s="1"/>
  <c r="B1272" i="3"/>
  <c r="H1273" i="3" l="1"/>
  <c r="I1273" i="3"/>
  <c r="F1272" i="3"/>
  <c r="G1272" i="3" s="1"/>
  <c r="O1271" i="3"/>
  <c r="P1271" i="3" s="1"/>
  <c r="L1272" i="3"/>
  <c r="J1272" i="3"/>
  <c r="K1272" i="3" s="1"/>
  <c r="M1272" i="3"/>
  <c r="N1272" i="3" s="1"/>
  <c r="C1273" i="3"/>
  <c r="Q1270" i="3"/>
  <c r="E1273" i="3"/>
  <c r="A1274" i="3"/>
  <c r="D1274" i="3" s="1"/>
  <c r="B1273" i="3"/>
  <c r="H1274" i="3" l="1"/>
  <c r="I1274" i="3"/>
  <c r="O1272" i="3"/>
  <c r="P1272" i="3" s="1"/>
  <c r="F1273" i="3"/>
  <c r="G1273" i="3" s="1"/>
  <c r="L1273" i="3"/>
  <c r="J1273" i="3"/>
  <c r="K1273" i="3" s="1"/>
  <c r="M1273" i="3"/>
  <c r="N1273" i="3" s="1"/>
  <c r="C1274" i="3"/>
  <c r="Q1271" i="3"/>
  <c r="E1274" i="3"/>
  <c r="A1275" i="3"/>
  <c r="D1275" i="3" s="1"/>
  <c r="B1274" i="3"/>
  <c r="H1275" i="3" l="1"/>
  <c r="I1275" i="3"/>
  <c r="L1274" i="3"/>
  <c r="F1274" i="3"/>
  <c r="G1274" i="3" s="1"/>
  <c r="O1273" i="3"/>
  <c r="P1273" i="3" s="1"/>
  <c r="J1274" i="3"/>
  <c r="K1274" i="3" s="1"/>
  <c r="M1274" i="3"/>
  <c r="N1274" i="3" s="1"/>
  <c r="C1275" i="3"/>
  <c r="Q1272" i="3"/>
  <c r="E1275" i="3"/>
  <c r="A1276" i="3"/>
  <c r="D1276" i="3" s="1"/>
  <c r="B1275" i="3"/>
  <c r="H1276" i="3" l="1"/>
  <c r="I1276" i="3"/>
  <c r="F1275" i="3"/>
  <c r="G1275" i="3" s="1"/>
  <c r="L1275" i="3"/>
  <c r="O1274" i="3"/>
  <c r="P1274" i="3" s="1"/>
  <c r="J1275" i="3"/>
  <c r="K1275" i="3" s="1"/>
  <c r="M1275" i="3"/>
  <c r="N1275" i="3" s="1"/>
  <c r="C1276" i="3"/>
  <c r="Q1273" i="3"/>
  <c r="E1276" i="3"/>
  <c r="A1277" i="3"/>
  <c r="D1277" i="3" s="1"/>
  <c r="B1276" i="3"/>
  <c r="H1277" i="3" l="1"/>
  <c r="I1277" i="3"/>
  <c r="O1275" i="3"/>
  <c r="P1275" i="3" s="1"/>
  <c r="F1276" i="3"/>
  <c r="G1276" i="3" s="1"/>
  <c r="L1276" i="3"/>
  <c r="J1276" i="3"/>
  <c r="K1276" i="3" s="1"/>
  <c r="M1276" i="3"/>
  <c r="N1276" i="3" s="1"/>
  <c r="C1277" i="3"/>
  <c r="Q1274" i="3"/>
  <c r="E1277" i="3"/>
  <c r="A1278" i="3"/>
  <c r="D1278" i="3" s="1"/>
  <c r="B1277" i="3"/>
  <c r="H1278" i="3" l="1"/>
  <c r="I1278" i="3"/>
  <c r="L1277" i="3"/>
  <c r="F1277" i="3"/>
  <c r="G1277" i="3" s="1"/>
  <c r="O1276" i="3"/>
  <c r="P1276" i="3" s="1"/>
  <c r="J1277" i="3"/>
  <c r="K1277" i="3" s="1"/>
  <c r="M1277" i="3"/>
  <c r="N1277" i="3" s="1"/>
  <c r="C1278" i="3"/>
  <c r="Q1275" i="3"/>
  <c r="E1278" i="3"/>
  <c r="A1279" i="3"/>
  <c r="D1279" i="3" s="1"/>
  <c r="B1278" i="3"/>
  <c r="H1279" i="3" l="1"/>
  <c r="I1279" i="3"/>
  <c r="O1277" i="3"/>
  <c r="P1277" i="3" s="1"/>
  <c r="F1278" i="3"/>
  <c r="G1278" i="3" s="1"/>
  <c r="L1278" i="3"/>
  <c r="J1278" i="3"/>
  <c r="K1278" i="3" s="1"/>
  <c r="M1278" i="3"/>
  <c r="N1278" i="3" s="1"/>
  <c r="C1279" i="3"/>
  <c r="Q1276" i="3"/>
  <c r="E1279" i="3"/>
  <c r="A1280" i="3"/>
  <c r="D1280" i="3" s="1"/>
  <c r="B1279" i="3"/>
  <c r="H1280" i="3" l="1"/>
  <c r="I1280" i="3"/>
  <c r="L1279" i="3"/>
  <c r="F1279" i="3"/>
  <c r="G1279" i="3" s="1"/>
  <c r="O1278" i="3"/>
  <c r="P1278" i="3" s="1"/>
  <c r="C1280" i="3"/>
  <c r="J1279" i="3"/>
  <c r="K1279" i="3" s="1"/>
  <c r="M1279" i="3"/>
  <c r="N1279" i="3" s="1"/>
  <c r="Q1277" i="3"/>
  <c r="E1280" i="3"/>
  <c r="A1281" i="3"/>
  <c r="D1281" i="3" s="1"/>
  <c r="B1280" i="3"/>
  <c r="I1281" i="3" l="1"/>
  <c r="H1281" i="3"/>
  <c r="F1280" i="3"/>
  <c r="G1280" i="3" s="1"/>
  <c r="L1280" i="3"/>
  <c r="O1279" i="3"/>
  <c r="P1279" i="3" s="1"/>
  <c r="J1280" i="3"/>
  <c r="K1280" i="3" s="1"/>
  <c r="M1280" i="3"/>
  <c r="N1280" i="3" s="1"/>
  <c r="C1281" i="3"/>
  <c r="Q1278" i="3"/>
  <c r="E1281" i="3"/>
  <c r="A1282" i="3"/>
  <c r="D1282" i="3" s="1"/>
  <c r="B1281" i="3"/>
  <c r="H1282" i="3" l="1"/>
  <c r="I1282" i="3"/>
  <c r="L1281" i="3"/>
  <c r="O1280" i="3"/>
  <c r="P1280" i="3" s="1"/>
  <c r="F1281" i="3"/>
  <c r="G1281" i="3" s="1"/>
  <c r="C1282" i="3"/>
  <c r="J1281" i="3"/>
  <c r="K1281" i="3" s="1"/>
  <c r="M1281" i="3"/>
  <c r="N1281" i="3" s="1"/>
  <c r="Q1279" i="3"/>
  <c r="E1282" i="3"/>
  <c r="A1283" i="3"/>
  <c r="D1283" i="3" s="1"/>
  <c r="B1282" i="3"/>
  <c r="I1283" i="3" l="1"/>
  <c r="H1283" i="3"/>
  <c r="F1282" i="3"/>
  <c r="G1282" i="3" s="1"/>
  <c r="O1281" i="3"/>
  <c r="P1281" i="3" s="1"/>
  <c r="L1282" i="3"/>
  <c r="J1282" i="3"/>
  <c r="K1282" i="3" s="1"/>
  <c r="M1282" i="3"/>
  <c r="N1282" i="3" s="1"/>
  <c r="C1283" i="3"/>
  <c r="Q1280" i="3"/>
  <c r="E1283" i="3"/>
  <c r="A1284" i="3"/>
  <c r="D1284" i="3" s="1"/>
  <c r="B1283" i="3"/>
  <c r="H1284" i="3" l="1"/>
  <c r="I1284" i="3"/>
  <c r="O1282" i="3"/>
  <c r="P1282" i="3" s="1"/>
  <c r="F1283" i="3"/>
  <c r="G1283" i="3" s="1"/>
  <c r="L1283" i="3"/>
  <c r="C1284" i="3"/>
  <c r="J1283" i="3"/>
  <c r="K1283" i="3" s="1"/>
  <c r="M1283" i="3"/>
  <c r="N1283" i="3" s="1"/>
  <c r="Q1281" i="3"/>
  <c r="E1284" i="3"/>
  <c r="A1285" i="3"/>
  <c r="D1285" i="3" s="1"/>
  <c r="B1284" i="3"/>
  <c r="H1285" i="3" l="1"/>
  <c r="I1285" i="3"/>
  <c r="F1284" i="3"/>
  <c r="G1284" i="3" s="1"/>
  <c r="O1283" i="3"/>
  <c r="P1283" i="3" s="1"/>
  <c r="L1284" i="3"/>
  <c r="C1285" i="3"/>
  <c r="J1284" i="3"/>
  <c r="K1284" i="3" s="1"/>
  <c r="M1284" i="3"/>
  <c r="N1284" i="3" s="1"/>
  <c r="Q1282" i="3"/>
  <c r="E1285" i="3"/>
  <c r="A1286" i="3"/>
  <c r="D1286" i="3" s="1"/>
  <c r="B1285" i="3"/>
  <c r="H1286" i="3" l="1"/>
  <c r="I1286" i="3"/>
  <c r="F1285" i="3"/>
  <c r="G1285" i="3" s="1"/>
  <c r="L1285" i="3"/>
  <c r="O1284" i="3"/>
  <c r="P1284" i="3" s="1"/>
  <c r="C1286" i="3"/>
  <c r="J1285" i="3"/>
  <c r="K1285" i="3" s="1"/>
  <c r="M1285" i="3"/>
  <c r="N1285" i="3" s="1"/>
  <c r="Q1283" i="3"/>
  <c r="E1286" i="3"/>
  <c r="A1287" i="3"/>
  <c r="D1287" i="3" s="1"/>
  <c r="B1286" i="3"/>
  <c r="H1287" i="3" l="1"/>
  <c r="I1287" i="3"/>
  <c r="F1286" i="3"/>
  <c r="G1286" i="3" s="1"/>
  <c r="O1285" i="3"/>
  <c r="P1285" i="3" s="1"/>
  <c r="J1286" i="3"/>
  <c r="K1286" i="3" s="1"/>
  <c r="M1286" i="3"/>
  <c r="N1286" i="3" s="1"/>
  <c r="L1286" i="3"/>
  <c r="C1287" i="3"/>
  <c r="Q1284" i="3"/>
  <c r="E1287" i="3"/>
  <c r="A1288" i="3"/>
  <c r="D1288" i="3" s="1"/>
  <c r="B1287" i="3"/>
  <c r="H1288" i="3" l="1"/>
  <c r="I1288" i="3"/>
  <c r="O1286" i="3"/>
  <c r="P1286" i="3" s="1"/>
  <c r="L1287" i="3"/>
  <c r="F1287" i="3"/>
  <c r="G1287" i="3" s="1"/>
  <c r="J1287" i="3"/>
  <c r="K1287" i="3" s="1"/>
  <c r="M1287" i="3"/>
  <c r="N1287" i="3" s="1"/>
  <c r="C1288" i="3"/>
  <c r="Q1285" i="3"/>
  <c r="E1288" i="3"/>
  <c r="A1289" i="3"/>
  <c r="D1289" i="3" s="1"/>
  <c r="B1288" i="3"/>
  <c r="H1289" i="3" l="1"/>
  <c r="I1289" i="3"/>
  <c r="O1287" i="3"/>
  <c r="P1287" i="3" s="1"/>
  <c r="F1288" i="3"/>
  <c r="G1288" i="3" s="1"/>
  <c r="L1288" i="3"/>
  <c r="C1289" i="3"/>
  <c r="J1288" i="3"/>
  <c r="K1288" i="3" s="1"/>
  <c r="M1288" i="3"/>
  <c r="N1288" i="3" s="1"/>
  <c r="Q1286" i="3"/>
  <c r="E1289" i="3"/>
  <c r="A1290" i="3"/>
  <c r="D1290" i="3" s="1"/>
  <c r="B1289" i="3"/>
  <c r="I1290" i="3" l="1"/>
  <c r="H1290" i="3"/>
  <c r="O1288" i="3"/>
  <c r="P1288" i="3" s="1"/>
  <c r="F1289" i="3"/>
  <c r="G1289" i="3" s="1"/>
  <c r="L1289" i="3"/>
  <c r="C1290" i="3"/>
  <c r="J1289" i="3"/>
  <c r="K1289" i="3" s="1"/>
  <c r="M1289" i="3"/>
  <c r="N1289" i="3" s="1"/>
  <c r="Q1287" i="3"/>
  <c r="E1290" i="3"/>
  <c r="A1291" i="3"/>
  <c r="D1291" i="3" s="1"/>
  <c r="B1290" i="3"/>
  <c r="H1291" i="3" l="1"/>
  <c r="I1291" i="3"/>
  <c r="F1290" i="3"/>
  <c r="G1290" i="3" s="1"/>
  <c r="L1290" i="3"/>
  <c r="O1289" i="3"/>
  <c r="P1289" i="3" s="1"/>
  <c r="J1290" i="3"/>
  <c r="K1290" i="3" s="1"/>
  <c r="M1290" i="3"/>
  <c r="N1290" i="3" s="1"/>
  <c r="C1291" i="3"/>
  <c r="Q1288" i="3"/>
  <c r="E1291" i="3"/>
  <c r="A1292" i="3"/>
  <c r="D1292" i="3" s="1"/>
  <c r="B1291" i="3"/>
  <c r="H1292" i="3" l="1"/>
  <c r="I1292" i="3"/>
  <c r="F1291" i="3"/>
  <c r="G1291" i="3" s="1"/>
  <c r="L1291" i="3"/>
  <c r="O1290" i="3"/>
  <c r="P1290" i="3" s="1"/>
  <c r="C1292" i="3"/>
  <c r="J1291" i="3"/>
  <c r="K1291" i="3" s="1"/>
  <c r="M1291" i="3"/>
  <c r="N1291" i="3" s="1"/>
  <c r="Q1289" i="3"/>
  <c r="E1292" i="3"/>
  <c r="A1293" i="3"/>
  <c r="D1293" i="3" s="1"/>
  <c r="B1292" i="3"/>
  <c r="H1293" i="3" l="1"/>
  <c r="I1293" i="3"/>
  <c r="F1292" i="3"/>
  <c r="G1292" i="3" s="1"/>
  <c r="O1291" i="3"/>
  <c r="P1291" i="3" s="1"/>
  <c r="L1292" i="3"/>
  <c r="C1293" i="3"/>
  <c r="J1292" i="3"/>
  <c r="K1292" i="3" s="1"/>
  <c r="M1292" i="3"/>
  <c r="N1292" i="3" s="1"/>
  <c r="Q1290" i="3"/>
  <c r="E1293" i="3"/>
  <c r="A1294" i="3"/>
  <c r="D1294" i="3" s="1"/>
  <c r="B1293" i="3"/>
  <c r="H1294" i="3" l="1"/>
  <c r="I1294" i="3"/>
  <c r="F1293" i="3"/>
  <c r="G1293" i="3" s="1"/>
  <c r="L1293" i="3"/>
  <c r="O1292" i="3"/>
  <c r="P1292" i="3" s="1"/>
  <c r="C1294" i="3"/>
  <c r="J1293" i="3"/>
  <c r="K1293" i="3" s="1"/>
  <c r="M1293" i="3"/>
  <c r="N1293" i="3" s="1"/>
  <c r="Q1291" i="3"/>
  <c r="E1294" i="3"/>
  <c r="A1295" i="3"/>
  <c r="D1295" i="3" s="1"/>
  <c r="B1294" i="3"/>
  <c r="H1295" i="3" l="1"/>
  <c r="I1295" i="3"/>
  <c r="F1294" i="3"/>
  <c r="G1294" i="3" s="1"/>
  <c r="O1293" i="3"/>
  <c r="P1293" i="3" s="1"/>
  <c r="L1294" i="3"/>
  <c r="J1294" i="3"/>
  <c r="K1294" i="3" s="1"/>
  <c r="M1294" i="3"/>
  <c r="N1294" i="3" s="1"/>
  <c r="C1295" i="3"/>
  <c r="Q1292" i="3"/>
  <c r="E1295" i="3"/>
  <c r="A1296" i="3"/>
  <c r="D1296" i="3" s="1"/>
  <c r="B1295" i="3"/>
  <c r="H1296" i="3" l="1"/>
  <c r="I1296" i="3"/>
  <c r="L1295" i="3"/>
  <c r="F1295" i="3"/>
  <c r="G1295" i="3" s="1"/>
  <c r="O1294" i="3"/>
  <c r="P1294" i="3" s="1"/>
  <c r="C1296" i="3"/>
  <c r="J1295" i="3"/>
  <c r="K1295" i="3" s="1"/>
  <c r="M1295" i="3"/>
  <c r="N1295" i="3" s="1"/>
  <c r="Q1293" i="3"/>
  <c r="E1296" i="3"/>
  <c r="A1297" i="3"/>
  <c r="D1297" i="3" s="1"/>
  <c r="B1296" i="3"/>
  <c r="I1297" i="3" l="1"/>
  <c r="H1297" i="3"/>
  <c r="F1296" i="3"/>
  <c r="G1296" i="3" s="1"/>
  <c r="O1295" i="3"/>
  <c r="P1295" i="3" s="1"/>
  <c r="L1296" i="3"/>
  <c r="C1297" i="3"/>
  <c r="J1296" i="3"/>
  <c r="K1296" i="3" s="1"/>
  <c r="M1296" i="3"/>
  <c r="N1296" i="3" s="1"/>
  <c r="Q1294" i="3"/>
  <c r="E1297" i="3"/>
  <c r="A1298" i="3"/>
  <c r="D1298" i="3" s="1"/>
  <c r="B1297" i="3"/>
  <c r="H1298" i="3" l="1"/>
  <c r="I1298" i="3"/>
  <c r="F1297" i="3"/>
  <c r="G1297" i="3" s="1"/>
  <c r="O1296" i="3"/>
  <c r="P1296" i="3" s="1"/>
  <c r="L1297" i="3"/>
  <c r="C1298" i="3"/>
  <c r="J1297" i="3"/>
  <c r="K1297" i="3" s="1"/>
  <c r="M1297" i="3"/>
  <c r="N1297" i="3" s="1"/>
  <c r="Q1295" i="3"/>
  <c r="E1298" i="3"/>
  <c r="A1299" i="3"/>
  <c r="D1299" i="3" s="1"/>
  <c r="B1298" i="3"/>
  <c r="H1299" i="3" l="1"/>
  <c r="I1299" i="3"/>
  <c r="F1298" i="3"/>
  <c r="G1298" i="3" s="1"/>
  <c r="O1297" i="3"/>
  <c r="P1297" i="3" s="1"/>
  <c r="L1298" i="3"/>
  <c r="C1299" i="3"/>
  <c r="J1298" i="3"/>
  <c r="K1298" i="3" s="1"/>
  <c r="M1298" i="3"/>
  <c r="N1298" i="3" s="1"/>
  <c r="Q1296" i="3"/>
  <c r="E1299" i="3"/>
  <c r="A1300" i="3"/>
  <c r="D1300" i="3" s="1"/>
  <c r="B1299" i="3"/>
  <c r="H1300" i="3" l="1"/>
  <c r="I1300" i="3"/>
  <c r="F1299" i="3"/>
  <c r="G1299" i="3" s="1"/>
  <c r="L1299" i="3"/>
  <c r="O1298" i="3"/>
  <c r="P1298" i="3" s="1"/>
  <c r="C1300" i="3"/>
  <c r="J1299" i="3"/>
  <c r="K1299" i="3" s="1"/>
  <c r="M1299" i="3"/>
  <c r="N1299" i="3" s="1"/>
  <c r="Q1297" i="3"/>
  <c r="E1300" i="3"/>
  <c r="A1301" i="3"/>
  <c r="D1301" i="3" s="1"/>
  <c r="B1300" i="3"/>
  <c r="H1301" i="3" l="1"/>
  <c r="I1301" i="3"/>
  <c r="F1300" i="3"/>
  <c r="G1300" i="3" s="1"/>
  <c r="O1299" i="3"/>
  <c r="P1299" i="3" s="1"/>
  <c r="L1300" i="3"/>
  <c r="C1301" i="3"/>
  <c r="J1300" i="3"/>
  <c r="K1300" i="3" s="1"/>
  <c r="M1300" i="3"/>
  <c r="N1300" i="3" s="1"/>
  <c r="Q1298" i="3"/>
  <c r="E1301" i="3"/>
  <c r="A1302" i="3"/>
  <c r="D1302" i="3" s="1"/>
  <c r="B1301" i="3"/>
  <c r="H1302" i="3" l="1"/>
  <c r="M1302" i="3" s="1"/>
  <c r="N1302" i="3" s="1"/>
  <c r="I1302" i="3"/>
  <c r="F1301" i="3"/>
  <c r="G1301" i="3" s="1"/>
  <c r="O1300" i="3"/>
  <c r="P1300" i="3" s="1"/>
  <c r="L1301" i="3"/>
  <c r="C1302" i="3"/>
  <c r="J1301" i="3"/>
  <c r="K1301" i="3" s="1"/>
  <c r="M1301" i="3"/>
  <c r="N1301" i="3" s="1"/>
  <c r="Q1299" i="3"/>
  <c r="E1302" i="3"/>
  <c r="A1303" i="3"/>
  <c r="D1303" i="3" s="1"/>
  <c r="B1302" i="3"/>
  <c r="I1303" i="3" l="1"/>
  <c r="H1303" i="3"/>
  <c r="F1302" i="3"/>
  <c r="G1302" i="3" s="1"/>
  <c r="O1301" i="3"/>
  <c r="P1301" i="3" s="1"/>
  <c r="L1302" i="3"/>
  <c r="J1302" i="3"/>
  <c r="K1302" i="3" s="1"/>
  <c r="O1302" i="3" s="1"/>
  <c r="C1303" i="3"/>
  <c r="Q1300" i="3"/>
  <c r="E1303" i="3"/>
  <c r="A1304" i="3"/>
  <c r="D1304" i="3" s="1"/>
  <c r="B1303" i="3"/>
  <c r="H1304" i="3" l="1"/>
  <c r="I1304" i="3"/>
  <c r="F1303" i="3"/>
  <c r="G1303" i="3" s="1"/>
  <c r="J1303" i="3"/>
  <c r="K1303" i="3" s="1"/>
  <c r="M1303" i="3"/>
  <c r="N1303" i="3" s="1"/>
  <c r="C1304" i="3"/>
  <c r="L1303" i="3"/>
  <c r="Q1301" i="3"/>
  <c r="P1302" i="3"/>
  <c r="E1304" i="3"/>
  <c r="A1305" i="3"/>
  <c r="D1305" i="3" s="1"/>
  <c r="B1304" i="3"/>
  <c r="H1305" i="3" l="1"/>
  <c r="I1305" i="3"/>
  <c r="F1304" i="3"/>
  <c r="G1304" i="3" s="1"/>
  <c r="O1303" i="3"/>
  <c r="P1303" i="3" s="1"/>
  <c r="L1304" i="3"/>
  <c r="J1304" i="3"/>
  <c r="K1304" i="3" s="1"/>
  <c r="M1304" i="3"/>
  <c r="N1304" i="3" s="1"/>
  <c r="C1305" i="3"/>
  <c r="Q1302" i="3"/>
  <c r="E1305" i="3"/>
  <c r="A1306" i="3"/>
  <c r="D1306" i="3" s="1"/>
  <c r="B1305" i="3"/>
  <c r="H1306" i="3" l="1"/>
  <c r="I1306" i="3"/>
  <c r="F1305" i="3"/>
  <c r="G1305" i="3" s="1"/>
  <c r="L1305" i="3"/>
  <c r="O1304" i="3"/>
  <c r="P1304" i="3" s="1"/>
  <c r="C1306" i="3"/>
  <c r="J1305" i="3"/>
  <c r="K1305" i="3" s="1"/>
  <c r="M1305" i="3"/>
  <c r="N1305" i="3" s="1"/>
  <c r="Q1303" i="3"/>
  <c r="E1306" i="3"/>
  <c r="A1307" i="3"/>
  <c r="D1307" i="3" s="1"/>
  <c r="B1306" i="3"/>
  <c r="H1307" i="3" l="1"/>
  <c r="I1307" i="3"/>
  <c r="F1306" i="3"/>
  <c r="G1306" i="3" s="1"/>
  <c r="O1305" i="3"/>
  <c r="P1305" i="3" s="1"/>
  <c r="L1306" i="3"/>
  <c r="J1306" i="3"/>
  <c r="K1306" i="3" s="1"/>
  <c r="M1306" i="3"/>
  <c r="N1306" i="3" s="1"/>
  <c r="C1307" i="3"/>
  <c r="Q1304" i="3"/>
  <c r="E1307" i="3"/>
  <c r="A1308" i="3"/>
  <c r="D1308" i="3" s="1"/>
  <c r="B1307" i="3"/>
  <c r="H1308" i="3" l="1"/>
  <c r="I1308" i="3"/>
  <c r="F1307" i="3"/>
  <c r="G1307" i="3" s="1"/>
  <c r="O1306" i="3"/>
  <c r="P1306" i="3" s="1"/>
  <c r="L1307" i="3"/>
  <c r="C1308" i="3"/>
  <c r="J1307" i="3"/>
  <c r="K1307" i="3" s="1"/>
  <c r="M1307" i="3"/>
  <c r="N1307" i="3" s="1"/>
  <c r="Q1305" i="3"/>
  <c r="E1308" i="3"/>
  <c r="A1309" i="3"/>
  <c r="D1309" i="3" s="1"/>
  <c r="B1308" i="3"/>
  <c r="H1309" i="3" l="1"/>
  <c r="I1309" i="3"/>
  <c r="F1308" i="3"/>
  <c r="G1308" i="3" s="1"/>
  <c r="L1308" i="3"/>
  <c r="O1307" i="3"/>
  <c r="P1307" i="3" s="1"/>
  <c r="J1308" i="3"/>
  <c r="K1308" i="3" s="1"/>
  <c r="M1308" i="3"/>
  <c r="N1308" i="3" s="1"/>
  <c r="C1309" i="3"/>
  <c r="Q1306" i="3"/>
  <c r="E1309" i="3"/>
  <c r="A1310" i="3"/>
  <c r="D1310" i="3" s="1"/>
  <c r="B1309" i="3"/>
  <c r="H1310" i="3" l="1"/>
  <c r="I1310" i="3"/>
  <c r="F1309" i="3"/>
  <c r="G1309" i="3" s="1"/>
  <c r="O1308" i="3"/>
  <c r="P1308" i="3" s="1"/>
  <c r="J1309" i="3"/>
  <c r="K1309" i="3" s="1"/>
  <c r="M1309" i="3"/>
  <c r="N1309" i="3" s="1"/>
  <c r="C1310" i="3"/>
  <c r="L1309" i="3"/>
  <c r="Q1307" i="3"/>
  <c r="E1310" i="3"/>
  <c r="A1311" i="3"/>
  <c r="D1311" i="3" s="1"/>
  <c r="B1310" i="3"/>
  <c r="H1311" i="3" l="1"/>
  <c r="I1311" i="3"/>
  <c r="F1310" i="3"/>
  <c r="G1310" i="3" s="1"/>
  <c r="O1309" i="3"/>
  <c r="P1309" i="3" s="1"/>
  <c r="L1310" i="3"/>
  <c r="C1311" i="3"/>
  <c r="J1310" i="3"/>
  <c r="K1310" i="3" s="1"/>
  <c r="M1310" i="3"/>
  <c r="N1310" i="3" s="1"/>
  <c r="Q1308" i="3"/>
  <c r="E1311" i="3"/>
  <c r="A1312" i="3"/>
  <c r="D1312" i="3" s="1"/>
  <c r="B1311" i="3"/>
  <c r="H1312" i="3" l="1"/>
  <c r="I1312" i="3"/>
  <c r="F1311" i="3"/>
  <c r="G1311" i="3" s="1"/>
  <c r="O1310" i="3"/>
  <c r="P1310" i="3" s="1"/>
  <c r="L1311" i="3"/>
  <c r="J1311" i="3"/>
  <c r="K1311" i="3" s="1"/>
  <c r="M1311" i="3"/>
  <c r="N1311" i="3" s="1"/>
  <c r="C1312" i="3"/>
  <c r="Q1309" i="3"/>
  <c r="E1312" i="3"/>
  <c r="A1313" i="3"/>
  <c r="D1313" i="3" s="1"/>
  <c r="B1312" i="3"/>
  <c r="I1313" i="3" l="1"/>
  <c r="H1313" i="3"/>
  <c r="F1312" i="3"/>
  <c r="G1312" i="3" s="1"/>
  <c r="L1312" i="3"/>
  <c r="O1311" i="3"/>
  <c r="P1311" i="3" s="1"/>
  <c r="J1312" i="3"/>
  <c r="K1312" i="3" s="1"/>
  <c r="M1312" i="3"/>
  <c r="N1312" i="3" s="1"/>
  <c r="C1313" i="3"/>
  <c r="Q1310" i="3"/>
  <c r="E1313" i="3"/>
  <c r="A1314" i="3"/>
  <c r="D1314" i="3" s="1"/>
  <c r="B1313" i="3"/>
  <c r="H1314" i="3" l="1"/>
  <c r="I1314" i="3"/>
  <c r="F1313" i="3"/>
  <c r="G1313" i="3" s="1"/>
  <c r="L1313" i="3"/>
  <c r="O1312" i="3"/>
  <c r="P1312" i="3" s="1"/>
  <c r="C1314" i="3"/>
  <c r="J1313" i="3"/>
  <c r="K1313" i="3" s="1"/>
  <c r="M1313" i="3"/>
  <c r="N1313" i="3" s="1"/>
  <c r="Q1311" i="3"/>
  <c r="E1314" i="3"/>
  <c r="A1315" i="3"/>
  <c r="D1315" i="3" s="1"/>
  <c r="B1314" i="3"/>
  <c r="I1315" i="3" l="1"/>
  <c r="H1315" i="3"/>
  <c r="L1314" i="3"/>
  <c r="F1314" i="3"/>
  <c r="G1314" i="3" s="1"/>
  <c r="O1313" i="3"/>
  <c r="P1313" i="3" s="1"/>
  <c r="J1314" i="3"/>
  <c r="K1314" i="3" s="1"/>
  <c r="M1314" i="3"/>
  <c r="N1314" i="3" s="1"/>
  <c r="C1315" i="3"/>
  <c r="Q1312" i="3"/>
  <c r="E1315" i="3"/>
  <c r="A1316" i="3"/>
  <c r="D1316" i="3" s="1"/>
  <c r="B1315" i="3"/>
  <c r="H1316" i="3" l="1"/>
  <c r="I1316" i="3"/>
  <c r="F1315" i="3"/>
  <c r="G1315" i="3" s="1"/>
  <c r="O1314" i="3"/>
  <c r="P1314" i="3" s="1"/>
  <c r="J1315" i="3"/>
  <c r="K1315" i="3" s="1"/>
  <c r="M1315" i="3"/>
  <c r="N1315" i="3" s="1"/>
  <c r="C1316" i="3"/>
  <c r="L1315" i="3"/>
  <c r="Q1313" i="3"/>
  <c r="E1316" i="3"/>
  <c r="A1317" i="3"/>
  <c r="D1317" i="3" s="1"/>
  <c r="B1316" i="3"/>
  <c r="H1317" i="3" l="1"/>
  <c r="I1317" i="3"/>
  <c r="F1316" i="3"/>
  <c r="G1316" i="3" s="1"/>
  <c r="L1316" i="3"/>
  <c r="O1315" i="3"/>
  <c r="P1315" i="3" s="1"/>
  <c r="C1317" i="3"/>
  <c r="J1316" i="3"/>
  <c r="K1316" i="3" s="1"/>
  <c r="M1316" i="3"/>
  <c r="N1316" i="3" s="1"/>
  <c r="Q1314" i="3"/>
  <c r="E1317" i="3"/>
  <c r="A1318" i="3"/>
  <c r="D1318" i="3" s="1"/>
  <c r="B1317" i="3"/>
  <c r="H1318" i="3" l="1"/>
  <c r="M1318" i="3" s="1"/>
  <c r="N1318" i="3" s="1"/>
  <c r="I1318" i="3"/>
  <c r="F1317" i="3"/>
  <c r="G1317" i="3" s="1"/>
  <c r="O1316" i="3"/>
  <c r="P1316" i="3" s="1"/>
  <c r="L1317" i="3"/>
  <c r="J1317" i="3"/>
  <c r="K1317" i="3" s="1"/>
  <c r="M1317" i="3"/>
  <c r="N1317" i="3" s="1"/>
  <c r="C1318" i="3"/>
  <c r="Q1315" i="3"/>
  <c r="E1318" i="3"/>
  <c r="A1319" i="3"/>
  <c r="D1319" i="3" s="1"/>
  <c r="B1318" i="3"/>
  <c r="H1319" i="3" l="1"/>
  <c r="I1319" i="3"/>
  <c r="F1318" i="3"/>
  <c r="G1318" i="3" s="1"/>
  <c r="O1317" i="3"/>
  <c r="P1317" i="3" s="1"/>
  <c r="J1318" i="3"/>
  <c r="K1318" i="3" s="1"/>
  <c r="O1318" i="3" s="1"/>
  <c r="L1318" i="3"/>
  <c r="C1319" i="3"/>
  <c r="Q1316" i="3"/>
  <c r="E1319" i="3"/>
  <c r="A1320" i="3"/>
  <c r="D1320" i="3" s="1"/>
  <c r="B1319" i="3"/>
  <c r="H1320" i="3" l="1"/>
  <c r="I1320" i="3"/>
  <c r="L1319" i="3"/>
  <c r="F1319" i="3"/>
  <c r="G1319" i="3" s="1"/>
  <c r="J1319" i="3"/>
  <c r="K1319" i="3" s="1"/>
  <c r="M1319" i="3"/>
  <c r="N1319" i="3" s="1"/>
  <c r="C1320" i="3"/>
  <c r="Q1317" i="3"/>
  <c r="P1318" i="3"/>
  <c r="E1320" i="3"/>
  <c r="A1321" i="3"/>
  <c r="D1321" i="3" s="1"/>
  <c r="B1320" i="3"/>
  <c r="H1321" i="3" l="1"/>
  <c r="M1321" i="3" s="1"/>
  <c r="N1321" i="3" s="1"/>
  <c r="I1321" i="3"/>
  <c r="F1320" i="3"/>
  <c r="G1320" i="3" s="1"/>
  <c r="O1319" i="3"/>
  <c r="P1319" i="3" s="1"/>
  <c r="J1320" i="3"/>
  <c r="K1320" i="3" s="1"/>
  <c r="M1320" i="3"/>
  <c r="N1320" i="3" s="1"/>
  <c r="C1321" i="3"/>
  <c r="L1320" i="3"/>
  <c r="Q1318" i="3"/>
  <c r="E1321" i="3"/>
  <c r="A1322" i="3"/>
  <c r="D1322" i="3" s="1"/>
  <c r="B1321" i="3"/>
  <c r="H1322" i="3" l="1"/>
  <c r="I1322" i="3"/>
  <c r="F1321" i="3"/>
  <c r="G1321" i="3" s="1"/>
  <c r="O1320" i="3"/>
  <c r="P1320" i="3" s="1"/>
  <c r="L1321" i="3"/>
  <c r="J1321" i="3"/>
  <c r="K1321" i="3" s="1"/>
  <c r="O1321" i="3" s="1"/>
  <c r="C1322" i="3"/>
  <c r="Q1319" i="3"/>
  <c r="E1322" i="3"/>
  <c r="A1323" i="3"/>
  <c r="D1323" i="3" s="1"/>
  <c r="B1322" i="3"/>
  <c r="H1323" i="3" l="1"/>
  <c r="I1323" i="3"/>
  <c r="F1322" i="3"/>
  <c r="G1322" i="3" s="1"/>
  <c r="L1322" i="3"/>
  <c r="J1322" i="3"/>
  <c r="K1322" i="3" s="1"/>
  <c r="M1322" i="3"/>
  <c r="N1322" i="3" s="1"/>
  <c r="C1323" i="3"/>
  <c r="Q1320" i="3"/>
  <c r="P1321" i="3"/>
  <c r="E1323" i="3"/>
  <c r="A1324" i="3"/>
  <c r="D1324" i="3" s="1"/>
  <c r="B1323" i="3"/>
  <c r="I1324" i="3" l="1"/>
  <c r="H1324" i="3"/>
  <c r="F1323" i="3"/>
  <c r="G1323" i="3" s="1"/>
  <c r="O1322" i="3"/>
  <c r="P1322" i="3" s="1"/>
  <c r="L1323" i="3"/>
  <c r="C1324" i="3"/>
  <c r="J1323" i="3"/>
  <c r="K1323" i="3" s="1"/>
  <c r="M1323" i="3"/>
  <c r="N1323" i="3" s="1"/>
  <c r="Q1321" i="3"/>
  <c r="E1324" i="3"/>
  <c r="A1325" i="3"/>
  <c r="D1325" i="3" s="1"/>
  <c r="B1324" i="3"/>
  <c r="H1325" i="3" l="1"/>
  <c r="I1325" i="3"/>
  <c r="F1324" i="3"/>
  <c r="G1324" i="3" s="1"/>
  <c r="O1323" i="3"/>
  <c r="P1323" i="3" s="1"/>
  <c r="L1324" i="3"/>
  <c r="J1324" i="3"/>
  <c r="K1324" i="3" s="1"/>
  <c r="M1324" i="3"/>
  <c r="N1324" i="3" s="1"/>
  <c r="C1325" i="3"/>
  <c r="Q1322" i="3"/>
  <c r="E1325" i="3"/>
  <c r="A1326" i="3"/>
  <c r="D1326" i="3" s="1"/>
  <c r="B1325" i="3"/>
  <c r="I1326" i="3" l="1"/>
  <c r="H1326" i="3"/>
  <c r="F1325" i="3"/>
  <c r="G1325" i="3" s="1"/>
  <c r="O1324" i="3"/>
  <c r="P1324" i="3" s="1"/>
  <c r="J1325" i="3"/>
  <c r="K1325" i="3" s="1"/>
  <c r="M1325" i="3"/>
  <c r="N1325" i="3" s="1"/>
  <c r="C1326" i="3"/>
  <c r="L1325" i="3"/>
  <c r="Q1323" i="3"/>
  <c r="E1326" i="3"/>
  <c r="A1327" i="3"/>
  <c r="D1327" i="3" s="1"/>
  <c r="B1326" i="3"/>
  <c r="H1327" i="3" l="1"/>
  <c r="I1327" i="3"/>
  <c r="L1326" i="3"/>
  <c r="F1326" i="3"/>
  <c r="G1326" i="3" s="1"/>
  <c r="O1325" i="3"/>
  <c r="P1325" i="3" s="1"/>
  <c r="C1327" i="3"/>
  <c r="J1326" i="3"/>
  <c r="K1326" i="3" s="1"/>
  <c r="M1326" i="3"/>
  <c r="N1326" i="3" s="1"/>
  <c r="Q1324" i="3"/>
  <c r="E1327" i="3"/>
  <c r="A1328" i="3"/>
  <c r="D1328" i="3" s="1"/>
  <c r="B1327" i="3"/>
  <c r="H1328" i="3" l="1"/>
  <c r="I1328" i="3"/>
  <c r="F1327" i="3"/>
  <c r="G1327" i="3" s="1"/>
  <c r="O1326" i="3"/>
  <c r="P1326" i="3" s="1"/>
  <c r="L1327" i="3"/>
  <c r="J1327" i="3"/>
  <c r="K1327" i="3" s="1"/>
  <c r="M1327" i="3"/>
  <c r="N1327" i="3" s="1"/>
  <c r="C1328" i="3"/>
  <c r="Q1325" i="3"/>
  <c r="E1328" i="3"/>
  <c r="A1329" i="3"/>
  <c r="D1329" i="3" s="1"/>
  <c r="B1328" i="3"/>
  <c r="I1329" i="3" l="1"/>
  <c r="H1329" i="3"/>
  <c r="M1329" i="3" s="1"/>
  <c r="N1329" i="3" s="1"/>
  <c r="F1328" i="3"/>
  <c r="G1328" i="3" s="1"/>
  <c r="O1327" i="3"/>
  <c r="P1327" i="3" s="1"/>
  <c r="J1328" i="3"/>
  <c r="K1328" i="3" s="1"/>
  <c r="M1328" i="3"/>
  <c r="N1328" i="3" s="1"/>
  <c r="C1329" i="3"/>
  <c r="L1328" i="3"/>
  <c r="Q1326" i="3"/>
  <c r="E1329" i="3"/>
  <c r="A1330" i="3"/>
  <c r="D1330" i="3" s="1"/>
  <c r="B1329" i="3"/>
  <c r="H1330" i="3" l="1"/>
  <c r="I1330" i="3"/>
  <c r="O1328" i="3"/>
  <c r="P1328" i="3" s="1"/>
  <c r="F1329" i="3"/>
  <c r="G1329" i="3" s="1"/>
  <c r="J1329" i="3"/>
  <c r="K1329" i="3" s="1"/>
  <c r="O1329" i="3" s="1"/>
  <c r="L1329" i="3"/>
  <c r="C1330" i="3"/>
  <c r="Q1327" i="3"/>
  <c r="E1330" i="3"/>
  <c r="A1331" i="3"/>
  <c r="D1331" i="3" s="1"/>
  <c r="B1330" i="3"/>
  <c r="H1331" i="3" l="1"/>
  <c r="M1331" i="3" s="1"/>
  <c r="N1331" i="3" s="1"/>
  <c r="I1331" i="3"/>
  <c r="F1330" i="3"/>
  <c r="G1330" i="3" s="1"/>
  <c r="L1330" i="3"/>
  <c r="J1330" i="3"/>
  <c r="K1330" i="3" s="1"/>
  <c r="M1330" i="3"/>
  <c r="N1330" i="3" s="1"/>
  <c r="C1331" i="3"/>
  <c r="Q1328" i="3"/>
  <c r="P1329" i="3"/>
  <c r="E1331" i="3"/>
  <c r="A1332" i="3"/>
  <c r="D1332" i="3" s="1"/>
  <c r="B1331" i="3"/>
  <c r="H1332" i="3" l="1"/>
  <c r="I1332" i="3"/>
  <c r="F1331" i="3"/>
  <c r="G1331" i="3" s="1"/>
  <c r="J1331" i="3"/>
  <c r="K1331" i="3" s="1"/>
  <c r="O1331" i="3" s="1"/>
  <c r="L1331" i="3"/>
  <c r="O1330" i="3"/>
  <c r="P1330" i="3" s="1"/>
  <c r="C1332" i="3"/>
  <c r="Q1329" i="3"/>
  <c r="E1332" i="3"/>
  <c r="A1333" i="3"/>
  <c r="D1333" i="3" s="1"/>
  <c r="B1332" i="3"/>
  <c r="H1333" i="3" l="1"/>
  <c r="I1333" i="3"/>
  <c r="F1332" i="3"/>
  <c r="G1332" i="3" s="1"/>
  <c r="L1332" i="3"/>
  <c r="J1332" i="3"/>
  <c r="K1332" i="3" s="1"/>
  <c r="M1332" i="3"/>
  <c r="N1332" i="3" s="1"/>
  <c r="C1333" i="3"/>
  <c r="Q1330" i="3"/>
  <c r="P1331" i="3"/>
  <c r="E1333" i="3"/>
  <c r="A1334" i="3"/>
  <c r="D1334" i="3" s="1"/>
  <c r="B1333" i="3"/>
  <c r="H1334" i="3" l="1"/>
  <c r="I1334" i="3"/>
  <c r="F1333" i="3"/>
  <c r="G1333" i="3" s="1"/>
  <c r="O1332" i="3"/>
  <c r="P1332" i="3" s="1"/>
  <c r="J1333" i="3"/>
  <c r="K1333" i="3" s="1"/>
  <c r="M1333" i="3"/>
  <c r="N1333" i="3" s="1"/>
  <c r="C1334" i="3"/>
  <c r="L1333" i="3"/>
  <c r="Q1331" i="3"/>
  <c r="E1334" i="3"/>
  <c r="A1335" i="3"/>
  <c r="D1335" i="3" s="1"/>
  <c r="B1334" i="3"/>
  <c r="H1335" i="3" l="1"/>
  <c r="I1335" i="3"/>
  <c r="L1334" i="3"/>
  <c r="F1334" i="3"/>
  <c r="G1334" i="3" s="1"/>
  <c r="O1333" i="3"/>
  <c r="P1333" i="3" s="1"/>
  <c r="C1335" i="3"/>
  <c r="J1334" i="3"/>
  <c r="K1334" i="3" s="1"/>
  <c r="M1334" i="3"/>
  <c r="N1334" i="3" s="1"/>
  <c r="Q1332" i="3"/>
  <c r="E1335" i="3"/>
  <c r="A1336" i="3"/>
  <c r="D1336" i="3" s="1"/>
  <c r="B1335" i="3"/>
  <c r="H1336" i="3" l="1"/>
  <c r="I1336" i="3"/>
  <c r="F1335" i="3"/>
  <c r="G1335" i="3" s="1"/>
  <c r="O1334" i="3"/>
  <c r="P1334" i="3" s="1"/>
  <c r="L1335" i="3"/>
  <c r="C1336" i="3"/>
  <c r="J1335" i="3"/>
  <c r="K1335" i="3" s="1"/>
  <c r="M1335" i="3"/>
  <c r="N1335" i="3" s="1"/>
  <c r="Q1333" i="3"/>
  <c r="E1336" i="3"/>
  <c r="A1337" i="3"/>
  <c r="D1337" i="3" s="1"/>
  <c r="B1336" i="3"/>
  <c r="H1337" i="3" l="1"/>
  <c r="I1337" i="3"/>
  <c r="F1336" i="3"/>
  <c r="G1336" i="3" s="1"/>
  <c r="L1336" i="3"/>
  <c r="O1335" i="3"/>
  <c r="P1335" i="3" s="1"/>
  <c r="J1336" i="3"/>
  <c r="K1336" i="3" s="1"/>
  <c r="M1336" i="3"/>
  <c r="N1336" i="3" s="1"/>
  <c r="C1337" i="3"/>
  <c r="Q1334" i="3"/>
  <c r="E1337" i="3"/>
  <c r="A1338" i="3"/>
  <c r="D1338" i="3" s="1"/>
  <c r="B1337" i="3"/>
  <c r="H1338" i="3" l="1"/>
  <c r="I1338" i="3"/>
  <c r="F1337" i="3"/>
  <c r="G1337" i="3" s="1"/>
  <c r="O1336" i="3"/>
  <c r="P1336" i="3" s="1"/>
  <c r="J1337" i="3"/>
  <c r="K1337" i="3" s="1"/>
  <c r="M1337" i="3"/>
  <c r="N1337" i="3" s="1"/>
  <c r="C1338" i="3"/>
  <c r="L1337" i="3"/>
  <c r="Q1335" i="3"/>
  <c r="E1338" i="3"/>
  <c r="A1339" i="3"/>
  <c r="D1339" i="3" s="1"/>
  <c r="B1338" i="3"/>
  <c r="H1339" i="3" l="1"/>
  <c r="I1339" i="3"/>
  <c r="F1338" i="3"/>
  <c r="G1338" i="3" s="1"/>
  <c r="L1338" i="3"/>
  <c r="O1337" i="3"/>
  <c r="P1337" i="3" s="1"/>
  <c r="C1339" i="3"/>
  <c r="J1338" i="3"/>
  <c r="K1338" i="3" s="1"/>
  <c r="M1338" i="3"/>
  <c r="N1338" i="3" s="1"/>
  <c r="Q1336" i="3"/>
  <c r="E1339" i="3"/>
  <c r="A1340" i="3"/>
  <c r="D1340" i="3" s="1"/>
  <c r="B1339" i="3"/>
  <c r="H1340" i="3" l="1"/>
  <c r="I1340" i="3"/>
  <c r="F1339" i="3"/>
  <c r="G1339" i="3" s="1"/>
  <c r="O1338" i="3"/>
  <c r="P1338" i="3" s="1"/>
  <c r="L1339" i="3"/>
  <c r="C1340" i="3"/>
  <c r="J1339" i="3"/>
  <c r="K1339" i="3" s="1"/>
  <c r="M1339" i="3"/>
  <c r="N1339" i="3" s="1"/>
  <c r="Q1337" i="3"/>
  <c r="E1340" i="3"/>
  <c r="A1341" i="3"/>
  <c r="D1341" i="3" s="1"/>
  <c r="B1340" i="3"/>
  <c r="H1341" i="3" l="1"/>
  <c r="I1341" i="3"/>
  <c r="F1340" i="3"/>
  <c r="G1340" i="3" s="1"/>
  <c r="O1339" i="3"/>
  <c r="P1339" i="3" s="1"/>
  <c r="L1340" i="3"/>
  <c r="J1340" i="3"/>
  <c r="K1340" i="3" s="1"/>
  <c r="M1340" i="3"/>
  <c r="N1340" i="3" s="1"/>
  <c r="C1341" i="3"/>
  <c r="Q1338" i="3"/>
  <c r="E1341" i="3"/>
  <c r="A1342" i="3"/>
  <c r="D1342" i="3" s="1"/>
  <c r="B1341" i="3"/>
  <c r="H1342" i="3" l="1"/>
  <c r="I1342" i="3"/>
  <c r="F1341" i="3"/>
  <c r="G1341" i="3" s="1"/>
  <c r="O1340" i="3"/>
  <c r="P1340" i="3" s="1"/>
  <c r="J1341" i="3"/>
  <c r="K1341" i="3" s="1"/>
  <c r="M1341" i="3"/>
  <c r="N1341" i="3" s="1"/>
  <c r="C1342" i="3"/>
  <c r="L1341" i="3"/>
  <c r="Q1339" i="3"/>
  <c r="E1342" i="3"/>
  <c r="A1343" i="3"/>
  <c r="D1343" i="3" s="1"/>
  <c r="B1342" i="3"/>
  <c r="I1343" i="3" l="1"/>
  <c r="H1343" i="3"/>
  <c r="O1341" i="3"/>
  <c r="P1341" i="3" s="1"/>
  <c r="F1342" i="3"/>
  <c r="G1342" i="3" s="1"/>
  <c r="L1342" i="3"/>
  <c r="C1343" i="3"/>
  <c r="J1342" i="3"/>
  <c r="K1342" i="3" s="1"/>
  <c r="M1342" i="3"/>
  <c r="N1342" i="3" s="1"/>
  <c r="Q1340" i="3"/>
  <c r="E1343" i="3"/>
  <c r="A1344" i="3"/>
  <c r="D1344" i="3" s="1"/>
  <c r="B1343" i="3"/>
  <c r="H1344" i="3" l="1"/>
  <c r="I1344" i="3"/>
  <c r="F1343" i="3"/>
  <c r="G1343" i="3" s="1"/>
  <c r="O1342" i="3"/>
  <c r="P1342" i="3" s="1"/>
  <c r="L1343" i="3"/>
  <c r="J1343" i="3"/>
  <c r="K1343" i="3" s="1"/>
  <c r="M1343" i="3"/>
  <c r="N1343" i="3" s="1"/>
  <c r="C1344" i="3"/>
  <c r="Q1341" i="3"/>
  <c r="E1344" i="3"/>
  <c r="A1345" i="3"/>
  <c r="D1345" i="3" s="1"/>
  <c r="B1344" i="3"/>
  <c r="I1345" i="3" l="1"/>
  <c r="H1345" i="3"/>
  <c r="F1344" i="3"/>
  <c r="G1344" i="3" s="1"/>
  <c r="O1343" i="3"/>
  <c r="P1343" i="3" s="1"/>
  <c r="J1344" i="3"/>
  <c r="K1344" i="3" s="1"/>
  <c r="M1344" i="3"/>
  <c r="N1344" i="3" s="1"/>
  <c r="C1345" i="3"/>
  <c r="L1344" i="3"/>
  <c r="Q1342" i="3"/>
  <c r="E1345" i="3"/>
  <c r="A1346" i="3"/>
  <c r="D1346" i="3" s="1"/>
  <c r="B1345" i="3"/>
  <c r="H1346" i="3" l="1"/>
  <c r="I1346" i="3"/>
  <c r="F1345" i="3"/>
  <c r="G1345" i="3" s="1"/>
  <c r="L1345" i="3"/>
  <c r="O1344" i="3"/>
  <c r="P1344" i="3" s="1"/>
  <c r="C1346" i="3"/>
  <c r="J1345" i="3"/>
  <c r="K1345" i="3" s="1"/>
  <c r="M1345" i="3"/>
  <c r="N1345" i="3" s="1"/>
  <c r="Q1343" i="3"/>
  <c r="E1346" i="3"/>
  <c r="A1347" i="3"/>
  <c r="D1347" i="3" s="1"/>
  <c r="B1346" i="3"/>
  <c r="I1347" i="3" l="1"/>
  <c r="H1347" i="3"/>
  <c r="F1346" i="3"/>
  <c r="G1346" i="3" s="1"/>
  <c r="L1346" i="3"/>
  <c r="O1345" i="3"/>
  <c r="P1345" i="3" s="1"/>
  <c r="J1346" i="3"/>
  <c r="K1346" i="3" s="1"/>
  <c r="M1346" i="3"/>
  <c r="N1346" i="3" s="1"/>
  <c r="C1347" i="3"/>
  <c r="Q1344" i="3"/>
  <c r="E1347" i="3"/>
  <c r="A1348" i="3"/>
  <c r="D1348" i="3" s="1"/>
  <c r="B1347" i="3"/>
  <c r="H1348" i="3" l="1"/>
  <c r="I1348" i="3"/>
  <c r="F1347" i="3"/>
  <c r="G1347" i="3" s="1"/>
  <c r="O1346" i="3"/>
  <c r="P1346" i="3" s="1"/>
  <c r="J1347" i="3"/>
  <c r="K1347" i="3" s="1"/>
  <c r="M1347" i="3"/>
  <c r="N1347" i="3" s="1"/>
  <c r="C1348" i="3"/>
  <c r="L1347" i="3"/>
  <c r="Q1345" i="3"/>
  <c r="E1348" i="3"/>
  <c r="A1349" i="3"/>
  <c r="D1349" i="3" s="1"/>
  <c r="B1348" i="3"/>
  <c r="H1349" i="3" l="1"/>
  <c r="I1349" i="3"/>
  <c r="F1348" i="3"/>
  <c r="G1348" i="3" s="1"/>
  <c r="O1347" i="3"/>
  <c r="P1347" i="3" s="1"/>
  <c r="L1348" i="3"/>
  <c r="C1349" i="3"/>
  <c r="J1348" i="3"/>
  <c r="K1348" i="3" s="1"/>
  <c r="M1348" i="3"/>
  <c r="N1348" i="3" s="1"/>
  <c r="Q1346" i="3"/>
  <c r="E1349" i="3"/>
  <c r="A1350" i="3"/>
  <c r="D1350" i="3" s="1"/>
  <c r="B1349" i="3"/>
  <c r="I1350" i="3" l="1"/>
  <c r="H1350" i="3"/>
  <c r="F1349" i="3"/>
  <c r="G1349" i="3" s="1"/>
  <c r="O1348" i="3"/>
  <c r="P1348" i="3" s="1"/>
  <c r="L1349" i="3"/>
  <c r="J1349" i="3"/>
  <c r="K1349" i="3" s="1"/>
  <c r="M1349" i="3"/>
  <c r="N1349" i="3" s="1"/>
  <c r="C1350" i="3"/>
  <c r="Q1347" i="3"/>
  <c r="E1350" i="3"/>
  <c r="A1351" i="3"/>
  <c r="D1351" i="3" s="1"/>
  <c r="B1350" i="3"/>
  <c r="H1351" i="3" l="1"/>
  <c r="I1351" i="3"/>
  <c r="F1350" i="3"/>
  <c r="G1350" i="3" s="1"/>
  <c r="O1349" i="3"/>
  <c r="P1349" i="3" s="1"/>
  <c r="L1350" i="3"/>
  <c r="C1351" i="3"/>
  <c r="J1350" i="3"/>
  <c r="K1350" i="3" s="1"/>
  <c r="M1350" i="3"/>
  <c r="N1350" i="3" s="1"/>
  <c r="Q1348" i="3"/>
  <c r="E1351" i="3"/>
  <c r="A1352" i="3"/>
  <c r="D1352" i="3" s="1"/>
  <c r="B1351" i="3"/>
  <c r="H1352" i="3" l="1"/>
  <c r="I1352" i="3"/>
  <c r="F1351" i="3"/>
  <c r="G1351" i="3" s="1"/>
  <c r="O1350" i="3"/>
  <c r="P1350" i="3" s="1"/>
  <c r="L1351" i="3"/>
  <c r="J1351" i="3"/>
  <c r="K1351" i="3" s="1"/>
  <c r="M1351" i="3"/>
  <c r="N1351" i="3" s="1"/>
  <c r="C1352" i="3"/>
  <c r="Q1349" i="3"/>
  <c r="E1352" i="3"/>
  <c r="A1353" i="3"/>
  <c r="D1353" i="3" s="1"/>
  <c r="B1352" i="3"/>
  <c r="H1353" i="3" l="1"/>
  <c r="I1353" i="3"/>
  <c r="F1352" i="3"/>
  <c r="G1352" i="3" s="1"/>
  <c r="O1351" i="3"/>
  <c r="P1351" i="3" s="1"/>
  <c r="J1352" i="3"/>
  <c r="K1352" i="3" s="1"/>
  <c r="M1352" i="3"/>
  <c r="N1352" i="3" s="1"/>
  <c r="C1353" i="3"/>
  <c r="L1352" i="3"/>
  <c r="Q1350" i="3"/>
  <c r="E1353" i="3"/>
  <c r="A1354" i="3"/>
  <c r="D1354" i="3" s="1"/>
  <c r="B1353" i="3"/>
  <c r="H1354" i="3" l="1"/>
  <c r="I1354" i="3"/>
  <c r="O1352" i="3"/>
  <c r="P1352" i="3" s="1"/>
  <c r="F1353" i="3"/>
  <c r="G1353" i="3" s="1"/>
  <c r="L1353" i="3"/>
  <c r="C1354" i="3"/>
  <c r="J1353" i="3"/>
  <c r="K1353" i="3" s="1"/>
  <c r="M1353" i="3"/>
  <c r="N1353" i="3" s="1"/>
  <c r="Q1351" i="3"/>
  <c r="E1354" i="3"/>
  <c r="A1355" i="3"/>
  <c r="D1355" i="3" s="1"/>
  <c r="B1354" i="3"/>
  <c r="H1355" i="3" l="1"/>
  <c r="M1355" i="3" s="1"/>
  <c r="N1355" i="3" s="1"/>
  <c r="I1355" i="3"/>
  <c r="F1354" i="3"/>
  <c r="G1354" i="3" s="1"/>
  <c r="L1354" i="3"/>
  <c r="O1353" i="3"/>
  <c r="P1353" i="3" s="1"/>
  <c r="J1354" i="3"/>
  <c r="K1354" i="3" s="1"/>
  <c r="M1354" i="3"/>
  <c r="N1354" i="3" s="1"/>
  <c r="C1355" i="3"/>
  <c r="Q1352" i="3"/>
  <c r="E1355" i="3"/>
  <c r="A1356" i="3"/>
  <c r="D1356" i="3" s="1"/>
  <c r="B1355" i="3"/>
  <c r="H1356" i="3" l="1"/>
  <c r="I1356" i="3"/>
  <c r="F1355" i="3"/>
  <c r="G1355" i="3" s="1"/>
  <c r="J1355" i="3"/>
  <c r="K1355" i="3" s="1"/>
  <c r="O1355" i="3" s="1"/>
  <c r="L1355" i="3"/>
  <c r="O1354" i="3"/>
  <c r="P1354" i="3" s="1"/>
  <c r="C1356" i="3"/>
  <c r="Q1353" i="3"/>
  <c r="E1356" i="3"/>
  <c r="A1357" i="3"/>
  <c r="D1357" i="3" s="1"/>
  <c r="B1356" i="3"/>
  <c r="H1357" i="3" l="1"/>
  <c r="I1357" i="3"/>
  <c r="F1356" i="3"/>
  <c r="G1356" i="3" s="1"/>
  <c r="L1356" i="3"/>
  <c r="J1356" i="3"/>
  <c r="K1356" i="3" s="1"/>
  <c r="M1356" i="3"/>
  <c r="N1356" i="3" s="1"/>
  <c r="C1357" i="3"/>
  <c r="Q1354" i="3"/>
  <c r="P1355" i="3"/>
  <c r="E1357" i="3"/>
  <c r="A1358" i="3"/>
  <c r="D1358" i="3" s="1"/>
  <c r="B1357" i="3"/>
  <c r="H1358" i="3" l="1"/>
  <c r="I1358" i="3"/>
  <c r="F1357" i="3"/>
  <c r="G1357" i="3" s="1"/>
  <c r="O1356" i="3"/>
  <c r="P1356" i="3" s="1"/>
  <c r="J1357" i="3"/>
  <c r="K1357" i="3" s="1"/>
  <c r="M1357" i="3"/>
  <c r="N1357" i="3" s="1"/>
  <c r="C1358" i="3"/>
  <c r="L1357" i="3"/>
  <c r="Q1355" i="3"/>
  <c r="E1358" i="3"/>
  <c r="A1359" i="3"/>
  <c r="D1359" i="3" s="1"/>
  <c r="B1358" i="3"/>
  <c r="H1359" i="3" l="1"/>
  <c r="I1359" i="3"/>
  <c r="F1358" i="3"/>
  <c r="G1358" i="3" s="1"/>
  <c r="L1358" i="3"/>
  <c r="O1357" i="3"/>
  <c r="P1357" i="3" s="1"/>
  <c r="C1359" i="3"/>
  <c r="J1358" i="3"/>
  <c r="K1358" i="3" s="1"/>
  <c r="M1358" i="3"/>
  <c r="N1358" i="3" s="1"/>
  <c r="Q1356" i="3"/>
  <c r="E1359" i="3"/>
  <c r="A1360" i="3"/>
  <c r="D1360" i="3" s="1"/>
  <c r="B1359" i="3"/>
  <c r="H1360" i="3" l="1"/>
  <c r="I1360" i="3"/>
  <c r="F1359" i="3"/>
  <c r="G1359" i="3" s="1"/>
  <c r="O1358" i="3"/>
  <c r="P1358" i="3" s="1"/>
  <c r="L1359" i="3"/>
  <c r="C1360" i="3"/>
  <c r="J1359" i="3"/>
  <c r="K1359" i="3" s="1"/>
  <c r="M1359" i="3"/>
  <c r="N1359" i="3" s="1"/>
  <c r="Q1357" i="3"/>
  <c r="E1360" i="3"/>
  <c r="A1361" i="3"/>
  <c r="D1361" i="3" s="1"/>
  <c r="B1360" i="3"/>
  <c r="I1361" i="3" l="1"/>
  <c r="H1361" i="3"/>
  <c r="F1360" i="3"/>
  <c r="G1360" i="3" s="1"/>
  <c r="O1359" i="3"/>
  <c r="P1359" i="3" s="1"/>
  <c r="L1360" i="3"/>
  <c r="J1360" i="3"/>
  <c r="K1360" i="3" s="1"/>
  <c r="M1360" i="3"/>
  <c r="N1360" i="3" s="1"/>
  <c r="C1361" i="3"/>
  <c r="Q1358" i="3"/>
  <c r="E1361" i="3"/>
  <c r="A1362" i="3"/>
  <c r="D1362" i="3" s="1"/>
  <c r="B1361" i="3"/>
  <c r="I1362" i="3" l="1"/>
  <c r="H1362" i="3"/>
  <c r="F1361" i="3"/>
  <c r="G1361" i="3" s="1"/>
  <c r="L1361" i="3"/>
  <c r="O1360" i="3"/>
  <c r="P1360" i="3" s="1"/>
  <c r="C1362" i="3"/>
  <c r="J1361" i="3"/>
  <c r="K1361" i="3" s="1"/>
  <c r="M1361" i="3"/>
  <c r="N1361" i="3" s="1"/>
  <c r="Q1359" i="3"/>
  <c r="E1362" i="3"/>
  <c r="A1363" i="3"/>
  <c r="D1363" i="3" s="1"/>
  <c r="B1362" i="3"/>
  <c r="H1363" i="3" l="1"/>
  <c r="I1363" i="3"/>
  <c r="F1362" i="3"/>
  <c r="G1362" i="3" s="1"/>
  <c r="L1362" i="3"/>
  <c r="O1361" i="3"/>
  <c r="P1361" i="3" s="1"/>
  <c r="J1362" i="3"/>
  <c r="K1362" i="3" s="1"/>
  <c r="M1362" i="3"/>
  <c r="N1362" i="3" s="1"/>
  <c r="C1363" i="3"/>
  <c r="Q1360" i="3"/>
  <c r="E1363" i="3"/>
  <c r="A1364" i="3"/>
  <c r="D1364" i="3" s="1"/>
  <c r="B1363" i="3"/>
  <c r="H1364" i="3" l="1"/>
  <c r="I1364" i="3"/>
  <c r="F1363" i="3"/>
  <c r="G1363" i="3" s="1"/>
  <c r="O1362" i="3"/>
  <c r="P1362" i="3" s="1"/>
  <c r="L1363" i="3"/>
  <c r="C1364" i="3"/>
  <c r="J1363" i="3"/>
  <c r="K1363" i="3" s="1"/>
  <c r="M1363" i="3"/>
  <c r="N1363" i="3" s="1"/>
  <c r="Q1361" i="3"/>
  <c r="E1364" i="3"/>
  <c r="A1365" i="3"/>
  <c r="D1365" i="3" s="1"/>
  <c r="B1364" i="3"/>
  <c r="H1365" i="3" l="1"/>
  <c r="I1365" i="3"/>
  <c r="F1364" i="3"/>
  <c r="G1364" i="3" s="1"/>
  <c r="L1364" i="3"/>
  <c r="O1363" i="3"/>
  <c r="P1363" i="3" s="1"/>
  <c r="J1364" i="3"/>
  <c r="K1364" i="3" s="1"/>
  <c r="M1364" i="3"/>
  <c r="N1364" i="3" s="1"/>
  <c r="C1365" i="3"/>
  <c r="Q1362" i="3"/>
  <c r="E1365" i="3"/>
  <c r="A1366" i="3"/>
  <c r="D1366" i="3" s="1"/>
  <c r="B1365" i="3"/>
  <c r="I1366" i="3" l="1"/>
  <c r="H1366" i="3"/>
  <c r="F1365" i="3"/>
  <c r="G1365" i="3" s="1"/>
  <c r="O1364" i="3"/>
  <c r="P1364" i="3" s="1"/>
  <c r="J1365" i="3"/>
  <c r="K1365" i="3" s="1"/>
  <c r="M1365" i="3"/>
  <c r="N1365" i="3" s="1"/>
  <c r="C1366" i="3"/>
  <c r="L1365" i="3"/>
  <c r="Q1363" i="3"/>
  <c r="E1366" i="3"/>
  <c r="A1367" i="3"/>
  <c r="D1367" i="3" s="1"/>
  <c r="B1366" i="3"/>
  <c r="I1367" i="3" l="1"/>
  <c r="H1367" i="3"/>
  <c r="F1366" i="3"/>
  <c r="G1366" i="3" s="1"/>
  <c r="O1365" i="3"/>
  <c r="P1365" i="3" s="1"/>
  <c r="L1366" i="3"/>
  <c r="C1367" i="3"/>
  <c r="J1366" i="3"/>
  <c r="K1366" i="3" s="1"/>
  <c r="M1366" i="3"/>
  <c r="N1366" i="3" s="1"/>
  <c r="Q1364" i="3"/>
  <c r="E1367" i="3"/>
  <c r="A1368" i="3"/>
  <c r="D1368" i="3" s="1"/>
  <c r="B1367" i="3"/>
  <c r="H1368" i="3" l="1"/>
  <c r="I1368" i="3"/>
  <c r="F1367" i="3"/>
  <c r="G1367" i="3" s="1"/>
  <c r="O1366" i="3"/>
  <c r="P1366" i="3" s="1"/>
  <c r="L1367" i="3"/>
  <c r="J1367" i="3"/>
  <c r="K1367" i="3" s="1"/>
  <c r="M1367" i="3"/>
  <c r="N1367" i="3" s="1"/>
  <c r="C1368" i="3"/>
  <c r="Q1365" i="3"/>
  <c r="E1368" i="3"/>
  <c r="A1369" i="3"/>
  <c r="D1369" i="3" s="1"/>
  <c r="B1368" i="3"/>
  <c r="H1369" i="3" l="1"/>
  <c r="I1369" i="3"/>
  <c r="F1368" i="3"/>
  <c r="G1368" i="3" s="1"/>
  <c r="O1367" i="3"/>
  <c r="P1367" i="3" s="1"/>
  <c r="J1368" i="3"/>
  <c r="K1368" i="3" s="1"/>
  <c r="M1368" i="3"/>
  <c r="N1368" i="3" s="1"/>
  <c r="C1369" i="3"/>
  <c r="L1368" i="3"/>
  <c r="Q1366" i="3"/>
  <c r="E1369" i="3"/>
  <c r="A1370" i="3"/>
  <c r="D1370" i="3" s="1"/>
  <c r="B1369" i="3"/>
  <c r="H1370" i="3" l="1"/>
  <c r="I1370" i="3"/>
  <c r="F1369" i="3"/>
  <c r="G1369" i="3" s="1"/>
  <c r="O1368" i="3"/>
  <c r="P1368" i="3" s="1"/>
  <c r="L1369" i="3"/>
  <c r="C1370" i="3"/>
  <c r="J1369" i="3"/>
  <c r="K1369" i="3" s="1"/>
  <c r="M1369" i="3"/>
  <c r="N1369" i="3" s="1"/>
  <c r="Q1367" i="3"/>
  <c r="E1370" i="3"/>
  <c r="A1371" i="3"/>
  <c r="D1371" i="3" s="1"/>
  <c r="B1370" i="3"/>
  <c r="H1371" i="3" l="1"/>
  <c r="I1371" i="3"/>
  <c r="F1370" i="3"/>
  <c r="G1370" i="3" s="1"/>
  <c r="O1369" i="3"/>
  <c r="P1369" i="3" s="1"/>
  <c r="L1370" i="3"/>
  <c r="J1370" i="3"/>
  <c r="K1370" i="3" s="1"/>
  <c r="M1370" i="3"/>
  <c r="N1370" i="3" s="1"/>
  <c r="C1371" i="3"/>
  <c r="Q1368" i="3"/>
  <c r="E1371" i="3"/>
  <c r="A1372" i="3"/>
  <c r="D1372" i="3" s="1"/>
  <c r="B1371" i="3"/>
  <c r="H1372" i="3" l="1"/>
  <c r="I1372" i="3"/>
  <c r="F1371" i="3"/>
  <c r="G1371" i="3" s="1"/>
  <c r="O1370" i="3"/>
  <c r="P1370" i="3" s="1"/>
  <c r="L1371" i="3"/>
  <c r="C1372" i="3"/>
  <c r="J1371" i="3"/>
  <c r="K1371" i="3" s="1"/>
  <c r="M1371" i="3"/>
  <c r="N1371" i="3" s="1"/>
  <c r="Q1369" i="3"/>
  <c r="E1372" i="3"/>
  <c r="A1373" i="3"/>
  <c r="D1373" i="3" s="1"/>
  <c r="B1372" i="3"/>
  <c r="H1373" i="3" l="1"/>
  <c r="I1373" i="3"/>
  <c r="F1372" i="3"/>
  <c r="G1372" i="3" s="1"/>
  <c r="O1371" i="3"/>
  <c r="P1371" i="3" s="1"/>
  <c r="L1372" i="3"/>
  <c r="C1373" i="3"/>
  <c r="J1372" i="3"/>
  <c r="K1372" i="3" s="1"/>
  <c r="M1372" i="3"/>
  <c r="N1372" i="3" s="1"/>
  <c r="Q1370" i="3"/>
  <c r="E1373" i="3"/>
  <c r="A1374" i="3"/>
  <c r="D1374" i="3" s="1"/>
  <c r="B1373" i="3"/>
  <c r="H1374" i="3" l="1"/>
  <c r="I1374" i="3"/>
  <c r="L1373" i="3"/>
  <c r="F1373" i="3"/>
  <c r="G1373" i="3" s="1"/>
  <c r="O1372" i="3"/>
  <c r="P1372" i="3" s="1"/>
  <c r="J1373" i="3"/>
  <c r="K1373" i="3" s="1"/>
  <c r="M1373" i="3"/>
  <c r="N1373" i="3" s="1"/>
  <c r="C1374" i="3"/>
  <c r="Q1371" i="3"/>
  <c r="E1374" i="3"/>
  <c r="A1375" i="3"/>
  <c r="D1375" i="3" s="1"/>
  <c r="B1374" i="3"/>
  <c r="H1375" i="3" l="1"/>
  <c r="I1375" i="3"/>
  <c r="F1374" i="3"/>
  <c r="G1374" i="3" s="1"/>
  <c r="L1374" i="3"/>
  <c r="O1373" i="3"/>
  <c r="P1373" i="3" s="1"/>
  <c r="C1375" i="3"/>
  <c r="J1374" i="3"/>
  <c r="K1374" i="3" s="1"/>
  <c r="M1374" i="3"/>
  <c r="N1374" i="3" s="1"/>
  <c r="Q1372" i="3"/>
  <c r="E1375" i="3"/>
  <c r="A1376" i="3"/>
  <c r="D1376" i="3" s="1"/>
  <c r="B1375" i="3"/>
  <c r="H1376" i="3" l="1"/>
  <c r="I1376" i="3"/>
  <c r="F1375" i="3"/>
  <c r="G1375" i="3" s="1"/>
  <c r="O1374" i="3"/>
  <c r="P1374" i="3" s="1"/>
  <c r="L1375" i="3"/>
  <c r="J1375" i="3"/>
  <c r="K1375" i="3" s="1"/>
  <c r="M1375" i="3"/>
  <c r="N1375" i="3" s="1"/>
  <c r="C1376" i="3"/>
  <c r="Q1373" i="3"/>
  <c r="E1376" i="3"/>
  <c r="A1377" i="3"/>
  <c r="D1377" i="3" s="1"/>
  <c r="B1376" i="3"/>
  <c r="I1377" i="3" l="1"/>
  <c r="H1377" i="3"/>
  <c r="F1376" i="3"/>
  <c r="G1376" i="3" s="1"/>
  <c r="O1375" i="3"/>
  <c r="P1375" i="3" s="1"/>
  <c r="J1376" i="3"/>
  <c r="K1376" i="3" s="1"/>
  <c r="M1376" i="3"/>
  <c r="N1376" i="3" s="1"/>
  <c r="C1377" i="3"/>
  <c r="L1376" i="3"/>
  <c r="Q1374" i="3"/>
  <c r="E1377" i="3"/>
  <c r="A1378" i="3"/>
  <c r="D1378" i="3" s="1"/>
  <c r="B1377" i="3"/>
  <c r="H1378" i="3" l="1"/>
  <c r="I1378" i="3"/>
  <c r="F1377" i="3"/>
  <c r="G1377" i="3" s="1"/>
  <c r="L1377" i="3"/>
  <c r="O1376" i="3"/>
  <c r="P1376" i="3" s="1"/>
  <c r="C1378" i="3"/>
  <c r="J1377" i="3"/>
  <c r="K1377" i="3" s="1"/>
  <c r="M1377" i="3"/>
  <c r="N1377" i="3" s="1"/>
  <c r="Q1375" i="3"/>
  <c r="E1378" i="3"/>
  <c r="A1379" i="3"/>
  <c r="D1379" i="3" s="1"/>
  <c r="B1378" i="3"/>
  <c r="H1379" i="3" l="1"/>
  <c r="I1379" i="3"/>
  <c r="F1378" i="3"/>
  <c r="G1378" i="3" s="1"/>
  <c r="O1377" i="3"/>
  <c r="P1377" i="3" s="1"/>
  <c r="L1378" i="3"/>
  <c r="J1378" i="3"/>
  <c r="K1378" i="3" s="1"/>
  <c r="M1378" i="3"/>
  <c r="N1378" i="3" s="1"/>
  <c r="C1379" i="3"/>
  <c r="Q1376" i="3"/>
  <c r="E1379" i="3"/>
  <c r="A1380" i="3"/>
  <c r="D1380" i="3" s="1"/>
  <c r="B1379" i="3"/>
  <c r="H1380" i="3" l="1"/>
  <c r="I1380" i="3"/>
  <c r="F1379" i="3"/>
  <c r="G1379" i="3" s="1"/>
  <c r="O1378" i="3"/>
  <c r="P1378" i="3" s="1"/>
  <c r="J1379" i="3"/>
  <c r="K1379" i="3" s="1"/>
  <c r="M1379" i="3"/>
  <c r="N1379" i="3" s="1"/>
  <c r="C1380" i="3"/>
  <c r="L1379" i="3"/>
  <c r="Q1377" i="3"/>
  <c r="E1380" i="3"/>
  <c r="A1381" i="3"/>
  <c r="D1381" i="3" s="1"/>
  <c r="B1380" i="3"/>
  <c r="H1381" i="3" l="1"/>
  <c r="I1381" i="3"/>
  <c r="F1380" i="3"/>
  <c r="G1380" i="3" s="1"/>
  <c r="L1380" i="3"/>
  <c r="O1379" i="3"/>
  <c r="P1379" i="3" s="1"/>
  <c r="C1381" i="3"/>
  <c r="J1380" i="3"/>
  <c r="K1380" i="3" s="1"/>
  <c r="M1380" i="3"/>
  <c r="N1380" i="3" s="1"/>
  <c r="Q1378" i="3"/>
  <c r="E1381" i="3"/>
  <c r="A1382" i="3"/>
  <c r="D1382" i="3" s="1"/>
  <c r="B1381" i="3"/>
  <c r="H1382" i="3" l="1"/>
  <c r="I1382" i="3"/>
  <c r="F1381" i="3"/>
  <c r="G1381" i="3" s="1"/>
  <c r="O1380" i="3"/>
  <c r="P1380" i="3" s="1"/>
  <c r="L1381" i="3"/>
  <c r="J1381" i="3"/>
  <c r="K1381" i="3" s="1"/>
  <c r="M1381" i="3"/>
  <c r="N1381" i="3" s="1"/>
  <c r="C1382" i="3"/>
  <c r="Q1379" i="3"/>
  <c r="E1382" i="3"/>
  <c r="A1383" i="3"/>
  <c r="D1383" i="3" s="1"/>
  <c r="B1382" i="3"/>
  <c r="H1383" i="3" l="1"/>
  <c r="I1383" i="3"/>
  <c r="F1382" i="3"/>
  <c r="G1382" i="3" s="1"/>
  <c r="L1382" i="3"/>
  <c r="O1381" i="3"/>
  <c r="P1381" i="3" s="1"/>
  <c r="C1383" i="3"/>
  <c r="J1382" i="3"/>
  <c r="K1382" i="3" s="1"/>
  <c r="M1382" i="3"/>
  <c r="N1382" i="3" s="1"/>
  <c r="Q1380" i="3"/>
  <c r="E1383" i="3"/>
  <c r="A1384" i="3"/>
  <c r="D1384" i="3" s="1"/>
  <c r="B1383" i="3"/>
  <c r="H1384" i="3" l="1"/>
  <c r="I1384" i="3"/>
  <c r="F1383" i="3"/>
  <c r="G1383" i="3" s="1"/>
  <c r="O1382" i="3"/>
  <c r="P1382" i="3" s="1"/>
  <c r="L1383" i="3"/>
  <c r="C1384" i="3"/>
  <c r="J1383" i="3"/>
  <c r="K1383" i="3" s="1"/>
  <c r="M1383" i="3"/>
  <c r="N1383" i="3" s="1"/>
  <c r="Q1381" i="3"/>
  <c r="E1384" i="3"/>
  <c r="A1385" i="3"/>
  <c r="D1385" i="3" s="1"/>
  <c r="B1384" i="3"/>
  <c r="H1385" i="3" l="1"/>
  <c r="I1385" i="3"/>
  <c r="F1384" i="3"/>
  <c r="G1384" i="3" s="1"/>
  <c r="L1384" i="3"/>
  <c r="O1383" i="3"/>
  <c r="P1383" i="3" s="1"/>
  <c r="J1384" i="3"/>
  <c r="K1384" i="3" s="1"/>
  <c r="M1384" i="3"/>
  <c r="N1384" i="3" s="1"/>
  <c r="C1385" i="3"/>
  <c r="Q1382" i="3"/>
  <c r="E1385" i="3"/>
  <c r="A1386" i="3"/>
  <c r="D1386" i="3" s="1"/>
  <c r="B1385" i="3"/>
  <c r="H1386" i="3" l="1"/>
  <c r="I1386" i="3"/>
  <c r="F1385" i="3"/>
  <c r="G1385" i="3" s="1"/>
  <c r="O1384" i="3"/>
  <c r="P1384" i="3" s="1"/>
  <c r="L1385" i="3"/>
  <c r="C1386" i="3"/>
  <c r="J1385" i="3"/>
  <c r="K1385" i="3" s="1"/>
  <c r="M1385" i="3"/>
  <c r="N1385" i="3" s="1"/>
  <c r="Q1383" i="3"/>
  <c r="E1386" i="3"/>
  <c r="A1387" i="3"/>
  <c r="D1387" i="3" s="1"/>
  <c r="B1386" i="3"/>
  <c r="H1387" i="3" l="1"/>
  <c r="M1387" i="3" s="1"/>
  <c r="N1387" i="3" s="1"/>
  <c r="I1387" i="3"/>
  <c r="F1386" i="3"/>
  <c r="G1386" i="3" s="1"/>
  <c r="O1385" i="3"/>
  <c r="P1385" i="3" s="1"/>
  <c r="L1386" i="3"/>
  <c r="J1386" i="3"/>
  <c r="K1386" i="3" s="1"/>
  <c r="M1386" i="3"/>
  <c r="N1386" i="3" s="1"/>
  <c r="C1387" i="3"/>
  <c r="Q1384" i="3"/>
  <c r="E1387" i="3"/>
  <c r="A1388" i="3"/>
  <c r="D1388" i="3" s="1"/>
  <c r="B1387" i="3"/>
  <c r="I1388" i="3" l="1"/>
  <c r="H1388" i="3"/>
  <c r="O1386" i="3"/>
  <c r="P1386" i="3" s="1"/>
  <c r="F1387" i="3"/>
  <c r="G1387" i="3" s="1"/>
  <c r="J1387" i="3"/>
  <c r="K1387" i="3" s="1"/>
  <c r="O1387" i="3" s="1"/>
  <c r="L1387" i="3"/>
  <c r="C1388" i="3"/>
  <c r="Q1385" i="3"/>
  <c r="E1388" i="3"/>
  <c r="A1389" i="3"/>
  <c r="D1389" i="3" s="1"/>
  <c r="B1388" i="3"/>
  <c r="H1389" i="3" l="1"/>
  <c r="I1389" i="3"/>
  <c r="L1388" i="3"/>
  <c r="F1388" i="3"/>
  <c r="G1388" i="3" s="1"/>
  <c r="J1388" i="3"/>
  <c r="K1388" i="3" s="1"/>
  <c r="M1388" i="3"/>
  <c r="N1388" i="3" s="1"/>
  <c r="C1389" i="3"/>
  <c r="Q1386" i="3"/>
  <c r="P1387" i="3"/>
  <c r="E1389" i="3"/>
  <c r="A1390" i="3"/>
  <c r="D1390" i="3" s="1"/>
  <c r="B1389" i="3"/>
  <c r="H1390" i="3" l="1"/>
  <c r="I1390" i="3"/>
  <c r="F1389" i="3"/>
  <c r="G1389" i="3" s="1"/>
  <c r="O1388" i="3"/>
  <c r="P1388" i="3" s="1"/>
  <c r="J1389" i="3"/>
  <c r="K1389" i="3" s="1"/>
  <c r="M1389" i="3"/>
  <c r="N1389" i="3" s="1"/>
  <c r="C1390" i="3"/>
  <c r="L1389" i="3"/>
  <c r="Q1387" i="3"/>
  <c r="E1390" i="3"/>
  <c r="A1391" i="3"/>
  <c r="D1391" i="3" s="1"/>
  <c r="B1390" i="3"/>
  <c r="H1391" i="3" l="1"/>
  <c r="I1391" i="3"/>
  <c r="O1389" i="3"/>
  <c r="P1389" i="3" s="1"/>
  <c r="F1390" i="3"/>
  <c r="G1390" i="3" s="1"/>
  <c r="L1390" i="3"/>
  <c r="C1391" i="3"/>
  <c r="J1390" i="3"/>
  <c r="K1390" i="3" s="1"/>
  <c r="M1390" i="3"/>
  <c r="N1390" i="3" s="1"/>
  <c r="Q1388" i="3"/>
  <c r="E1391" i="3"/>
  <c r="A1392" i="3"/>
  <c r="D1392" i="3" s="1"/>
  <c r="B1391" i="3"/>
  <c r="H1392" i="3" l="1"/>
  <c r="I1392" i="3"/>
  <c r="O1390" i="3"/>
  <c r="P1390" i="3" s="1"/>
  <c r="F1391" i="3"/>
  <c r="G1391" i="3" s="1"/>
  <c r="L1391" i="3"/>
  <c r="J1391" i="3"/>
  <c r="K1391" i="3" s="1"/>
  <c r="M1391" i="3"/>
  <c r="N1391" i="3" s="1"/>
  <c r="C1392" i="3"/>
  <c r="Q1389" i="3"/>
  <c r="E1392" i="3"/>
  <c r="A1393" i="3"/>
  <c r="D1393" i="3" s="1"/>
  <c r="B1392" i="3"/>
  <c r="I1393" i="3" l="1"/>
  <c r="H1393" i="3"/>
  <c r="F1392" i="3"/>
  <c r="G1392" i="3" s="1"/>
  <c r="O1391" i="3"/>
  <c r="P1391" i="3" s="1"/>
  <c r="J1392" i="3"/>
  <c r="K1392" i="3" s="1"/>
  <c r="M1392" i="3"/>
  <c r="N1392" i="3" s="1"/>
  <c r="C1393" i="3"/>
  <c r="L1392" i="3"/>
  <c r="Q1390" i="3"/>
  <c r="E1393" i="3"/>
  <c r="A1394" i="3"/>
  <c r="D1394" i="3" s="1"/>
  <c r="B1393" i="3"/>
  <c r="H1394" i="3" l="1"/>
  <c r="I1394" i="3"/>
  <c r="F1393" i="3"/>
  <c r="G1393" i="3" s="1"/>
  <c r="L1393" i="3"/>
  <c r="O1392" i="3"/>
  <c r="P1392" i="3" s="1"/>
  <c r="C1394" i="3"/>
  <c r="J1393" i="3"/>
  <c r="K1393" i="3" s="1"/>
  <c r="M1393" i="3"/>
  <c r="N1393" i="3" s="1"/>
  <c r="Q1391" i="3"/>
  <c r="E1394" i="3"/>
  <c r="A1395" i="3"/>
  <c r="D1395" i="3" s="1"/>
  <c r="B1394" i="3"/>
  <c r="H1395" i="3" l="1"/>
  <c r="I1395" i="3"/>
  <c r="O1393" i="3"/>
  <c r="P1393" i="3" s="1"/>
  <c r="F1394" i="3"/>
  <c r="G1394" i="3" s="1"/>
  <c r="L1394" i="3"/>
  <c r="J1394" i="3"/>
  <c r="K1394" i="3" s="1"/>
  <c r="M1394" i="3"/>
  <c r="N1394" i="3" s="1"/>
  <c r="C1395" i="3"/>
  <c r="Q1392" i="3"/>
  <c r="E1395" i="3"/>
  <c r="A1396" i="3"/>
  <c r="D1396" i="3" s="1"/>
  <c r="B1395" i="3"/>
  <c r="H1396" i="3" l="1"/>
  <c r="I1396" i="3"/>
  <c r="F1395" i="3"/>
  <c r="G1395" i="3" s="1"/>
  <c r="L1395" i="3"/>
  <c r="O1394" i="3"/>
  <c r="P1394" i="3" s="1"/>
  <c r="C1396" i="3"/>
  <c r="J1395" i="3"/>
  <c r="K1395" i="3" s="1"/>
  <c r="M1395" i="3"/>
  <c r="N1395" i="3" s="1"/>
  <c r="Q1393" i="3"/>
  <c r="E1396" i="3"/>
  <c r="A1397" i="3"/>
  <c r="D1397" i="3" s="1"/>
  <c r="B1396" i="3"/>
  <c r="H1397" i="3" l="1"/>
  <c r="I1397" i="3"/>
  <c r="F1396" i="3"/>
  <c r="G1396" i="3" s="1"/>
  <c r="O1395" i="3"/>
  <c r="P1395" i="3" s="1"/>
  <c r="L1396" i="3"/>
  <c r="J1396" i="3"/>
  <c r="K1396" i="3" s="1"/>
  <c r="M1396" i="3"/>
  <c r="N1396" i="3" s="1"/>
  <c r="C1397" i="3"/>
  <c r="Q1394" i="3"/>
  <c r="E1397" i="3"/>
  <c r="A1398" i="3"/>
  <c r="D1398" i="3" s="1"/>
  <c r="B1397" i="3"/>
  <c r="I1398" i="3" l="1"/>
  <c r="H1398" i="3"/>
  <c r="F1397" i="3"/>
  <c r="G1397" i="3" s="1"/>
  <c r="O1396" i="3"/>
  <c r="P1396" i="3" s="1"/>
  <c r="J1397" i="3"/>
  <c r="K1397" i="3" s="1"/>
  <c r="M1397" i="3"/>
  <c r="N1397" i="3" s="1"/>
  <c r="C1398" i="3"/>
  <c r="L1397" i="3"/>
  <c r="Q1395" i="3"/>
  <c r="E1398" i="3"/>
  <c r="A1399" i="3"/>
  <c r="D1399" i="3" s="1"/>
  <c r="B1398" i="3"/>
  <c r="H1399" i="3" l="1"/>
  <c r="I1399" i="3"/>
  <c r="O1397" i="3"/>
  <c r="P1397" i="3" s="1"/>
  <c r="F1398" i="3"/>
  <c r="G1398" i="3" s="1"/>
  <c r="L1398" i="3"/>
  <c r="C1399" i="3"/>
  <c r="J1398" i="3"/>
  <c r="K1398" i="3" s="1"/>
  <c r="M1398" i="3"/>
  <c r="N1398" i="3" s="1"/>
  <c r="Q1396" i="3"/>
  <c r="E1399" i="3"/>
  <c r="A1400" i="3"/>
  <c r="D1400" i="3" s="1"/>
  <c r="B1399" i="3"/>
  <c r="H1400" i="3" l="1"/>
  <c r="I1400" i="3"/>
  <c r="F1399" i="3"/>
  <c r="G1399" i="3" s="1"/>
  <c r="O1398" i="3"/>
  <c r="P1398" i="3" s="1"/>
  <c r="L1399" i="3"/>
  <c r="J1399" i="3"/>
  <c r="K1399" i="3" s="1"/>
  <c r="M1399" i="3"/>
  <c r="N1399" i="3" s="1"/>
  <c r="C1400" i="3"/>
  <c r="Q1397" i="3"/>
  <c r="E1400" i="3"/>
  <c r="A1401" i="3"/>
  <c r="D1401" i="3" s="1"/>
  <c r="B1400" i="3"/>
  <c r="H1401" i="3" l="1"/>
  <c r="I1401" i="3"/>
  <c r="F1400" i="3"/>
  <c r="G1400" i="3" s="1"/>
  <c r="O1399" i="3"/>
  <c r="P1399" i="3" s="1"/>
  <c r="J1400" i="3"/>
  <c r="K1400" i="3" s="1"/>
  <c r="M1400" i="3"/>
  <c r="N1400" i="3" s="1"/>
  <c r="C1401" i="3"/>
  <c r="L1400" i="3"/>
  <c r="Q1398" i="3"/>
  <c r="E1401" i="3"/>
  <c r="A1402" i="3"/>
  <c r="D1402" i="3" s="1"/>
  <c r="B1401" i="3"/>
  <c r="H1402" i="3" l="1"/>
  <c r="M1402" i="3" s="1"/>
  <c r="N1402" i="3" s="1"/>
  <c r="I1402" i="3"/>
  <c r="F1401" i="3"/>
  <c r="G1401" i="3" s="1"/>
  <c r="L1401" i="3"/>
  <c r="O1400" i="3"/>
  <c r="P1400" i="3" s="1"/>
  <c r="C1402" i="3"/>
  <c r="J1401" i="3"/>
  <c r="K1401" i="3" s="1"/>
  <c r="M1401" i="3"/>
  <c r="N1401" i="3" s="1"/>
  <c r="Q1399" i="3"/>
  <c r="E1402" i="3"/>
  <c r="A1403" i="3"/>
  <c r="D1403" i="3" s="1"/>
  <c r="B1402" i="3"/>
  <c r="H1403" i="3" l="1"/>
  <c r="I1403" i="3"/>
  <c r="F1402" i="3"/>
  <c r="G1402" i="3" s="1"/>
  <c r="O1401" i="3"/>
  <c r="P1401" i="3" s="1"/>
  <c r="L1402" i="3"/>
  <c r="C1403" i="3"/>
  <c r="J1402" i="3"/>
  <c r="K1402" i="3" s="1"/>
  <c r="O1402" i="3" s="1"/>
  <c r="Q1400" i="3"/>
  <c r="E1403" i="3"/>
  <c r="A1404" i="3"/>
  <c r="D1404" i="3" s="1"/>
  <c r="B1403" i="3"/>
  <c r="H1404" i="3" l="1"/>
  <c r="I1404" i="3"/>
  <c r="F1403" i="3"/>
  <c r="G1403" i="3" s="1"/>
  <c r="L1403" i="3"/>
  <c r="J1403" i="3"/>
  <c r="K1403" i="3" s="1"/>
  <c r="M1403" i="3"/>
  <c r="N1403" i="3" s="1"/>
  <c r="C1404" i="3"/>
  <c r="Q1401" i="3"/>
  <c r="P1402" i="3"/>
  <c r="E1404" i="3"/>
  <c r="A1405" i="3"/>
  <c r="D1405" i="3" s="1"/>
  <c r="B1404" i="3"/>
  <c r="H1405" i="3" l="1"/>
  <c r="I1405" i="3"/>
  <c r="F1404" i="3"/>
  <c r="G1404" i="3" s="1"/>
  <c r="O1403" i="3"/>
  <c r="P1403" i="3" s="1"/>
  <c r="L1404" i="3"/>
  <c r="C1405" i="3"/>
  <c r="J1404" i="3"/>
  <c r="K1404" i="3" s="1"/>
  <c r="M1404" i="3"/>
  <c r="N1404" i="3" s="1"/>
  <c r="Q1402" i="3"/>
  <c r="E1405" i="3"/>
  <c r="A1406" i="3"/>
  <c r="D1406" i="3" s="1"/>
  <c r="B1405" i="3"/>
  <c r="H1406" i="3" l="1"/>
  <c r="I1406" i="3"/>
  <c r="F1405" i="3"/>
  <c r="G1405" i="3" s="1"/>
  <c r="O1404" i="3"/>
  <c r="P1404" i="3" s="1"/>
  <c r="L1405" i="3"/>
  <c r="J1405" i="3"/>
  <c r="K1405" i="3" s="1"/>
  <c r="M1405" i="3"/>
  <c r="N1405" i="3" s="1"/>
  <c r="C1406" i="3"/>
  <c r="Q1403" i="3"/>
  <c r="E1406" i="3"/>
  <c r="A1407" i="3"/>
  <c r="D1407" i="3" s="1"/>
  <c r="B1406" i="3"/>
  <c r="I1407" i="3" l="1"/>
  <c r="H1407" i="3"/>
  <c r="F1406" i="3"/>
  <c r="G1406" i="3" s="1"/>
  <c r="O1405" i="3"/>
  <c r="P1405" i="3" s="1"/>
  <c r="L1406" i="3"/>
  <c r="C1407" i="3"/>
  <c r="J1406" i="3"/>
  <c r="K1406" i="3" s="1"/>
  <c r="M1406" i="3"/>
  <c r="N1406" i="3" s="1"/>
  <c r="Q1404" i="3"/>
  <c r="E1407" i="3"/>
  <c r="A1408" i="3"/>
  <c r="D1408" i="3" s="1"/>
  <c r="B1407" i="3"/>
  <c r="H1408" i="3" l="1"/>
  <c r="I1408" i="3"/>
  <c r="F1407" i="3"/>
  <c r="G1407" i="3" s="1"/>
  <c r="O1406" i="3"/>
  <c r="P1406" i="3" s="1"/>
  <c r="L1407" i="3"/>
  <c r="J1407" i="3"/>
  <c r="K1407" i="3" s="1"/>
  <c r="M1407" i="3"/>
  <c r="N1407" i="3" s="1"/>
  <c r="C1408" i="3"/>
  <c r="Q1405" i="3"/>
  <c r="E1408" i="3"/>
  <c r="A1409" i="3"/>
  <c r="D1409" i="3" s="1"/>
  <c r="B1408" i="3"/>
  <c r="I1409" i="3" l="1"/>
  <c r="H1409" i="3"/>
  <c r="F1408" i="3"/>
  <c r="G1408" i="3" s="1"/>
  <c r="O1407" i="3"/>
  <c r="P1407" i="3" s="1"/>
  <c r="J1408" i="3"/>
  <c r="K1408" i="3" s="1"/>
  <c r="M1408" i="3"/>
  <c r="N1408" i="3" s="1"/>
  <c r="C1409" i="3"/>
  <c r="L1408" i="3"/>
  <c r="Q1406" i="3"/>
  <c r="E1409" i="3"/>
  <c r="A1410" i="3"/>
  <c r="D1410" i="3" s="1"/>
  <c r="B1409" i="3"/>
  <c r="H1410" i="3" l="1"/>
  <c r="I1410" i="3"/>
  <c r="F1409" i="3"/>
  <c r="G1409" i="3" s="1"/>
  <c r="L1409" i="3"/>
  <c r="O1408" i="3"/>
  <c r="P1408" i="3" s="1"/>
  <c r="C1410" i="3"/>
  <c r="J1409" i="3"/>
  <c r="K1409" i="3" s="1"/>
  <c r="M1409" i="3"/>
  <c r="N1409" i="3" s="1"/>
  <c r="Q1407" i="3"/>
  <c r="E1410" i="3"/>
  <c r="A1411" i="3"/>
  <c r="D1411" i="3" s="1"/>
  <c r="B1410" i="3"/>
  <c r="I1411" i="3" l="1"/>
  <c r="H1411" i="3"/>
  <c r="F1410" i="3"/>
  <c r="G1410" i="3" s="1"/>
  <c r="O1409" i="3"/>
  <c r="P1409" i="3" s="1"/>
  <c r="L1410" i="3"/>
  <c r="J1410" i="3"/>
  <c r="K1410" i="3" s="1"/>
  <c r="M1410" i="3"/>
  <c r="N1410" i="3" s="1"/>
  <c r="C1411" i="3"/>
  <c r="Q1408" i="3"/>
  <c r="E1411" i="3"/>
  <c r="A1412" i="3"/>
  <c r="D1412" i="3" s="1"/>
  <c r="B1411" i="3"/>
  <c r="H1412" i="3" l="1"/>
  <c r="I1412" i="3"/>
  <c r="F1411" i="3"/>
  <c r="G1411" i="3" s="1"/>
  <c r="O1410" i="3"/>
  <c r="P1410" i="3" s="1"/>
  <c r="J1411" i="3"/>
  <c r="K1411" i="3" s="1"/>
  <c r="M1411" i="3"/>
  <c r="N1411" i="3" s="1"/>
  <c r="C1412" i="3"/>
  <c r="L1411" i="3"/>
  <c r="Q1409" i="3"/>
  <c r="E1412" i="3"/>
  <c r="A1413" i="3"/>
  <c r="D1413" i="3" s="1"/>
  <c r="B1412" i="3"/>
  <c r="H1413" i="3" l="1"/>
  <c r="I1413" i="3"/>
  <c r="F1412" i="3"/>
  <c r="G1412" i="3" s="1"/>
  <c r="O1411" i="3"/>
  <c r="P1411" i="3" s="1"/>
  <c r="L1412" i="3"/>
  <c r="C1413" i="3"/>
  <c r="J1412" i="3"/>
  <c r="K1412" i="3" s="1"/>
  <c r="M1412" i="3"/>
  <c r="N1412" i="3" s="1"/>
  <c r="Q1410" i="3"/>
  <c r="E1413" i="3"/>
  <c r="A1414" i="3"/>
  <c r="D1414" i="3" s="1"/>
  <c r="B1413" i="3"/>
  <c r="H1414" i="3" l="1"/>
  <c r="I1414" i="3"/>
  <c r="F1413" i="3"/>
  <c r="G1413" i="3" s="1"/>
  <c r="O1412" i="3"/>
  <c r="P1412" i="3" s="1"/>
  <c r="L1413" i="3"/>
  <c r="J1413" i="3"/>
  <c r="K1413" i="3" s="1"/>
  <c r="M1413" i="3"/>
  <c r="N1413" i="3" s="1"/>
  <c r="C1414" i="3"/>
  <c r="Q1411" i="3"/>
  <c r="E1414" i="3"/>
  <c r="A1415" i="3"/>
  <c r="D1415" i="3" s="1"/>
  <c r="B1414" i="3"/>
  <c r="H1415" i="3" l="1"/>
  <c r="I1415" i="3"/>
  <c r="F1414" i="3"/>
  <c r="G1414" i="3" s="1"/>
  <c r="O1413" i="3"/>
  <c r="P1413" i="3" s="1"/>
  <c r="L1414" i="3"/>
  <c r="C1415" i="3"/>
  <c r="J1414" i="3"/>
  <c r="K1414" i="3" s="1"/>
  <c r="M1414" i="3"/>
  <c r="N1414" i="3" s="1"/>
  <c r="Q1412" i="3"/>
  <c r="E1415" i="3"/>
  <c r="A1416" i="3"/>
  <c r="D1416" i="3" s="1"/>
  <c r="B1415" i="3"/>
  <c r="H1416" i="3" l="1"/>
  <c r="I1416" i="3"/>
  <c r="F1415" i="3"/>
  <c r="G1415" i="3" s="1"/>
  <c r="O1414" i="3"/>
  <c r="P1414" i="3" s="1"/>
  <c r="L1415" i="3"/>
  <c r="J1415" i="3"/>
  <c r="K1415" i="3" s="1"/>
  <c r="M1415" i="3"/>
  <c r="N1415" i="3" s="1"/>
  <c r="C1416" i="3"/>
  <c r="Q1413" i="3"/>
  <c r="E1416" i="3"/>
  <c r="A1417" i="3"/>
  <c r="D1417" i="3" s="1"/>
  <c r="B1416" i="3"/>
  <c r="H1417" i="3" l="1"/>
  <c r="I1417" i="3"/>
  <c r="O1415" i="3"/>
  <c r="P1415" i="3" s="1"/>
  <c r="F1416" i="3"/>
  <c r="G1416" i="3" s="1"/>
  <c r="J1416" i="3"/>
  <c r="K1416" i="3" s="1"/>
  <c r="M1416" i="3"/>
  <c r="N1416" i="3" s="1"/>
  <c r="C1417" i="3"/>
  <c r="L1416" i="3"/>
  <c r="Q1414" i="3"/>
  <c r="E1417" i="3"/>
  <c r="A1418" i="3"/>
  <c r="D1418" i="3" s="1"/>
  <c r="B1417" i="3"/>
  <c r="I1418" i="3" l="1"/>
  <c r="H1418" i="3"/>
  <c r="F1417" i="3"/>
  <c r="G1417" i="3" s="1"/>
  <c r="L1417" i="3"/>
  <c r="O1416" i="3"/>
  <c r="P1416" i="3" s="1"/>
  <c r="C1418" i="3"/>
  <c r="J1417" i="3"/>
  <c r="K1417" i="3" s="1"/>
  <c r="M1417" i="3"/>
  <c r="N1417" i="3" s="1"/>
  <c r="Q1415" i="3"/>
  <c r="E1418" i="3"/>
  <c r="A1419" i="3"/>
  <c r="D1419" i="3" s="1"/>
  <c r="B1418" i="3"/>
  <c r="H1419" i="3" l="1"/>
  <c r="I1419" i="3"/>
  <c r="F1418" i="3"/>
  <c r="G1418" i="3" s="1"/>
  <c r="O1417" i="3"/>
  <c r="P1417" i="3" s="1"/>
  <c r="L1418" i="3"/>
  <c r="J1418" i="3"/>
  <c r="K1418" i="3" s="1"/>
  <c r="M1418" i="3"/>
  <c r="N1418" i="3" s="1"/>
  <c r="C1419" i="3"/>
  <c r="Q1416" i="3"/>
  <c r="E1419" i="3"/>
  <c r="A1420" i="3"/>
  <c r="D1420" i="3" s="1"/>
  <c r="B1419" i="3"/>
  <c r="H1420" i="3" l="1"/>
  <c r="I1420" i="3"/>
  <c r="F1419" i="3"/>
  <c r="G1419" i="3" s="1"/>
  <c r="O1418" i="3"/>
  <c r="P1418" i="3" s="1"/>
  <c r="L1419" i="3"/>
  <c r="C1420" i="3"/>
  <c r="J1419" i="3"/>
  <c r="K1419" i="3" s="1"/>
  <c r="M1419" i="3"/>
  <c r="N1419" i="3" s="1"/>
  <c r="Q1417" i="3"/>
  <c r="E1420" i="3"/>
  <c r="A1421" i="3"/>
  <c r="D1421" i="3" s="1"/>
  <c r="B1420" i="3"/>
  <c r="H1421" i="3" l="1"/>
  <c r="I1421" i="3"/>
  <c r="F1420" i="3"/>
  <c r="G1420" i="3" s="1"/>
  <c r="L1420" i="3"/>
  <c r="O1419" i="3"/>
  <c r="P1419" i="3" s="1"/>
  <c r="J1420" i="3"/>
  <c r="K1420" i="3" s="1"/>
  <c r="M1420" i="3"/>
  <c r="N1420" i="3" s="1"/>
  <c r="C1421" i="3"/>
  <c r="Q1418" i="3"/>
  <c r="E1421" i="3"/>
  <c r="A1422" i="3"/>
  <c r="D1422" i="3" s="1"/>
  <c r="B1421" i="3"/>
  <c r="H1422" i="3" l="1"/>
  <c r="I1422" i="3"/>
  <c r="F1421" i="3"/>
  <c r="G1421" i="3" s="1"/>
  <c r="O1420" i="3"/>
  <c r="P1420" i="3" s="1"/>
  <c r="J1421" i="3"/>
  <c r="K1421" i="3" s="1"/>
  <c r="M1421" i="3"/>
  <c r="N1421" i="3" s="1"/>
  <c r="C1422" i="3"/>
  <c r="L1421" i="3"/>
  <c r="Q1419" i="3"/>
  <c r="E1422" i="3"/>
  <c r="A1423" i="3"/>
  <c r="D1423" i="3" s="1"/>
  <c r="B1422" i="3"/>
  <c r="H1423" i="3" l="1"/>
  <c r="I1423" i="3"/>
  <c r="F1422" i="3"/>
  <c r="G1422" i="3" s="1"/>
  <c r="L1422" i="3"/>
  <c r="O1421" i="3"/>
  <c r="P1421" i="3" s="1"/>
  <c r="C1423" i="3"/>
  <c r="J1422" i="3"/>
  <c r="K1422" i="3" s="1"/>
  <c r="M1422" i="3"/>
  <c r="N1422" i="3" s="1"/>
  <c r="Q1420" i="3"/>
  <c r="E1423" i="3"/>
  <c r="A1424" i="3"/>
  <c r="D1424" i="3" s="1"/>
  <c r="B1423" i="3"/>
  <c r="H1424" i="3" l="1"/>
  <c r="I1424" i="3"/>
  <c r="F1423" i="3"/>
  <c r="G1423" i="3" s="1"/>
  <c r="L1423" i="3"/>
  <c r="O1422" i="3"/>
  <c r="P1422" i="3" s="1"/>
  <c r="C1424" i="3"/>
  <c r="J1423" i="3"/>
  <c r="K1423" i="3" s="1"/>
  <c r="M1423" i="3"/>
  <c r="N1423" i="3" s="1"/>
  <c r="Q1421" i="3"/>
  <c r="E1424" i="3"/>
  <c r="A1425" i="3"/>
  <c r="D1425" i="3" s="1"/>
  <c r="B1424" i="3"/>
  <c r="I1425" i="3" l="1"/>
  <c r="H1425" i="3"/>
  <c r="F1424" i="3"/>
  <c r="G1424" i="3" s="1"/>
  <c r="O1423" i="3"/>
  <c r="P1423" i="3" s="1"/>
  <c r="L1424" i="3"/>
  <c r="J1424" i="3"/>
  <c r="K1424" i="3" s="1"/>
  <c r="M1424" i="3"/>
  <c r="N1424" i="3" s="1"/>
  <c r="C1425" i="3"/>
  <c r="Q1422" i="3"/>
  <c r="E1425" i="3"/>
  <c r="A1426" i="3"/>
  <c r="D1426" i="3" s="1"/>
  <c r="B1425" i="3"/>
  <c r="H1426" i="3" l="1"/>
  <c r="I1426" i="3"/>
  <c r="F1425" i="3"/>
  <c r="G1425" i="3" s="1"/>
  <c r="O1424" i="3"/>
  <c r="P1424" i="3" s="1"/>
  <c r="L1425" i="3"/>
  <c r="C1426" i="3"/>
  <c r="J1425" i="3"/>
  <c r="K1425" i="3" s="1"/>
  <c r="M1425" i="3"/>
  <c r="N1425" i="3" s="1"/>
  <c r="Q1423" i="3"/>
  <c r="E1426" i="3"/>
  <c r="A1427" i="3"/>
  <c r="D1427" i="3" s="1"/>
  <c r="B1426" i="3"/>
  <c r="H1427" i="3" l="1"/>
  <c r="I1427" i="3"/>
  <c r="F1426" i="3"/>
  <c r="G1426" i="3" s="1"/>
  <c r="O1425" i="3"/>
  <c r="P1425" i="3" s="1"/>
  <c r="L1426" i="3"/>
  <c r="J1426" i="3"/>
  <c r="K1426" i="3" s="1"/>
  <c r="M1426" i="3"/>
  <c r="N1426" i="3" s="1"/>
  <c r="C1427" i="3"/>
  <c r="Q1424" i="3"/>
  <c r="E1427" i="3"/>
  <c r="A1428" i="3"/>
  <c r="D1428" i="3" s="1"/>
  <c r="B1427" i="3"/>
  <c r="H1428" i="3" l="1"/>
  <c r="I1428" i="3"/>
  <c r="F1427" i="3"/>
  <c r="G1427" i="3" s="1"/>
  <c r="L1427" i="3"/>
  <c r="O1426" i="3"/>
  <c r="P1426" i="3" s="1"/>
  <c r="C1428" i="3"/>
  <c r="J1427" i="3"/>
  <c r="K1427" i="3" s="1"/>
  <c r="M1427" i="3"/>
  <c r="N1427" i="3" s="1"/>
  <c r="Q1425" i="3"/>
  <c r="E1428" i="3"/>
  <c r="A1429" i="3"/>
  <c r="D1429" i="3" s="1"/>
  <c r="B1428" i="3"/>
  <c r="H1429" i="3" l="1"/>
  <c r="I1429" i="3"/>
  <c r="F1428" i="3"/>
  <c r="G1428" i="3" s="1"/>
  <c r="O1427" i="3"/>
  <c r="P1427" i="3" s="1"/>
  <c r="L1428" i="3"/>
  <c r="J1428" i="3"/>
  <c r="K1428" i="3" s="1"/>
  <c r="M1428" i="3"/>
  <c r="N1428" i="3" s="1"/>
  <c r="C1429" i="3"/>
  <c r="Q1426" i="3"/>
  <c r="E1429" i="3"/>
  <c r="A1430" i="3"/>
  <c r="D1430" i="3" s="1"/>
  <c r="B1429" i="3"/>
  <c r="I1430" i="3" l="1"/>
  <c r="H1430" i="3"/>
  <c r="F1429" i="3"/>
  <c r="G1429" i="3" s="1"/>
  <c r="O1428" i="3"/>
  <c r="P1428" i="3" s="1"/>
  <c r="J1429" i="3"/>
  <c r="K1429" i="3" s="1"/>
  <c r="M1429" i="3"/>
  <c r="N1429" i="3" s="1"/>
  <c r="C1430" i="3"/>
  <c r="L1429" i="3"/>
  <c r="Q1427" i="3"/>
  <c r="E1430" i="3"/>
  <c r="A1431" i="3"/>
  <c r="D1431" i="3" s="1"/>
  <c r="B1430" i="3"/>
  <c r="I1431" i="3" l="1"/>
  <c r="H1431" i="3"/>
  <c r="O1429" i="3"/>
  <c r="P1429" i="3" s="1"/>
  <c r="F1430" i="3"/>
  <c r="G1430" i="3" s="1"/>
  <c r="L1430" i="3"/>
  <c r="C1431" i="3"/>
  <c r="J1430" i="3"/>
  <c r="K1430" i="3" s="1"/>
  <c r="M1430" i="3"/>
  <c r="N1430" i="3" s="1"/>
  <c r="Q1428" i="3"/>
  <c r="E1431" i="3"/>
  <c r="A1432" i="3"/>
  <c r="D1432" i="3" s="1"/>
  <c r="B1431" i="3"/>
  <c r="H1432" i="3" l="1"/>
  <c r="I1432" i="3"/>
  <c r="F1431" i="3"/>
  <c r="G1431" i="3" s="1"/>
  <c r="O1430" i="3"/>
  <c r="P1430" i="3" s="1"/>
  <c r="L1431" i="3"/>
  <c r="C1432" i="3"/>
  <c r="J1431" i="3"/>
  <c r="K1431" i="3" s="1"/>
  <c r="M1431" i="3"/>
  <c r="N1431" i="3" s="1"/>
  <c r="Q1429" i="3"/>
  <c r="E1432" i="3"/>
  <c r="A1433" i="3"/>
  <c r="D1433" i="3" s="1"/>
  <c r="B1432" i="3"/>
  <c r="H1433" i="3" l="1"/>
  <c r="I1433" i="3"/>
  <c r="F1432" i="3"/>
  <c r="G1432" i="3" s="1"/>
  <c r="O1431" i="3"/>
  <c r="P1431" i="3" s="1"/>
  <c r="L1432" i="3"/>
  <c r="J1432" i="3"/>
  <c r="K1432" i="3" s="1"/>
  <c r="M1432" i="3"/>
  <c r="N1432" i="3" s="1"/>
  <c r="C1433" i="3"/>
  <c r="Q1430" i="3"/>
  <c r="E1433" i="3"/>
  <c r="A1434" i="3"/>
  <c r="D1434" i="3" s="1"/>
  <c r="B1433" i="3"/>
  <c r="H1434" i="3" l="1"/>
  <c r="I1434" i="3"/>
  <c r="F1433" i="3"/>
  <c r="G1433" i="3" s="1"/>
  <c r="L1433" i="3"/>
  <c r="O1432" i="3"/>
  <c r="P1432" i="3" s="1"/>
  <c r="C1434" i="3"/>
  <c r="J1433" i="3"/>
  <c r="K1433" i="3" s="1"/>
  <c r="M1433" i="3"/>
  <c r="N1433" i="3" s="1"/>
  <c r="Q1431" i="3"/>
  <c r="E1434" i="3"/>
  <c r="A1435" i="3"/>
  <c r="D1435" i="3" s="1"/>
  <c r="B1434" i="3"/>
  <c r="H1435" i="3" l="1"/>
  <c r="I1435" i="3"/>
  <c r="F1434" i="3"/>
  <c r="G1434" i="3" s="1"/>
  <c r="L1434" i="3"/>
  <c r="O1433" i="3"/>
  <c r="P1433" i="3" s="1"/>
  <c r="J1434" i="3"/>
  <c r="K1434" i="3" s="1"/>
  <c r="M1434" i="3"/>
  <c r="N1434" i="3" s="1"/>
  <c r="C1435" i="3"/>
  <c r="Q1432" i="3"/>
  <c r="E1435" i="3"/>
  <c r="A1436" i="3"/>
  <c r="D1436" i="3" s="1"/>
  <c r="B1435" i="3"/>
  <c r="H1436" i="3" l="1"/>
  <c r="I1436" i="3"/>
  <c r="O1434" i="3"/>
  <c r="P1434" i="3" s="1"/>
  <c r="F1435" i="3"/>
  <c r="G1435" i="3" s="1"/>
  <c r="L1435" i="3"/>
  <c r="C1436" i="3"/>
  <c r="J1435" i="3"/>
  <c r="K1435" i="3" s="1"/>
  <c r="M1435" i="3"/>
  <c r="N1435" i="3" s="1"/>
  <c r="Q1433" i="3"/>
  <c r="E1436" i="3"/>
  <c r="A1437" i="3"/>
  <c r="D1437" i="3" s="1"/>
  <c r="B1436" i="3"/>
  <c r="H1437" i="3" l="1"/>
  <c r="I1437" i="3"/>
  <c r="F1436" i="3"/>
  <c r="G1436" i="3" s="1"/>
  <c r="O1435" i="3"/>
  <c r="P1435" i="3" s="1"/>
  <c r="L1436" i="3"/>
  <c r="J1436" i="3"/>
  <c r="K1436" i="3" s="1"/>
  <c r="M1436" i="3"/>
  <c r="N1436" i="3" s="1"/>
  <c r="C1437" i="3"/>
  <c r="Q1434" i="3"/>
  <c r="E1437" i="3"/>
  <c r="A1438" i="3"/>
  <c r="D1438" i="3" s="1"/>
  <c r="B1437" i="3"/>
  <c r="H1438" i="3" l="1"/>
  <c r="M1438" i="3" s="1"/>
  <c r="N1438" i="3" s="1"/>
  <c r="I1438" i="3"/>
  <c r="F1437" i="3"/>
  <c r="G1437" i="3" s="1"/>
  <c r="O1436" i="3"/>
  <c r="P1436" i="3" s="1"/>
  <c r="J1437" i="3"/>
  <c r="K1437" i="3" s="1"/>
  <c r="M1437" i="3"/>
  <c r="N1437" i="3" s="1"/>
  <c r="C1438" i="3"/>
  <c r="L1437" i="3"/>
  <c r="Q1435" i="3"/>
  <c r="E1438" i="3"/>
  <c r="A1439" i="3"/>
  <c r="D1439" i="3" s="1"/>
  <c r="B1438" i="3"/>
  <c r="H1439" i="3" l="1"/>
  <c r="I1439" i="3"/>
  <c r="F1438" i="3"/>
  <c r="G1438" i="3" s="1"/>
  <c r="O1437" i="3"/>
  <c r="P1437" i="3" s="1"/>
  <c r="L1438" i="3"/>
  <c r="J1438" i="3"/>
  <c r="K1438" i="3" s="1"/>
  <c r="O1438" i="3" s="1"/>
  <c r="C1439" i="3"/>
  <c r="Q1436" i="3"/>
  <c r="E1439" i="3"/>
  <c r="A1440" i="3"/>
  <c r="D1440" i="3" s="1"/>
  <c r="B1439" i="3"/>
  <c r="H1440" i="3" l="1"/>
  <c r="I1440" i="3"/>
  <c r="F1439" i="3"/>
  <c r="G1439" i="3" s="1"/>
  <c r="L1439" i="3"/>
  <c r="J1439" i="3"/>
  <c r="K1439" i="3" s="1"/>
  <c r="M1439" i="3"/>
  <c r="N1439" i="3" s="1"/>
  <c r="C1440" i="3"/>
  <c r="Q1437" i="3"/>
  <c r="P1438" i="3"/>
  <c r="E1440" i="3"/>
  <c r="A1441" i="3"/>
  <c r="D1441" i="3" s="1"/>
  <c r="B1440" i="3"/>
  <c r="I1441" i="3" l="1"/>
  <c r="H1441" i="3"/>
  <c r="O1439" i="3"/>
  <c r="P1439" i="3" s="1"/>
  <c r="F1440" i="3"/>
  <c r="G1440" i="3" s="1"/>
  <c r="J1440" i="3"/>
  <c r="K1440" i="3" s="1"/>
  <c r="M1440" i="3"/>
  <c r="N1440" i="3" s="1"/>
  <c r="C1441" i="3"/>
  <c r="L1440" i="3"/>
  <c r="Q1438" i="3"/>
  <c r="E1441" i="3"/>
  <c r="A1442" i="3"/>
  <c r="D1442" i="3" s="1"/>
  <c r="B1441" i="3"/>
  <c r="H1442" i="3" l="1"/>
  <c r="I1442" i="3"/>
  <c r="L1441" i="3"/>
  <c r="F1441" i="3"/>
  <c r="G1441" i="3" s="1"/>
  <c r="O1440" i="3"/>
  <c r="P1440" i="3" s="1"/>
  <c r="C1442" i="3"/>
  <c r="J1441" i="3"/>
  <c r="K1441" i="3" s="1"/>
  <c r="M1441" i="3"/>
  <c r="N1441" i="3" s="1"/>
  <c r="Q1439" i="3"/>
  <c r="E1442" i="3"/>
  <c r="A1443" i="3"/>
  <c r="D1443" i="3" s="1"/>
  <c r="B1442" i="3"/>
  <c r="I1443" i="3" l="1"/>
  <c r="H1443" i="3"/>
  <c r="F1442" i="3"/>
  <c r="G1442" i="3" s="1"/>
  <c r="O1441" i="3"/>
  <c r="P1441" i="3" s="1"/>
  <c r="L1442" i="3"/>
  <c r="J1442" i="3"/>
  <c r="K1442" i="3" s="1"/>
  <c r="M1442" i="3"/>
  <c r="N1442" i="3" s="1"/>
  <c r="C1443" i="3"/>
  <c r="Q1440" i="3"/>
  <c r="E1443" i="3"/>
  <c r="B1443" i="3"/>
  <c r="F1443" i="3" l="1"/>
  <c r="G1443" i="3" s="1"/>
  <c r="L1443" i="3"/>
  <c r="O1442" i="3"/>
  <c r="P1442" i="3" s="1"/>
  <c r="J1443" i="3"/>
  <c r="K1443" i="3" s="1"/>
  <c r="M1443" i="3"/>
  <c r="N1443" i="3" s="1"/>
  <c r="Q1441" i="3"/>
  <c r="O1443" i="3" l="1"/>
  <c r="P1443" i="3" s="1"/>
  <c r="Q1442" i="3"/>
  <c r="Q1443" i="3" l="1"/>
  <c r="B19" i="2" s="1"/>
</calcChain>
</file>

<file path=xl/comments1.xml><?xml version="1.0" encoding="utf-8"?>
<comments xmlns="http://schemas.openxmlformats.org/spreadsheetml/2006/main">
  <authors>
    <author>Nina Prins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Nina Prins:</t>
        </r>
        <r>
          <rPr>
            <sz val="9"/>
            <color indexed="81"/>
            <rFont val="Tahoma"/>
            <family val="2"/>
          </rPr>
          <t xml:space="preserve">
This include the increase on the increase date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Nina Prins:</t>
        </r>
        <r>
          <rPr>
            <sz val="9"/>
            <color indexed="81"/>
            <rFont val="Tahoma"/>
            <family val="2"/>
          </rPr>
          <t xml:space="preserve">
Survive from starting age to starting age plus years</t>
        </r>
      </text>
    </comment>
    <comment ref="N2" authorId="0" shapeId="0">
      <text>
        <r>
          <rPr>
            <b/>
            <sz val="9"/>
            <color indexed="81"/>
            <rFont val="Tahoma"/>
            <family val="2"/>
          </rPr>
          <t>Nina Prins:</t>
        </r>
        <r>
          <rPr>
            <sz val="9"/>
            <color indexed="81"/>
            <rFont val="Tahoma"/>
            <family val="2"/>
          </rPr>
          <t xml:space="preserve">
Probability of surviving from birthday to the date the payment is made</t>
        </r>
      </text>
    </comment>
  </commentList>
</comments>
</file>

<file path=xl/sharedStrings.xml><?xml version="1.0" encoding="utf-8"?>
<sst xmlns="http://schemas.openxmlformats.org/spreadsheetml/2006/main" count="3074" uniqueCount="1995">
  <si>
    <t>id</t>
  </si>
  <si>
    <t>first_name</t>
  </si>
  <si>
    <t>last_name</t>
  </si>
  <si>
    <t>date_of_birth</t>
  </si>
  <si>
    <t>gender</t>
  </si>
  <si>
    <t>pension</t>
  </si>
  <si>
    <t>Doralia</t>
  </si>
  <si>
    <t>Couronne</t>
  </si>
  <si>
    <t>Female</t>
  </si>
  <si>
    <t>Arvin</t>
  </si>
  <si>
    <t>Stubbe</t>
  </si>
  <si>
    <t>Male</t>
  </si>
  <si>
    <t>Jeannie</t>
  </si>
  <si>
    <t>Langtry</t>
  </si>
  <si>
    <t>Yardley</t>
  </si>
  <si>
    <t>Chezier</t>
  </si>
  <si>
    <t>Cori</t>
  </si>
  <si>
    <t>Kobiera</t>
  </si>
  <si>
    <t>Nestor</t>
  </si>
  <si>
    <t>Ferrino</t>
  </si>
  <si>
    <t>Huntlee</t>
  </si>
  <si>
    <t>Bartaloni</t>
  </si>
  <si>
    <t>Byrom</t>
  </si>
  <si>
    <t>Kilgrew</t>
  </si>
  <si>
    <t>Rey</t>
  </si>
  <si>
    <t>Letteresse</t>
  </si>
  <si>
    <t>Perren</t>
  </si>
  <si>
    <t>McTrustram</t>
  </si>
  <si>
    <t>Bogart</t>
  </si>
  <si>
    <t>Critchard</t>
  </si>
  <si>
    <t>Kliment</t>
  </si>
  <si>
    <t>Fulham</t>
  </si>
  <si>
    <t>Tyne</t>
  </si>
  <si>
    <t>Peteri</t>
  </si>
  <si>
    <t>Aimil</t>
  </si>
  <si>
    <t>Finlason</t>
  </si>
  <si>
    <t>Page</t>
  </si>
  <si>
    <t>Wrightim</t>
  </si>
  <si>
    <t>Hobart</t>
  </si>
  <si>
    <t>Spurritt</t>
  </si>
  <si>
    <t>Ainsley</t>
  </si>
  <si>
    <t>Blaydon</t>
  </si>
  <si>
    <t>Dacie</t>
  </si>
  <si>
    <t>Yuryichev</t>
  </si>
  <si>
    <t>Bruis</t>
  </si>
  <si>
    <t>Bonifas</t>
  </si>
  <si>
    <t>Harli</t>
  </si>
  <si>
    <t>McGreil</t>
  </si>
  <si>
    <t>Enrika</t>
  </si>
  <si>
    <t>Ritch</t>
  </si>
  <si>
    <t>Maggee</t>
  </si>
  <si>
    <t>Payn</t>
  </si>
  <si>
    <t>Dory</t>
  </si>
  <si>
    <t>Whitcomb</t>
  </si>
  <si>
    <t>Adler</t>
  </si>
  <si>
    <t>Boulstridge</t>
  </si>
  <si>
    <t>Lizzy</t>
  </si>
  <si>
    <t>Hallgalley</t>
  </si>
  <si>
    <t>Mead</t>
  </si>
  <si>
    <t>Hellier</t>
  </si>
  <si>
    <t>Kelly</t>
  </si>
  <si>
    <t>McFater</t>
  </si>
  <si>
    <t>Vere</t>
  </si>
  <si>
    <t>Chamley</t>
  </si>
  <si>
    <t>Cully</t>
  </si>
  <si>
    <t>Aldwick</t>
  </si>
  <si>
    <t>Prue</t>
  </si>
  <si>
    <t>Gadie</t>
  </si>
  <si>
    <t>Tiebold</t>
  </si>
  <si>
    <t>Stork</t>
  </si>
  <si>
    <t>Marcos</t>
  </si>
  <si>
    <t>Privost</t>
  </si>
  <si>
    <t>Korney</t>
  </si>
  <si>
    <t>Breitler</t>
  </si>
  <si>
    <t>Carlene</t>
  </si>
  <si>
    <t>Ingolotti</t>
  </si>
  <si>
    <t>Kimble</t>
  </si>
  <si>
    <t>Littledyke</t>
  </si>
  <si>
    <t>Wendye</t>
  </si>
  <si>
    <t>Edmund</t>
  </si>
  <si>
    <t>Reider</t>
  </si>
  <si>
    <t>Witnall</t>
  </si>
  <si>
    <t>Dorey</t>
  </si>
  <si>
    <t>Doy</t>
  </si>
  <si>
    <t>Rachelle</t>
  </si>
  <si>
    <t>Herity</t>
  </si>
  <si>
    <t>Jeremie</t>
  </si>
  <si>
    <t>Froude</t>
  </si>
  <si>
    <t>Trixy</t>
  </si>
  <si>
    <t>Carlone</t>
  </si>
  <si>
    <t>Briny</t>
  </si>
  <si>
    <t>Seally</t>
  </si>
  <si>
    <t>Kevin</t>
  </si>
  <si>
    <t>Dodgson</t>
  </si>
  <si>
    <t>Sebastien</t>
  </si>
  <si>
    <t>Bothbie</t>
  </si>
  <si>
    <t>Sollie</t>
  </si>
  <si>
    <t>Waeland</t>
  </si>
  <si>
    <t>Liv</t>
  </si>
  <si>
    <t>MacClinton</t>
  </si>
  <si>
    <t>Minnaminnie</t>
  </si>
  <si>
    <t>Gitthouse</t>
  </si>
  <si>
    <t>Waylan</t>
  </si>
  <si>
    <t>Yapp</t>
  </si>
  <si>
    <t>Rosalie</t>
  </si>
  <si>
    <t>Leechman</t>
  </si>
  <si>
    <t>Billy</t>
  </si>
  <si>
    <t>Ference</t>
  </si>
  <si>
    <t>Carly</t>
  </si>
  <si>
    <t>Norree</t>
  </si>
  <si>
    <t>Trevar</t>
  </si>
  <si>
    <t>Kneath</t>
  </si>
  <si>
    <t>Rand</t>
  </si>
  <si>
    <t>Tunnah</t>
  </si>
  <si>
    <t>Kary</t>
  </si>
  <si>
    <t>Bibb</t>
  </si>
  <si>
    <t>Dael</t>
  </si>
  <si>
    <t>Barbara</t>
  </si>
  <si>
    <t>Marcelline</t>
  </si>
  <si>
    <t>Hackin</t>
  </si>
  <si>
    <t>Kizzie</t>
  </si>
  <si>
    <t>Stoyell</t>
  </si>
  <si>
    <t>Riordan</t>
  </si>
  <si>
    <t>Waugh</t>
  </si>
  <si>
    <t>Willie</t>
  </si>
  <si>
    <t>Mell</t>
  </si>
  <si>
    <t>Garrott</t>
  </si>
  <si>
    <t>Galvin</t>
  </si>
  <si>
    <t>Dick</t>
  </si>
  <si>
    <t>O' Mullane</t>
  </si>
  <si>
    <t>Venita</t>
  </si>
  <si>
    <t>Bottlestone</t>
  </si>
  <si>
    <t>Shepard</t>
  </si>
  <si>
    <t>Klimczak</t>
  </si>
  <si>
    <t>Richmound</t>
  </si>
  <si>
    <t>Smurthwaite</t>
  </si>
  <si>
    <t>Estevan</t>
  </si>
  <si>
    <t>Persitt</t>
  </si>
  <si>
    <t>Claude</t>
  </si>
  <si>
    <t>Pibworth</t>
  </si>
  <si>
    <t>Syd</t>
  </si>
  <si>
    <t>Pragnell</t>
  </si>
  <si>
    <t>Dierdre</t>
  </si>
  <si>
    <t>Beller</t>
  </si>
  <si>
    <t>Ardra</t>
  </si>
  <si>
    <t>Robb</t>
  </si>
  <si>
    <t>Bernadina</t>
  </si>
  <si>
    <t>Plait</t>
  </si>
  <si>
    <t>Jessi</t>
  </si>
  <si>
    <t>Gummary</t>
  </si>
  <si>
    <t>Kylie</t>
  </si>
  <si>
    <t>Hardes</t>
  </si>
  <si>
    <t>Liane</t>
  </si>
  <si>
    <t>McNeil</t>
  </si>
  <si>
    <t>Rocky</t>
  </si>
  <si>
    <t>Hammerstone</t>
  </si>
  <si>
    <t>Ferdinanda</t>
  </si>
  <si>
    <t>Menico</t>
  </si>
  <si>
    <t>Vikky</t>
  </si>
  <si>
    <t>Haycox</t>
  </si>
  <si>
    <t>Ethelyn</t>
  </si>
  <si>
    <t>Benoiton</t>
  </si>
  <si>
    <t>Traci</t>
  </si>
  <si>
    <t>Sayre</t>
  </si>
  <si>
    <t>Marita</t>
  </si>
  <si>
    <t>O'Hannen</t>
  </si>
  <si>
    <t>Chelsae</t>
  </si>
  <si>
    <t>Canada</t>
  </si>
  <si>
    <t>Reggie</t>
  </si>
  <si>
    <t>Langan</t>
  </si>
  <si>
    <t>Misti</t>
  </si>
  <si>
    <t>Dumbreck</t>
  </si>
  <si>
    <t>Margarete</t>
  </si>
  <si>
    <t>Marcome</t>
  </si>
  <si>
    <t>Bess</t>
  </si>
  <si>
    <t>Radnedge</t>
  </si>
  <si>
    <t>Mei</t>
  </si>
  <si>
    <t>Horley</t>
  </si>
  <si>
    <t>Bronny</t>
  </si>
  <si>
    <t>Virgin</t>
  </si>
  <si>
    <t>Sergei</t>
  </si>
  <si>
    <t>Husselbee</t>
  </si>
  <si>
    <t>Anjela</t>
  </si>
  <si>
    <t>Weine</t>
  </si>
  <si>
    <t>Nikola</t>
  </si>
  <si>
    <t>Tittershill</t>
  </si>
  <si>
    <t>Eleonora</t>
  </si>
  <si>
    <t>Errett</t>
  </si>
  <si>
    <t>Jacob</t>
  </si>
  <si>
    <t>Press</t>
  </si>
  <si>
    <t>Genia</t>
  </si>
  <si>
    <t>Anfosso</t>
  </si>
  <si>
    <t>Berton</t>
  </si>
  <si>
    <t>Wardesworth</t>
  </si>
  <si>
    <t>Ross</t>
  </si>
  <si>
    <t>Strowan</t>
  </si>
  <si>
    <t>Amandy</t>
  </si>
  <si>
    <t>Tremberth</t>
  </si>
  <si>
    <t>Georg</t>
  </si>
  <si>
    <t>Shortcliffe</t>
  </si>
  <si>
    <t>Gustavus</t>
  </si>
  <si>
    <t>Luney</t>
  </si>
  <si>
    <t>Toinette</t>
  </si>
  <si>
    <t>Campany</t>
  </si>
  <si>
    <t>Miltie</t>
  </si>
  <si>
    <t>Mackleden</t>
  </si>
  <si>
    <t>Wilbur</t>
  </si>
  <si>
    <t>O'Scanlon</t>
  </si>
  <si>
    <t>Aura</t>
  </si>
  <si>
    <t>Treadgold</t>
  </si>
  <si>
    <t>Guntar</t>
  </si>
  <si>
    <t>Meek</t>
  </si>
  <si>
    <t>Eunice</t>
  </si>
  <si>
    <t>McCrorie</t>
  </si>
  <si>
    <t>Fabio</t>
  </si>
  <si>
    <t>Camidge</t>
  </si>
  <si>
    <t>Joceline</t>
  </si>
  <si>
    <t>McQuilkin</t>
  </si>
  <si>
    <t>Bart</t>
  </si>
  <si>
    <t>Jumonet</t>
  </si>
  <si>
    <t>Neely</t>
  </si>
  <si>
    <t>Yaxley</t>
  </si>
  <si>
    <t>Micky</t>
  </si>
  <si>
    <t>Jeannet</t>
  </si>
  <si>
    <t>Kessiah</t>
  </si>
  <si>
    <t>Schneidar</t>
  </si>
  <si>
    <t>Mycah</t>
  </si>
  <si>
    <t>Maunder</t>
  </si>
  <si>
    <t>Issy</t>
  </si>
  <si>
    <t>Kinker</t>
  </si>
  <si>
    <t>Cella</t>
  </si>
  <si>
    <t>Hagen</t>
  </si>
  <si>
    <t>Dasent</t>
  </si>
  <si>
    <t>Vincents</t>
  </si>
  <si>
    <t>Beeby</t>
  </si>
  <si>
    <t>Jameson</t>
  </si>
  <si>
    <t>Cullinane</t>
  </si>
  <si>
    <t>Perri</t>
  </si>
  <si>
    <t>Orbon</t>
  </si>
  <si>
    <t>Cassie</t>
  </si>
  <si>
    <t>Yitshak</t>
  </si>
  <si>
    <t>Javier</t>
  </si>
  <si>
    <t>Freschi</t>
  </si>
  <si>
    <t>Vilhelmina</t>
  </si>
  <si>
    <t>Blastock</t>
  </si>
  <si>
    <t>Winni</t>
  </si>
  <si>
    <t>Haggleton</t>
  </si>
  <si>
    <t>Hadley</t>
  </si>
  <si>
    <t>Walbrun</t>
  </si>
  <si>
    <t>Rhea</t>
  </si>
  <si>
    <t>Balaam</t>
  </si>
  <si>
    <t>Lorie</t>
  </si>
  <si>
    <t>Brecken</t>
  </si>
  <si>
    <t>Felicio</t>
  </si>
  <si>
    <t>O'Shields</t>
  </si>
  <si>
    <t>Saloma</t>
  </si>
  <si>
    <t>Orange</t>
  </si>
  <si>
    <t>Giraldo</t>
  </si>
  <si>
    <t>Leavy</t>
  </si>
  <si>
    <t>Ailee</t>
  </si>
  <si>
    <t>Cutts</t>
  </si>
  <si>
    <t>Linnet</t>
  </si>
  <si>
    <t>Comley</t>
  </si>
  <si>
    <t>Stormi</t>
  </si>
  <si>
    <t>Braddock</t>
  </si>
  <si>
    <t>Nial</t>
  </si>
  <si>
    <t>Leggan</t>
  </si>
  <si>
    <t>Kameko</t>
  </si>
  <si>
    <t>Ramage</t>
  </si>
  <si>
    <t>Hendrick</t>
  </si>
  <si>
    <t>Kroin</t>
  </si>
  <si>
    <t>Erena</t>
  </si>
  <si>
    <t>Brizland</t>
  </si>
  <si>
    <t>Jennie</t>
  </si>
  <si>
    <t>Baldcock</t>
  </si>
  <si>
    <t>Emmit</t>
  </si>
  <si>
    <t>Penn</t>
  </si>
  <si>
    <t>Bail</t>
  </si>
  <si>
    <t>Bingham</t>
  </si>
  <si>
    <t>Blakeley</t>
  </si>
  <si>
    <t>Heeron</t>
  </si>
  <si>
    <t>Flory</t>
  </si>
  <si>
    <t>Maffy</t>
  </si>
  <si>
    <t>Antons</t>
  </si>
  <si>
    <t>Chadd</t>
  </si>
  <si>
    <t>Elfrida</t>
  </si>
  <si>
    <t>McGarvie</t>
  </si>
  <si>
    <t>Kelsey</t>
  </si>
  <si>
    <t>Gilbard</t>
  </si>
  <si>
    <t>Inessa</t>
  </si>
  <si>
    <t>Rudinger</t>
  </si>
  <si>
    <t>Booth</t>
  </si>
  <si>
    <t>Boles</t>
  </si>
  <si>
    <t>Isabeau</t>
  </si>
  <si>
    <t>Fosbraey</t>
  </si>
  <si>
    <t>Belia</t>
  </si>
  <si>
    <t>Dominighi</t>
  </si>
  <si>
    <t>Kathy</t>
  </si>
  <si>
    <t>Wadsworth</t>
  </si>
  <si>
    <t>Hulance</t>
  </si>
  <si>
    <t>Brook</t>
  </si>
  <si>
    <t>Allmann</t>
  </si>
  <si>
    <t>Egbert</t>
  </si>
  <si>
    <t>Overstall</t>
  </si>
  <si>
    <t>Beale</t>
  </si>
  <si>
    <t>Aveyard</t>
  </si>
  <si>
    <t>Vanni</t>
  </si>
  <si>
    <t>Fippe</t>
  </si>
  <si>
    <t>Ulric</t>
  </si>
  <si>
    <t>Govett</t>
  </si>
  <si>
    <t>Tailor</t>
  </si>
  <si>
    <t>Guerreiro</t>
  </si>
  <si>
    <t>Cole</t>
  </si>
  <si>
    <t>Albertson</t>
  </si>
  <si>
    <t>Delmer</t>
  </si>
  <si>
    <t>Cheltnam</t>
  </si>
  <si>
    <t>Obed</t>
  </si>
  <si>
    <t>Eagle</t>
  </si>
  <si>
    <t>Alard</t>
  </si>
  <si>
    <t>Longfoot</t>
  </si>
  <si>
    <t>Agnes</t>
  </si>
  <si>
    <t>Fontes</t>
  </si>
  <si>
    <t>Olivia</t>
  </si>
  <si>
    <t>Ramey</t>
  </si>
  <si>
    <t>Lorin</t>
  </si>
  <si>
    <t>Forsard</t>
  </si>
  <si>
    <t>Nigel</t>
  </si>
  <si>
    <t>Peskett</t>
  </si>
  <si>
    <t>Kendra</t>
  </si>
  <si>
    <t>Fulk</t>
  </si>
  <si>
    <t>Randolf</t>
  </si>
  <si>
    <t>Panchin</t>
  </si>
  <si>
    <t>Menard</t>
  </si>
  <si>
    <t>Bottelstone</t>
  </si>
  <si>
    <t>Charil</t>
  </si>
  <si>
    <t>Crumpe</t>
  </si>
  <si>
    <t>Forrester</t>
  </si>
  <si>
    <t>Le Gall</t>
  </si>
  <si>
    <t>Edgar</t>
  </si>
  <si>
    <t>Spragg</t>
  </si>
  <si>
    <t>Jasen</t>
  </si>
  <si>
    <t>Coleiro</t>
  </si>
  <si>
    <t>Bibbie</t>
  </si>
  <si>
    <t>Stener</t>
  </si>
  <si>
    <t>Anallese</t>
  </si>
  <si>
    <t>Eynon</t>
  </si>
  <si>
    <t>Tripp</t>
  </si>
  <si>
    <t>Redgrave</t>
  </si>
  <si>
    <t>Marley</t>
  </si>
  <si>
    <t>Trowsdall</t>
  </si>
  <si>
    <t>Abbot</t>
  </si>
  <si>
    <t>Shenfish</t>
  </si>
  <si>
    <t>Cam</t>
  </si>
  <si>
    <t>Lailey</t>
  </si>
  <si>
    <t>Blancha</t>
  </si>
  <si>
    <t>Stiegar</t>
  </si>
  <si>
    <t>Dannie</t>
  </si>
  <si>
    <t>Paike</t>
  </si>
  <si>
    <t>Ezra</t>
  </si>
  <si>
    <t>Crasford</t>
  </si>
  <si>
    <t>Shirleen</t>
  </si>
  <si>
    <t>Beal</t>
  </si>
  <si>
    <t>Gustave</t>
  </si>
  <si>
    <t>Eubank</t>
  </si>
  <si>
    <t>Brod</t>
  </si>
  <si>
    <t>Bunford</t>
  </si>
  <si>
    <t>Josepha</t>
  </si>
  <si>
    <t>Reith</t>
  </si>
  <si>
    <t>Ailis</t>
  </si>
  <si>
    <t>Strapp</t>
  </si>
  <si>
    <t>Caldwell</t>
  </si>
  <si>
    <t>MacLise</t>
  </si>
  <si>
    <t>Abner</t>
  </si>
  <si>
    <t>Dilon</t>
  </si>
  <si>
    <t>Shaughn</t>
  </si>
  <si>
    <t>Pitcock</t>
  </si>
  <si>
    <t>Vinny</t>
  </si>
  <si>
    <t>Blackah</t>
  </si>
  <si>
    <t>Jarid</t>
  </si>
  <si>
    <t>Beggin</t>
  </si>
  <si>
    <t>Doreen</t>
  </si>
  <si>
    <t>Collymore</t>
  </si>
  <si>
    <t>Sari</t>
  </si>
  <si>
    <t>Harfleet</t>
  </si>
  <si>
    <t>Elinore</t>
  </si>
  <si>
    <t>Woollends</t>
  </si>
  <si>
    <t>Andreana</t>
  </si>
  <si>
    <t>Ship</t>
  </si>
  <si>
    <t>Danila</t>
  </si>
  <si>
    <t>Habergham</t>
  </si>
  <si>
    <t>Lloyd</t>
  </si>
  <si>
    <t>Frake</t>
  </si>
  <si>
    <t>Maxy</t>
  </si>
  <si>
    <t>Sheepy</t>
  </si>
  <si>
    <t>Englebert</t>
  </si>
  <si>
    <t>Boothman</t>
  </si>
  <si>
    <t>Berget</t>
  </si>
  <si>
    <t>Jowling</t>
  </si>
  <si>
    <t>Mady</t>
  </si>
  <si>
    <t>Lynn</t>
  </si>
  <si>
    <t>Germayne</t>
  </si>
  <si>
    <t>Stiggles</t>
  </si>
  <si>
    <t>Jdavie</t>
  </si>
  <si>
    <t>Lombardo</t>
  </si>
  <si>
    <t>Conrado</t>
  </si>
  <si>
    <t>Geering</t>
  </si>
  <si>
    <t>Allayne</t>
  </si>
  <si>
    <t>Bolte</t>
  </si>
  <si>
    <t>Alejoa</t>
  </si>
  <si>
    <t>Hanlin</t>
  </si>
  <si>
    <t>Tanya</t>
  </si>
  <si>
    <t>Poyner</t>
  </si>
  <si>
    <t>Darrin</t>
  </si>
  <si>
    <t>Fawdrey</t>
  </si>
  <si>
    <t>Birgitta</t>
  </si>
  <si>
    <t>Swettenham</t>
  </si>
  <si>
    <t>Carie</t>
  </si>
  <si>
    <t>Snartt</t>
  </si>
  <si>
    <t>Emelia</t>
  </si>
  <si>
    <t>Ricart</t>
  </si>
  <si>
    <t>Lalo</t>
  </si>
  <si>
    <t>Thurborn</t>
  </si>
  <si>
    <t>Alfred</t>
  </si>
  <si>
    <t>Goodsall</t>
  </si>
  <si>
    <t>Fehner</t>
  </si>
  <si>
    <t>Vernen</t>
  </si>
  <si>
    <t>Rowthorne</t>
  </si>
  <si>
    <t>Meredith</t>
  </si>
  <si>
    <t>Djakovic</t>
  </si>
  <si>
    <t>Guenna</t>
  </si>
  <si>
    <t>Klimko</t>
  </si>
  <si>
    <t>Norry</t>
  </si>
  <si>
    <t>Millyard</t>
  </si>
  <si>
    <t>Cherey</t>
  </si>
  <si>
    <t>Hoyes</t>
  </si>
  <si>
    <t>Nicholle</t>
  </si>
  <si>
    <t>Bodman</t>
  </si>
  <si>
    <t>Ariel</t>
  </si>
  <si>
    <t>Kibel</t>
  </si>
  <si>
    <t>Artair</t>
  </si>
  <si>
    <t>Walls</t>
  </si>
  <si>
    <t>Axel</t>
  </si>
  <si>
    <t>Ferreli</t>
  </si>
  <si>
    <t>Deena</t>
  </si>
  <si>
    <t>Matton</t>
  </si>
  <si>
    <t>Shea</t>
  </si>
  <si>
    <t>Courcey</t>
  </si>
  <si>
    <t>Dawn</t>
  </si>
  <si>
    <t>Sansum</t>
  </si>
  <si>
    <t>Ketti</t>
  </si>
  <si>
    <t>Simonnet</t>
  </si>
  <si>
    <t>Gardy</t>
  </si>
  <si>
    <t>Firminger</t>
  </si>
  <si>
    <t>Alysa</t>
  </si>
  <si>
    <t>Sackes</t>
  </si>
  <si>
    <t>Roderic</t>
  </si>
  <si>
    <t>Krzyzaniak</t>
  </si>
  <si>
    <t>Natalya</t>
  </si>
  <si>
    <t>Skelly</t>
  </si>
  <si>
    <t>Cirilo</t>
  </si>
  <si>
    <t>Mee</t>
  </si>
  <si>
    <t>Stevie</t>
  </si>
  <si>
    <t>Rapson</t>
  </si>
  <si>
    <t>Rafaela</t>
  </si>
  <si>
    <t>Baudain</t>
  </si>
  <si>
    <t>Sigismondo</t>
  </si>
  <si>
    <t>Gerrish</t>
  </si>
  <si>
    <t>Lauralee</t>
  </si>
  <si>
    <t>Murtagh</t>
  </si>
  <si>
    <t>Julio</t>
  </si>
  <si>
    <t>Rodenhurst</t>
  </si>
  <si>
    <t>Willis</t>
  </si>
  <si>
    <t>Durling</t>
  </si>
  <si>
    <t>Vita</t>
  </si>
  <si>
    <t>Nozzolinii</t>
  </si>
  <si>
    <t>Melisenda</t>
  </si>
  <si>
    <t>Benedicto</t>
  </si>
  <si>
    <t>Tim</t>
  </si>
  <si>
    <t>Preshaw</t>
  </si>
  <si>
    <t>Deerdre</t>
  </si>
  <si>
    <t>Matas</t>
  </si>
  <si>
    <t>Drud</t>
  </si>
  <si>
    <t>Ciardo</t>
  </si>
  <si>
    <t>Federico</t>
  </si>
  <si>
    <t>Barcroft</t>
  </si>
  <si>
    <t>Sunny</t>
  </si>
  <si>
    <t>Tonbye</t>
  </si>
  <si>
    <t>Tobit</t>
  </si>
  <si>
    <t>McDougle</t>
  </si>
  <si>
    <t>Ryon</t>
  </si>
  <si>
    <t>Meran</t>
  </si>
  <si>
    <t>Brendin</t>
  </si>
  <si>
    <t>Shepeard</t>
  </si>
  <si>
    <t>Roxane</t>
  </si>
  <si>
    <t>Capsey</t>
  </si>
  <si>
    <t>Beckie</t>
  </si>
  <si>
    <t>De Mattei</t>
  </si>
  <si>
    <t>Jeddy</t>
  </si>
  <si>
    <t>Sorbie</t>
  </si>
  <si>
    <t>Brana</t>
  </si>
  <si>
    <t>Duffell</t>
  </si>
  <si>
    <t>Meridith</t>
  </si>
  <si>
    <t>Swadden</t>
  </si>
  <si>
    <t>Amelina</t>
  </si>
  <si>
    <t>Edgett</t>
  </si>
  <si>
    <t>Rheta</t>
  </si>
  <si>
    <t>Westmerland</t>
  </si>
  <si>
    <t>Lucita</t>
  </si>
  <si>
    <t>Gohn</t>
  </si>
  <si>
    <t>Jannelle</t>
  </si>
  <si>
    <t>Isack</t>
  </si>
  <si>
    <t>Orelia</t>
  </si>
  <si>
    <t>Carleman</t>
  </si>
  <si>
    <t>Sashenka</t>
  </si>
  <si>
    <t>Abreheart</t>
  </si>
  <si>
    <t>Bernadine</t>
  </si>
  <si>
    <t>Coper</t>
  </si>
  <si>
    <t>Roxanne</t>
  </si>
  <si>
    <t>Birkby</t>
  </si>
  <si>
    <t>Rosette</t>
  </si>
  <si>
    <t>Follitt</t>
  </si>
  <si>
    <t>Chevy</t>
  </si>
  <si>
    <t>Whaley</t>
  </si>
  <si>
    <t>Cynthia</t>
  </si>
  <si>
    <t>Clemenceau</t>
  </si>
  <si>
    <t>Nataniel</t>
  </si>
  <si>
    <t>Sommer</t>
  </si>
  <si>
    <t>Sloan</t>
  </si>
  <si>
    <t>Wakeman</t>
  </si>
  <si>
    <t>Kigelman</t>
  </si>
  <si>
    <t>Lilas</t>
  </si>
  <si>
    <t>Pasterfield</t>
  </si>
  <si>
    <t>Cristina</t>
  </si>
  <si>
    <t>Adcocks</t>
  </si>
  <si>
    <t>Karena</t>
  </si>
  <si>
    <t>Agostini</t>
  </si>
  <si>
    <t>Dominick</t>
  </si>
  <si>
    <t>Dawton</t>
  </si>
  <si>
    <t>Merill</t>
  </si>
  <si>
    <t>Raffeorty</t>
  </si>
  <si>
    <t>Emilee</t>
  </si>
  <si>
    <t>Pallasch</t>
  </si>
  <si>
    <t>Warden</t>
  </si>
  <si>
    <t>Stanaway</t>
  </si>
  <si>
    <t>Michale</t>
  </si>
  <si>
    <t>Lorriman</t>
  </si>
  <si>
    <t>Claudetta</t>
  </si>
  <si>
    <t>Feetham</t>
  </si>
  <si>
    <t>Adolph</t>
  </si>
  <si>
    <t>Dighton</t>
  </si>
  <si>
    <t>Brander</t>
  </si>
  <si>
    <t>Ransfield</t>
  </si>
  <si>
    <t>Murielle</t>
  </si>
  <si>
    <t>McChesney</t>
  </si>
  <si>
    <t>Mart</t>
  </si>
  <si>
    <t>Eckh</t>
  </si>
  <si>
    <t>Wiatt</t>
  </si>
  <si>
    <t>Dummer</t>
  </si>
  <si>
    <t>Rich</t>
  </si>
  <si>
    <t>Izaac</t>
  </si>
  <si>
    <t>Silvia</t>
  </si>
  <si>
    <t>Mulvihill</t>
  </si>
  <si>
    <t>Hannie</t>
  </si>
  <si>
    <t>Monahan</t>
  </si>
  <si>
    <t>Mario</t>
  </si>
  <si>
    <t>MacAnellye</t>
  </si>
  <si>
    <t>Dow</t>
  </si>
  <si>
    <t>Teodor</t>
  </si>
  <si>
    <t>Leavey</t>
  </si>
  <si>
    <t>Bram</t>
  </si>
  <si>
    <t>Armiger</t>
  </si>
  <si>
    <t>Wrennie</t>
  </si>
  <si>
    <t>Blanket</t>
  </si>
  <si>
    <t>Elora</t>
  </si>
  <si>
    <t>Barlas</t>
  </si>
  <si>
    <t>Curran</t>
  </si>
  <si>
    <t>Tanner</t>
  </si>
  <si>
    <t>Dineen</t>
  </si>
  <si>
    <t>Steward</t>
  </si>
  <si>
    <t>Putt</t>
  </si>
  <si>
    <t>Shannan</t>
  </si>
  <si>
    <t>Edsall</t>
  </si>
  <si>
    <t>Glenine</t>
  </si>
  <si>
    <t>Awton</t>
  </si>
  <si>
    <t>Earl</t>
  </si>
  <si>
    <t>Stainsby</t>
  </si>
  <si>
    <t>Curtis</t>
  </si>
  <si>
    <t>Dacres</t>
  </si>
  <si>
    <t>Ashli</t>
  </si>
  <si>
    <t>Kiendl</t>
  </si>
  <si>
    <t>Berty</t>
  </si>
  <si>
    <t>Skillett</t>
  </si>
  <si>
    <t>Shaine</t>
  </si>
  <si>
    <t>Capelen</t>
  </si>
  <si>
    <t>Kamila</t>
  </si>
  <si>
    <t>Martinek</t>
  </si>
  <si>
    <t>Waldo</t>
  </si>
  <si>
    <t>Snar</t>
  </si>
  <si>
    <t>Langsdon</t>
  </si>
  <si>
    <t>Fardon</t>
  </si>
  <si>
    <t>Devonne</t>
  </si>
  <si>
    <t>Olin</t>
  </si>
  <si>
    <t>Nanci</t>
  </si>
  <si>
    <t>McCallam</t>
  </si>
  <si>
    <t>Cracker</t>
  </si>
  <si>
    <t>Nanny</t>
  </si>
  <si>
    <t>Reder</t>
  </si>
  <si>
    <t>Avram</t>
  </si>
  <si>
    <t>Chorlton</t>
  </si>
  <si>
    <t>Pyotr</t>
  </si>
  <si>
    <t>Pullinger</t>
  </si>
  <si>
    <t>Stanwood</t>
  </si>
  <si>
    <t>Prestidge</t>
  </si>
  <si>
    <t>Skipton</t>
  </si>
  <si>
    <t>Deetch</t>
  </si>
  <si>
    <t>Minne</t>
  </si>
  <si>
    <t>Zebedee</t>
  </si>
  <si>
    <t>Dominga</t>
  </si>
  <si>
    <t>Genese</t>
  </si>
  <si>
    <t>Yvor</t>
  </si>
  <si>
    <t>Gurery</t>
  </si>
  <si>
    <t>Isabel</t>
  </si>
  <si>
    <t>Fenn</t>
  </si>
  <si>
    <t>Korey</t>
  </si>
  <si>
    <t>Fairhead</t>
  </si>
  <si>
    <t>Nelia</t>
  </si>
  <si>
    <t>Rozenzweig</t>
  </si>
  <si>
    <t>Tozer</t>
  </si>
  <si>
    <t>Gunter</t>
  </si>
  <si>
    <t>Cossor</t>
  </si>
  <si>
    <t>Zahara</t>
  </si>
  <si>
    <t>Yaneev</t>
  </si>
  <si>
    <t>Robinetta</t>
  </si>
  <si>
    <t>Dugget</t>
  </si>
  <si>
    <t>Karlie</t>
  </si>
  <si>
    <t>Welfare</t>
  </si>
  <si>
    <t>Ward</t>
  </si>
  <si>
    <t>Laverick</t>
  </si>
  <si>
    <t>Ghest</t>
  </si>
  <si>
    <t>Raul</t>
  </si>
  <si>
    <t>Corradino</t>
  </si>
  <si>
    <t>Keven</t>
  </si>
  <si>
    <t>Karslake</t>
  </si>
  <si>
    <t>Essy</t>
  </si>
  <si>
    <t>Burbage</t>
  </si>
  <si>
    <t>Alameda</t>
  </si>
  <si>
    <t>Shimony</t>
  </si>
  <si>
    <t>Balduin</t>
  </si>
  <si>
    <t>De Vile</t>
  </si>
  <si>
    <t>Lyn</t>
  </si>
  <si>
    <t>MacDunlevy</t>
  </si>
  <si>
    <t>Cyril</t>
  </si>
  <si>
    <t>Gornal</t>
  </si>
  <si>
    <t>Zachariah</t>
  </si>
  <si>
    <t>Eddies</t>
  </si>
  <si>
    <t>Nissy</t>
  </si>
  <si>
    <t>Dochon</t>
  </si>
  <si>
    <t>Ninette</t>
  </si>
  <si>
    <t>Lacoste</t>
  </si>
  <si>
    <t>Elayne</t>
  </si>
  <si>
    <t>Bovingdon</t>
  </si>
  <si>
    <t>Noreen</t>
  </si>
  <si>
    <t>McGinley</t>
  </si>
  <si>
    <t>Bar</t>
  </si>
  <si>
    <t>Petruszka</t>
  </si>
  <si>
    <t>Royal</t>
  </si>
  <si>
    <t>Oakwell</t>
  </si>
  <si>
    <t>Amory</t>
  </si>
  <si>
    <t>Burgher</t>
  </si>
  <si>
    <t>Malva</t>
  </si>
  <si>
    <t>Rosendahl</t>
  </si>
  <si>
    <t>Cathryn</t>
  </si>
  <si>
    <t>Boyde</t>
  </si>
  <si>
    <t>Rosetta</t>
  </si>
  <si>
    <t>Hickford</t>
  </si>
  <si>
    <t>Ogdan</t>
  </si>
  <si>
    <t>Kivell</t>
  </si>
  <si>
    <t>Dwight</t>
  </si>
  <si>
    <t>Scanlon</t>
  </si>
  <si>
    <t>Willy</t>
  </si>
  <si>
    <t>Sutherland</t>
  </si>
  <si>
    <t>Jacinthe</t>
  </si>
  <si>
    <t>France</t>
  </si>
  <si>
    <t>Evelin</t>
  </si>
  <si>
    <t>Halesworth</t>
  </si>
  <si>
    <t>Gordon</t>
  </si>
  <si>
    <t>McCue</t>
  </si>
  <si>
    <t>Lanae</t>
  </si>
  <si>
    <t>Creer</t>
  </si>
  <si>
    <t>Bennie</t>
  </si>
  <si>
    <t>Mowle</t>
  </si>
  <si>
    <t>Chicky</t>
  </si>
  <si>
    <t>Tchir</t>
  </si>
  <si>
    <t>Nariko</t>
  </si>
  <si>
    <t>Danniel</t>
  </si>
  <si>
    <t>Hailey</t>
  </si>
  <si>
    <t>Wescott</t>
  </si>
  <si>
    <t>Thurston</t>
  </si>
  <si>
    <t>Newns</t>
  </si>
  <si>
    <t>Priscella</t>
  </si>
  <si>
    <t>Shires</t>
  </si>
  <si>
    <t>Pierce</t>
  </si>
  <si>
    <t>Putson</t>
  </si>
  <si>
    <t>Danie</t>
  </si>
  <si>
    <t>Vallance</t>
  </si>
  <si>
    <t>Chickie</t>
  </si>
  <si>
    <t>Gurge</t>
  </si>
  <si>
    <t>Melicent</t>
  </si>
  <si>
    <t>Lanchbery</t>
  </si>
  <si>
    <t>Eberhard</t>
  </si>
  <si>
    <t>Poundford</t>
  </si>
  <si>
    <t>Mair</t>
  </si>
  <si>
    <t>Wooster</t>
  </si>
  <si>
    <t>Reiko</t>
  </si>
  <si>
    <t>Gayle</t>
  </si>
  <si>
    <t>Shandra</t>
  </si>
  <si>
    <t>Plastow</t>
  </si>
  <si>
    <t>Daron</t>
  </si>
  <si>
    <t>Presnail</t>
  </si>
  <si>
    <t>Merissa</t>
  </si>
  <si>
    <t>Smiz</t>
  </si>
  <si>
    <t>Jefferson</t>
  </si>
  <si>
    <t>Ravenshaw</t>
  </si>
  <si>
    <t>Rene</t>
  </si>
  <si>
    <t>Yexley</t>
  </si>
  <si>
    <t>Miguelita</t>
  </si>
  <si>
    <t>Walrond</t>
  </si>
  <si>
    <t>Jaclyn</t>
  </si>
  <si>
    <t>Brittain</t>
  </si>
  <si>
    <t>Kassandra</t>
  </si>
  <si>
    <t>Goman</t>
  </si>
  <si>
    <t>Nikoletta</t>
  </si>
  <si>
    <t>McCart</t>
  </si>
  <si>
    <t>Colthurst</t>
  </si>
  <si>
    <t>Wanda</t>
  </si>
  <si>
    <t>Bradforth</t>
  </si>
  <si>
    <t>Roseann</t>
  </si>
  <si>
    <t>Surr</t>
  </si>
  <si>
    <t>Kipp</t>
  </si>
  <si>
    <t>Eathorne</t>
  </si>
  <si>
    <t>Edlin</t>
  </si>
  <si>
    <t>Wildash</t>
  </si>
  <si>
    <t>Ferdinand</t>
  </si>
  <si>
    <t>Mawditt</t>
  </si>
  <si>
    <t>Tracey</t>
  </si>
  <si>
    <t>Owens</t>
  </si>
  <si>
    <t>Loren</t>
  </si>
  <si>
    <t>Choules</t>
  </si>
  <si>
    <t>Selby</t>
  </si>
  <si>
    <t>Schnieder</t>
  </si>
  <si>
    <t>Carry</t>
  </si>
  <si>
    <t>Lackham</t>
  </si>
  <si>
    <t>Annabel</t>
  </si>
  <si>
    <t>Joney</t>
  </si>
  <si>
    <t>Tony</t>
  </si>
  <si>
    <t>Roselli</t>
  </si>
  <si>
    <t>Aurthur</t>
  </si>
  <si>
    <t>Wingeat</t>
  </si>
  <si>
    <t>Horacio</t>
  </si>
  <si>
    <t>McKerrow</t>
  </si>
  <si>
    <t>Anders</t>
  </si>
  <si>
    <t>Bison</t>
  </si>
  <si>
    <t>Solly</t>
  </si>
  <si>
    <t>Boden</t>
  </si>
  <si>
    <t>Desmund</t>
  </si>
  <si>
    <t>Banks</t>
  </si>
  <si>
    <t>Leonard</t>
  </si>
  <si>
    <t>Di Angelo</t>
  </si>
  <si>
    <t>Kennett</t>
  </si>
  <si>
    <t>Pettifor</t>
  </si>
  <si>
    <t>Leora</t>
  </si>
  <si>
    <t>Emanuelov</t>
  </si>
  <si>
    <t>Artus</t>
  </si>
  <si>
    <t>O'Fallowne</t>
  </si>
  <si>
    <t>Dolph</t>
  </si>
  <si>
    <t>Saturley</t>
  </si>
  <si>
    <t>Ketteringham</t>
  </si>
  <si>
    <t>Collette</t>
  </si>
  <si>
    <t>Renshell</t>
  </si>
  <si>
    <t>Armin</t>
  </si>
  <si>
    <t>Richfield</t>
  </si>
  <si>
    <t>Evonne</t>
  </si>
  <si>
    <t>Benford</t>
  </si>
  <si>
    <t>Witty</t>
  </si>
  <si>
    <t>Peret</t>
  </si>
  <si>
    <t>Pearle</t>
  </si>
  <si>
    <t>Hillitt</t>
  </si>
  <si>
    <t>Winne</t>
  </si>
  <si>
    <t>Stouther</t>
  </si>
  <si>
    <t>Lewiss</t>
  </si>
  <si>
    <t>Netley</t>
  </si>
  <si>
    <t>Delphine</t>
  </si>
  <si>
    <t>Yole</t>
  </si>
  <si>
    <t>Nye</t>
  </si>
  <si>
    <t>Henriksson</t>
  </si>
  <si>
    <t>Gabie</t>
  </si>
  <si>
    <t>Berthome</t>
  </si>
  <si>
    <t>Ornells</t>
  </si>
  <si>
    <t>Terry</t>
  </si>
  <si>
    <t>Sibbs</t>
  </si>
  <si>
    <t>Elroy</t>
  </si>
  <si>
    <t>Rossbrooke</t>
  </si>
  <si>
    <t>Verina</t>
  </si>
  <si>
    <t>Cubin</t>
  </si>
  <si>
    <t>Addy</t>
  </si>
  <si>
    <t>Bucktrout</t>
  </si>
  <si>
    <t>Deloria</t>
  </si>
  <si>
    <t>Siddon</t>
  </si>
  <si>
    <t>Torrance</t>
  </si>
  <si>
    <t>Gors</t>
  </si>
  <si>
    <t>Gratiana</t>
  </si>
  <si>
    <t>Robert</t>
  </si>
  <si>
    <t>Jana</t>
  </si>
  <si>
    <t>Seakings</t>
  </si>
  <si>
    <t>Kattie</t>
  </si>
  <si>
    <t>Chesson</t>
  </si>
  <si>
    <t>Philbert</t>
  </si>
  <si>
    <t>Millin</t>
  </si>
  <si>
    <t>Abdul</t>
  </si>
  <si>
    <t>Langstaff</t>
  </si>
  <si>
    <t>Roselle</t>
  </si>
  <si>
    <t>Smullen</t>
  </si>
  <si>
    <t>Blane</t>
  </si>
  <si>
    <t>Meads</t>
  </si>
  <si>
    <t>Remington</t>
  </si>
  <si>
    <t>Adger</t>
  </si>
  <si>
    <t>Bailie</t>
  </si>
  <si>
    <t>Ricarde</t>
  </si>
  <si>
    <t>Stephenie</t>
  </si>
  <si>
    <t>Libbe</t>
  </si>
  <si>
    <t>Rosemonde</t>
  </si>
  <si>
    <t>Surgen</t>
  </si>
  <si>
    <t>Ralf</t>
  </si>
  <si>
    <t>Earengey</t>
  </si>
  <si>
    <t>Doddridge</t>
  </si>
  <si>
    <t>Raleigh</t>
  </si>
  <si>
    <t>Dowsett</t>
  </si>
  <si>
    <t>Noelani</t>
  </si>
  <si>
    <t>Laight</t>
  </si>
  <si>
    <t>Abbie</t>
  </si>
  <si>
    <t>Sainthill</t>
  </si>
  <si>
    <t>Shepperd</t>
  </si>
  <si>
    <t>Allon</t>
  </si>
  <si>
    <t>Haily</t>
  </si>
  <si>
    <t>Denyagin</t>
  </si>
  <si>
    <t>Bernetta</t>
  </si>
  <si>
    <t>Aird</t>
  </si>
  <si>
    <t>Benny</t>
  </si>
  <si>
    <t>Normavell</t>
  </si>
  <si>
    <t>Thatch</t>
  </si>
  <si>
    <t>Kirvin</t>
  </si>
  <si>
    <t>Skyler</t>
  </si>
  <si>
    <t>Abercromby</t>
  </si>
  <si>
    <t>Richardo</t>
  </si>
  <si>
    <t>Cresser</t>
  </si>
  <si>
    <t>Sarene</t>
  </si>
  <si>
    <t>Harrington</t>
  </si>
  <si>
    <t>Juli</t>
  </si>
  <si>
    <t>Skelington</t>
  </si>
  <si>
    <t>Guendolen</t>
  </si>
  <si>
    <t>Jaouen</t>
  </si>
  <si>
    <t>Melodee</t>
  </si>
  <si>
    <t>Everwin</t>
  </si>
  <si>
    <t>Adelind</t>
  </si>
  <si>
    <t>Pierrepont</t>
  </si>
  <si>
    <t>Clementina</t>
  </si>
  <si>
    <t>Pudsall</t>
  </si>
  <si>
    <t>Ottilie</t>
  </si>
  <si>
    <t>Brennans</t>
  </si>
  <si>
    <t>Giovanna</t>
  </si>
  <si>
    <t>Casement</t>
  </si>
  <si>
    <t>Phoebe</t>
  </si>
  <si>
    <t>Richardon</t>
  </si>
  <si>
    <t>Jarib</t>
  </si>
  <si>
    <t>Akred</t>
  </si>
  <si>
    <t>Joanie</t>
  </si>
  <si>
    <t>Venus</t>
  </si>
  <si>
    <t>Bambie</t>
  </si>
  <si>
    <t>Keeping</t>
  </si>
  <si>
    <t>Dorelia</t>
  </si>
  <si>
    <t>Ovey</t>
  </si>
  <si>
    <t>Aleece</t>
  </si>
  <si>
    <t>Kollas</t>
  </si>
  <si>
    <t>Katerine</t>
  </si>
  <si>
    <t>Polack</t>
  </si>
  <si>
    <t>Manya</t>
  </si>
  <si>
    <t>Brafield</t>
  </si>
  <si>
    <t>Brodie</t>
  </si>
  <si>
    <t>Andrews</t>
  </si>
  <si>
    <t>Prentiss</t>
  </si>
  <si>
    <t>Tremaine</t>
  </si>
  <si>
    <t>Gary</t>
  </si>
  <si>
    <t>Jiroutka</t>
  </si>
  <si>
    <t>Nobe</t>
  </si>
  <si>
    <t>O'Nowlan</t>
  </si>
  <si>
    <t>Pavel</t>
  </si>
  <si>
    <t>Gibke</t>
  </si>
  <si>
    <t>Niko</t>
  </si>
  <si>
    <t>Crimmins</t>
  </si>
  <si>
    <t>Karole</t>
  </si>
  <si>
    <t>Rix</t>
  </si>
  <si>
    <t>Maggie</t>
  </si>
  <si>
    <t>Thombleson</t>
  </si>
  <si>
    <t>Demeter</t>
  </si>
  <si>
    <t>O'Ferris</t>
  </si>
  <si>
    <t>Nora</t>
  </si>
  <si>
    <t>Babon</t>
  </si>
  <si>
    <t>Chrisy</t>
  </si>
  <si>
    <t>Bend</t>
  </si>
  <si>
    <t>Garrick</t>
  </si>
  <si>
    <t>Duncan</t>
  </si>
  <si>
    <t>Chichgar</t>
  </si>
  <si>
    <t>Steffen</t>
  </si>
  <si>
    <t>Scirman</t>
  </si>
  <si>
    <t>Dorrie</t>
  </si>
  <si>
    <t>Binden</t>
  </si>
  <si>
    <t>Julienne</t>
  </si>
  <si>
    <t>Izaks</t>
  </si>
  <si>
    <t>Fonsie</t>
  </si>
  <si>
    <t>Silversmid</t>
  </si>
  <si>
    <t>Beseke</t>
  </si>
  <si>
    <t>Corrina</t>
  </si>
  <si>
    <t>Collie</t>
  </si>
  <si>
    <t>Garwin</t>
  </si>
  <si>
    <t>Geri</t>
  </si>
  <si>
    <t>Katherina</t>
  </si>
  <si>
    <t>Grushin</t>
  </si>
  <si>
    <t>Olia</t>
  </si>
  <si>
    <t>Allchorn</t>
  </si>
  <si>
    <t>Lori</t>
  </si>
  <si>
    <t>Rainford</t>
  </si>
  <si>
    <t>Welbie</t>
  </si>
  <si>
    <t>Di Bernardo</t>
  </si>
  <si>
    <t>Edik</t>
  </si>
  <si>
    <t>Laye</t>
  </si>
  <si>
    <t>Ollie</t>
  </si>
  <si>
    <t>Stair</t>
  </si>
  <si>
    <t>Kerrie</t>
  </si>
  <si>
    <t>Woller</t>
  </si>
  <si>
    <t>Ursulina</t>
  </si>
  <si>
    <t>Biffin</t>
  </si>
  <si>
    <t>Hastings</t>
  </si>
  <si>
    <t>Kirsche</t>
  </si>
  <si>
    <t>Dennie</t>
  </si>
  <si>
    <t>Persian</t>
  </si>
  <si>
    <t>Jillane</t>
  </si>
  <si>
    <t>Sherborn</t>
  </si>
  <si>
    <t>Ricca</t>
  </si>
  <si>
    <t>Wetton</t>
  </si>
  <si>
    <t>Angelina</t>
  </si>
  <si>
    <t>Stoneham</t>
  </si>
  <si>
    <t>Samuel</t>
  </si>
  <si>
    <t>Lowmass</t>
  </si>
  <si>
    <t>Sydney</t>
  </si>
  <si>
    <t>Keitley</t>
  </si>
  <si>
    <t>Ulla</t>
  </si>
  <si>
    <t>Brough</t>
  </si>
  <si>
    <t>Andria</t>
  </si>
  <si>
    <t>Mattinson</t>
  </si>
  <si>
    <t>Lolita</t>
  </si>
  <si>
    <t>Sidary</t>
  </si>
  <si>
    <t>Florette</t>
  </si>
  <si>
    <t>Ewenson</t>
  </si>
  <si>
    <t>Vince</t>
  </si>
  <si>
    <t>Priestman</t>
  </si>
  <si>
    <t>Loleta</t>
  </si>
  <si>
    <t>Longhi</t>
  </si>
  <si>
    <t>Carrissa</t>
  </si>
  <si>
    <t>Coldicott</t>
  </si>
  <si>
    <t>Van</t>
  </si>
  <si>
    <t>Bertina</t>
  </si>
  <si>
    <t>Munsey</t>
  </si>
  <si>
    <t>Gimenez</t>
  </si>
  <si>
    <t>Fin</t>
  </si>
  <si>
    <t>Bengtsson</t>
  </si>
  <si>
    <t>Basil</t>
  </si>
  <si>
    <t>Ruffell</t>
  </si>
  <si>
    <t>Shelley</t>
  </si>
  <si>
    <t>O'Doherty</t>
  </si>
  <si>
    <t>Neesham</t>
  </si>
  <si>
    <t>Mirabella</t>
  </si>
  <si>
    <t>Dare</t>
  </si>
  <si>
    <t>Mira</t>
  </si>
  <si>
    <t>Aim</t>
  </si>
  <si>
    <t>Gaspar</t>
  </si>
  <si>
    <t>Murrill</t>
  </si>
  <si>
    <t>Bazley</t>
  </si>
  <si>
    <t>Fidole</t>
  </si>
  <si>
    <t>Whife</t>
  </si>
  <si>
    <t>Danny</t>
  </si>
  <si>
    <t>Giannazzo</t>
  </si>
  <si>
    <t>Chev</t>
  </si>
  <si>
    <t>Gabey</t>
  </si>
  <si>
    <t>Pietro</t>
  </si>
  <si>
    <t>Otridge</t>
  </si>
  <si>
    <t>Garvin</t>
  </si>
  <si>
    <t>Mooreed</t>
  </si>
  <si>
    <t>Mahalia</t>
  </si>
  <si>
    <t>Massenhove</t>
  </si>
  <si>
    <t>Lilia</t>
  </si>
  <si>
    <t>Lambirth</t>
  </si>
  <si>
    <t>Vonni</t>
  </si>
  <si>
    <t>Chapman</t>
  </si>
  <si>
    <t>Kimberley</t>
  </si>
  <si>
    <t>Ziemke</t>
  </si>
  <si>
    <t>Glenden</t>
  </si>
  <si>
    <t>Pleavin</t>
  </si>
  <si>
    <t>Wilie</t>
  </si>
  <si>
    <t>Gilding</t>
  </si>
  <si>
    <t>Dacia</t>
  </si>
  <si>
    <t>Piniur</t>
  </si>
  <si>
    <t>Giacobo</t>
  </si>
  <si>
    <t>McMichell</t>
  </si>
  <si>
    <t>Emelda</t>
  </si>
  <si>
    <t>Dutchburn</t>
  </si>
  <si>
    <t>Floria</t>
  </si>
  <si>
    <t>Kingsbury</t>
  </si>
  <si>
    <t>Tabina</t>
  </si>
  <si>
    <t>Darton</t>
  </si>
  <si>
    <t>Bartolacci</t>
  </si>
  <si>
    <t>Patric</t>
  </si>
  <si>
    <t>Sollon</t>
  </si>
  <si>
    <t>Ardenia</t>
  </si>
  <si>
    <t>Eccleston</t>
  </si>
  <si>
    <t>Beverlee</t>
  </si>
  <si>
    <t>Stait</t>
  </si>
  <si>
    <t>Alayne</t>
  </si>
  <si>
    <t>Pogson</t>
  </si>
  <si>
    <t>Dionysus</t>
  </si>
  <si>
    <t>Lambourn</t>
  </si>
  <si>
    <t>Donal</t>
  </si>
  <si>
    <t>Guillot</t>
  </si>
  <si>
    <t>Bab</t>
  </si>
  <si>
    <t>Boulds</t>
  </si>
  <si>
    <t>Merrel</t>
  </si>
  <si>
    <t>Syms</t>
  </si>
  <si>
    <t>Meryl</t>
  </si>
  <si>
    <t>Casemore</t>
  </si>
  <si>
    <t>Jovanovic</t>
  </si>
  <si>
    <t>Jordain</t>
  </si>
  <si>
    <t>Alan</t>
  </si>
  <si>
    <t>Kristo</t>
  </si>
  <si>
    <t>Corkett</t>
  </si>
  <si>
    <t>Tate</t>
  </si>
  <si>
    <t>Tofanelli</t>
  </si>
  <si>
    <t>Hazel</t>
  </si>
  <si>
    <t>Seeler</t>
  </si>
  <si>
    <t>Nathanil</t>
  </si>
  <si>
    <t>Camplejohn</t>
  </si>
  <si>
    <t>Renelle</t>
  </si>
  <si>
    <t>Haselhurst</t>
  </si>
  <si>
    <t>Stefanie</t>
  </si>
  <si>
    <t>Emps</t>
  </si>
  <si>
    <t>Fairlie</t>
  </si>
  <si>
    <t>Hedden</t>
  </si>
  <si>
    <t>Rosita</t>
  </si>
  <si>
    <t>Hows</t>
  </si>
  <si>
    <t>Tova</t>
  </si>
  <si>
    <t>Given</t>
  </si>
  <si>
    <t>Loella</t>
  </si>
  <si>
    <t>Bonehill</t>
  </si>
  <si>
    <t>Benjy</t>
  </si>
  <si>
    <t>Lauder</t>
  </si>
  <si>
    <t>Husein</t>
  </si>
  <si>
    <t>Oddboy</t>
  </si>
  <si>
    <t>Rees</t>
  </si>
  <si>
    <t>Lyston</t>
  </si>
  <si>
    <t>Joe</t>
  </si>
  <si>
    <t>Conti</t>
  </si>
  <si>
    <t>Maughan</t>
  </si>
  <si>
    <t>Maure</t>
  </si>
  <si>
    <t>Popov</t>
  </si>
  <si>
    <t>Sullivan</t>
  </si>
  <si>
    <t>Heisham</t>
  </si>
  <si>
    <t>Beatrix</t>
  </si>
  <si>
    <t>Berzin</t>
  </si>
  <si>
    <t>Nessi</t>
  </si>
  <si>
    <t>Stretton</t>
  </si>
  <si>
    <t>Leonhard</t>
  </si>
  <si>
    <t>Thornthwaite</t>
  </si>
  <si>
    <t>Jeff</t>
  </si>
  <si>
    <t>Khotler</t>
  </si>
  <si>
    <t>Boris</t>
  </si>
  <si>
    <t>Nevett</t>
  </si>
  <si>
    <t>Lamar</t>
  </si>
  <si>
    <t>Spratling</t>
  </si>
  <si>
    <t>Larissa</t>
  </si>
  <si>
    <t>Wynne</t>
  </si>
  <si>
    <t>Peria</t>
  </si>
  <si>
    <t>Skittles</t>
  </si>
  <si>
    <t>Griz</t>
  </si>
  <si>
    <t>MacRory</t>
  </si>
  <si>
    <t>Vaclav</t>
  </si>
  <si>
    <t>Bedo</t>
  </si>
  <si>
    <t>Sally</t>
  </si>
  <si>
    <t>Mithon</t>
  </si>
  <si>
    <t>Sheffield</t>
  </si>
  <si>
    <t>Dods</t>
  </si>
  <si>
    <t>Haskell</t>
  </si>
  <si>
    <t>Crean</t>
  </si>
  <si>
    <t>Del</t>
  </si>
  <si>
    <t>Denisovich</t>
  </si>
  <si>
    <t>Bette</t>
  </si>
  <si>
    <t>Dacre</t>
  </si>
  <si>
    <t>Arblaster</t>
  </si>
  <si>
    <t>Culshew</t>
  </si>
  <si>
    <t>Shillington</t>
  </si>
  <si>
    <t>Kearney</t>
  </si>
  <si>
    <t>Hatterslay</t>
  </si>
  <si>
    <t>Bendix</t>
  </si>
  <si>
    <t>Glashby</t>
  </si>
  <si>
    <t>Jodee</t>
  </si>
  <si>
    <t>Biernat</t>
  </si>
  <si>
    <t>Aurelie</t>
  </si>
  <si>
    <t>Merriton</t>
  </si>
  <si>
    <t>Georgena</t>
  </si>
  <si>
    <t>Stoak</t>
  </si>
  <si>
    <t>Sharyl</t>
  </si>
  <si>
    <t>St. Clair</t>
  </si>
  <si>
    <t>Shalne</t>
  </si>
  <si>
    <t>Farncombe</t>
  </si>
  <si>
    <t>Nicky</t>
  </si>
  <si>
    <t>Dana</t>
  </si>
  <si>
    <t>Sheela</t>
  </si>
  <si>
    <t>Yewdall</t>
  </si>
  <si>
    <t>George</t>
  </si>
  <si>
    <t>Feldstern</t>
  </si>
  <si>
    <t>Winfield</t>
  </si>
  <si>
    <t>Leaton</t>
  </si>
  <si>
    <t>Dino</t>
  </si>
  <si>
    <t>Duerden</t>
  </si>
  <si>
    <t>Ursola</t>
  </si>
  <si>
    <t>De Freyne</t>
  </si>
  <si>
    <t>Jessee</t>
  </si>
  <si>
    <t>Myton</t>
  </si>
  <si>
    <t>Wylie</t>
  </si>
  <si>
    <t>Kiehl</t>
  </si>
  <si>
    <t>Gaynor</t>
  </si>
  <si>
    <t>Varnham</t>
  </si>
  <si>
    <t>Erskine</t>
  </si>
  <si>
    <t>Treamayne</t>
  </si>
  <si>
    <t>Jessamyn</t>
  </si>
  <si>
    <t>Lofts</t>
  </si>
  <si>
    <t>Tomasine</t>
  </si>
  <si>
    <t>Greig</t>
  </si>
  <si>
    <t>Dalton</t>
  </si>
  <si>
    <t>Ziems</t>
  </si>
  <si>
    <t>Perrine</t>
  </si>
  <si>
    <t>Elt</t>
  </si>
  <si>
    <t>Mabelle</t>
  </si>
  <si>
    <t>Stanistrete</t>
  </si>
  <si>
    <t>Abbi</t>
  </si>
  <si>
    <t>Batterson</t>
  </si>
  <si>
    <t>Adelaida</t>
  </si>
  <si>
    <t>Yewdale</t>
  </si>
  <si>
    <t>Nathalia</t>
  </si>
  <si>
    <t>Vickarman</t>
  </si>
  <si>
    <t>Maurizia</t>
  </si>
  <si>
    <t>Karpinski</t>
  </si>
  <si>
    <t>Rebekkah</t>
  </si>
  <si>
    <t>Lalevee</t>
  </si>
  <si>
    <t>Maegan</t>
  </si>
  <si>
    <t>Lidgertwood</t>
  </si>
  <si>
    <t>Sherill</t>
  </si>
  <si>
    <t>Macallam</t>
  </si>
  <si>
    <t>Olenka</t>
  </si>
  <si>
    <t>Jaime</t>
  </si>
  <si>
    <t>West</t>
  </si>
  <si>
    <t>Trippitt</t>
  </si>
  <si>
    <t>Cozmo</t>
  </si>
  <si>
    <t>Hawksworth</t>
  </si>
  <si>
    <t>Juanita</t>
  </si>
  <si>
    <t>Tromans</t>
  </si>
  <si>
    <t>Lindi</t>
  </si>
  <si>
    <t>Anstey</t>
  </si>
  <si>
    <t>Dorothy</t>
  </si>
  <si>
    <t>Plampin</t>
  </si>
  <si>
    <t>Kellen</t>
  </si>
  <si>
    <t>Beaven</t>
  </si>
  <si>
    <t>Sharlene</t>
  </si>
  <si>
    <t>Ferre</t>
  </si>
  <si>
    <t>Netty</t>
  </si>
  <si>
    <t>Clemenson</t>
  </si>
  <si>
    <t>Carolin</t>
  </si>
  <si>
    <t>Patching</t>
  </si>
  <si>
    <t>Suzy</t>
  </si>
  <si>
    <t>Bemlott</t>
  </si>
  <si>
    <t>Lynne</t>
  </si>
  <si>
    <t>Pingstone</t>
  </si>
  <si>
    <t>Rudyard</t>
  </si>
  <si>
    <t>Harbour</t>
  </si>
  <si>
    <t>Brena</t>
  </si>
  <si>
    <t>Noad</t>
  </si>
  <si>
    <t>Gay</t>
  </si>
  <si>
    <t>Loncaster</t>
  </si>
  <si>
    <t>Lexis</t>
  </si>
  <si>
    <t>Rosengren</t>
  </si>
  <si>
    <t>Rowen</t>
  </si>
  <si>
    <t>Greenwood</t>
  </si>
  <si>
    <t>Mikel</t>
  </si>
  <si>
    <t>Spuffard</t>
  </si>
  <si>
    <t>Olav</t>
  </si>
  <si>
    <t>Dethloff</t>
  </si>
  <si>
    <t>Natty</t>
  </si>
  <si>
    <t>Musto</t>
  </si>
  <si>
    <t>Nevsa</t>
  </si>
  <si>
    <t>Batty</t>
  </si>
  <si>
    <t>Heidi</t>
  </si>
  <si>
    <t>Lyon</t>
  </si>
  <si>
    <t>Durtnel</t>
  </si>
  <si>
    <t>Delcine</t>
  </si>
  <si>
    <t>Kleinsmuntz</t>
  </si>
  <si>
    <t>Toby</t>
  </si>
  <si>
    <t>Adds</t>
  </si>
  <si>
    <t>Arlene</t>
  </si>
  <si>
    <t>Hartus</t>
  </si>
  <si>
    <t>Bogays</t>
  </si>
  <si>
    <t>Tabatha</t>
  </si>
  <si>
    <t>O'Deoran</t>
  </si>
  <si>
    <t>Karel</t>
  </si>
  <si>
    <t>Bexley</t>
  </si>
  <si>
    <t>Colwell</t>
  </si>
  <si>
    <t>Tracee</t>
  </si>
  <si>
    <t>Tingly</t>
  </si>
  <si>
    <t>Pippo</t>
  </si>
  <si>
    <t>Audenis</t>
  </si>
  <si>
    <t>Walsh</t>
  </si>
  <si>
    <t>Fleming</t>
  </si>
  <si>
    <t>Grace</t>
  </si>
  <si>
    <t>Fagan</t>
  </si>
  <si>
    <t>Alister</t>
  </si>
  <si>
    <t>Doyle</t>
  </si>
  <si>
    <t>Ellis</t>
  </si>
  <si>
    <t>Snelling</t>
  </si>
  <si>
    <t>Judi</t>
  </si>
  <si>
    <t>Blaver</t>
  </si>
  <si>
    <t>Vanny</t>
  </si>
  <si>
    <t>Bransom</t>
  </si>
  <si>
    <t>Egor</t>
  </si>
  <si>
    <t>Meffen</t>
  </si>
  <si>
    <t>Everett</t>
  </si>
  <si>
    <t>Wigin</t>
  </si>
  <si>
    <t>Kayne</t>
  </si>
  <si>
    <t>Winsome</t>
  </si>
  <si>
    <t>Myrle</t>
  </si>
  <si>
    <t>Flanagan</t>
  </si>
  <si>
    <t>Inez</t>
  </si>
  <si>
    <t>Newland</t>
  </si>
  <si>
    <t>Guthry</t>
  </si>
  <si>
    <t>Courtenay</t>
  </si>
  <si>
    <t>Rycca</t>
  </si>
  <si>
    <t>Willgrass</t>
  </si>
  <si>
    <t>Andrei</t>
  </si>
  <si>
    <t>Darth</t>
  </si>
  <si>
    <t>Christyna</t>
  </si>
  <si>
    <t>Anthonies</t>
  </si>
  <si>
    <t>Marcy</t>
  </si>
  <si>
    <t>Palfreyman</t>
  </si>
  <si>
    <t>Ariana</t>
  </si>
  <si>
    <t>Easeman</t>
  </si>
  <si>
    <t>Karna</t>
  </si>
  <si>
    <t>Harner</t>
  </si>
  <si>
    <t>Tamra</t>
  </si>
  <si>
    <t>Oluwatoyin</t>
  </si>
  <si>
    <t>Kristoforo</t>
  </si>
  <si>
    <t>Brooks</t>
  </si>
  <si>
    <t>Samuele</t>
  </si>
  <si>
    <t>Abrami</t>
  </si>
  <si>
    <t>Virge</t>
  </si>
  <si>
    <t>Ortega</t>
  </si>
  <si>
    <t>Nester</t>
  </si>
  <si>
    <t>Trainer</t>
  </si>
  <si>
    <t>Stanislaus</t>
  </si>
  <si>
    <t>Quimby</t>
  </si>
  <si>
    <t>Danya</t>
  </si>
  <si>
    <t>Boyda</t>
  </si>
  <si>
    <t>Emelyne</t>
  </si>
  <si>
    <t>Simson</t>
  </si>
  <si>
    <t>Laure</t>
  </si>
  <si>
    <t>Maas</t>
  </si>
  <si>
    <t>Clarance</t>
  </si>
  <si>
    <t>Khrishtafovich</t>
  </si>
  <si>
    <t>Joyann</t>
  </si>
  <si>
    <t>Caldes</t>
  </si>
  <si>
    <t>Merrie</t>
  </si>
  <si>
    <t>Scrane</t>
  </si>
  <si>
    <t>Lurlene</t>
  </si>
  <si>
    <t>Atwood</t>
  </si>
  <si>
    <t>Jerrie</t>
  </si>
  <si>
    <t>Blaze</t>
  </si>
  <si>
    <t>Sayers</t>
  </si>
  <si>
    <t>Lideard</t>
  </si>
  <si>
    <t>Aristotle</t>
  </si>
  <si>
    <t>Chauvey</t>
  </si>
  <si>
    <t>Wallworth</t>
  </si>
  <si>
    <t>Glen</t>
  </si>
  <si>
    <t>Stainbridge</t>
  </si>
  <si>
    <t>Whorf</t>
  </si>
  <si>
    <t>Henrie</t>
  </si>
  <si>
    <t>Bayless</t>
  </si>
  <si>
    <t>Carine</t>
  </si>
  <si>
    <t>Lillegard</t>
  </si>
  <si>
    <t>Loni</t>
  </si>
  <si>
    <t>Forker</t>
  </si>
  <si>
    <t>Ignace</t>
  </si>
  <si>
    <t>Laidlow</t>
  </si>
  <si>
    <t>Kenon</t>
  </si>
  <si>
    <t>O'Flaherty</t>
  </si>
  <si>
    <t>Baxie</t>
  </si>
  <si>
    <t>Oldam</t>
  </si>
  <si>
    <t>Karia</t>
  </si>
  <si>
    <t>Rogister</t>
  </si>
  <si>
    <t>Pauletta</t>
  </si>
  <si>
    <t>Elener</t>
  </si>
  <si>
    <t>Brina</t>
  </si>
  <si>
    <t>Kenton</t>
  </si>
  <si>
    <t>Yell</t>
  </si>
  <si>
    <t>Osborn</t>
  </si>
  <si>
    <t>Treagus</t>
  </si>
  <si>
    <t>Bernardine</t>
  </si>
  <si>
    <t>Brouard</t>
  </si>
  <si>
    <t>Aviva</t>
  </si>
  <si>
    <t>Burnage</t>
  </si>
  <si>
    <t>Di Maggio</t>
  </si>
  <si>
    <t>Wendie</t>
  </si>
  <si>
    <t>Penhearow</t>
  </si>
  <si>
    <t>Dix</t>
  </si>
  <si>
    <t>Studdard</t>
  </si>
  <si>
    <t>Pierette</t>
  </si>
  <si>
    <t>Indruch</t>
  </si>
  <si>
    <t>Colby</t>
  </si>
  <si>
    <t>Blasl</t>
  </si>
  <si>
    <t>Dwain</t>
  </si>
  <si>
    <t>Schusterl</t>
  </si>
  <si>
    <t>Jody</t>
  </si>
  <si>
    <t>Gaskins</t>
  </si>
  <si>
    <t>Camile</t>
  </si>
  <si>
    <t>Wootton</t>
  </si>
  <si>
    <t>Mathilde</t>
  </si>
  <si>
    <t>Aleixo</t>
  </si>
  <si>
    <t>Errol</t>
  </si>
  <si>
    <t>Poundsford</t>
  </si>
  <si>
    <t>Rufe</t>
  </si>
  <si>
    <t>Learmouth</t>
  </si>
  <si>
    <t>Darb</t>
  </si>
  <si>
    <t>Edgeler</t>
  </si>
  <si>
    <t>Rebecka</t>
  </si>
  <si>
    <t>Picopp</t>
  </si>
  <si>
    <t>Alicia</t>
  </si>
  <si>
    <t>Sibylla</t>
  </si>
  <si>
    <t>Rollin</t>
  </si>
  <si>
    <t>Maffeo</t>
  </si>
  <si>
    <t>Adair</t>
  </si>
  <si>
    <t>Tackley</t>
  </si>
  <si>
    <t>Theodoric</t>
  </si>
  <si>
    <t>Flight</t>
  </si>
  <si>
    <t>Hyacinth</t>
  </si>
  <si>
    <t>Le Quesne</t>
  </si>
  <si>
    <t>Creeboe</t>
  </si>
  <si>
    <t>Danica</t>
  </si>
  <si>
    <t>Lanphier</t>
  </si>
  <si>
    <t>Desiree</t>
  </si>
  <si>
    <t>Sedger</t>
  </si>
  <si>
    <t>Laurena</t>
  </si>
  <si>
    <t>Luberti</t>
  </si>
  <si>
    <t>Cinda</t>
  </si>
  <si>
    <t>Lornsen</t>
  </si>
  <si>
    <t>Manolo</t>
  </si>
  <si>
    <t>Shoutt</t>
  </si>
  <si>
    <t>Verney</t>
  </si>
  <si>
    <t>Ovanesian</t>
  </si>
  <si>
    <t>Taber</t>
  </si>
  <si>
    <t>Dredge</t>
  </si>
  <si>
    <t>Karlene</t>
  </si>
  <si>
    <t>Serjeant</t>
  </si>
  <si>
    <t>Salmon</t>
  </si>
  <si>
    <t>Bleaden</t>
  </si>
  <si>
    <t>Barr</t>
  </si>
  <si>
    <t>Seyers</t>
  </si>
  <si>
    <t>Susi</t>
  </si>
  <si>
    <t>Lowater</t>
  </si>
  <si>
    <t>Joseph</t>
  </si>
  <si>
    <t>Gorvin</t>
  </si>
  <si>
    <t>Juliette</t>
  </si>
  <si>
    <t>Hunnicot</t>
  </si>
  <si>
    <t>Ilka</t>
  </si>
  <si>
    <t>Leefe</t>
  </si>
  <si>
    <t>Hayter</t>
  </si>
  <si>
    <t>Janka</t>
  </si>
  <si>
    <t>Sheals</t>
  </si>
  <si>
    <t>Lauren</t>
  </si>
  <si>
    <t>Grimsdith</t>
  </si>
  <si>
    <t>Fee</t>
  </si>
  <si>
    <t>Mortimer</t>
  </si>
  <si>
    <t>Emile</t>
  </si>
  <si>
    <t>Layson</t>
  </si>
  <si>
    <t>Pearline</t>
  </si>
  <si>
    <t>Tourner</t>
  </si>
  <si>
    <t>Tawnya</t>
  </si>
  <si>
    <t>MacFarlan</t>
  </si>
  <si>
    <t>Ingeborg</t>
  </si>
  <si>
    <t>Firle</t>
  </si>
  <si>
    <t>Hilton</t>
  </si>
  <si>
    <t>Thoma</t>
  </si>
  <si>
    <t>Duddridge</t>
  </si>
  <si>
    <t>Kinghorn</t>
  </si>
  <si>
    <t>Rosalinda</t>
  </si>
  <si>
    <t>Upchurch</t>
  </si>
  <si>
    <t>Dargie</t>
  </si>
  <si>
    <t>Gilli</t>
  </si>
  <si>
    <t>Bortoli</t>
  </si>
  <si>
    <t>Germaine</t>
  </si>
  <si>
    <t>Bitterton</t>
  </si>
  <si>
    <t>Nanette</t>
  </si>
  <si>
    <t>Screase</t>
  </si>
  <si>
    <t>Becky</t>
  </si>
  <si>
    <t>Mockett</t>
  </si>
  <si>
    <t>Caro</t>
  </si>
  <si>
    <t>Winstanley</t>
  </si>
  <si>
    <t>Merola</t>
  </si>
  <si>
    <t>Pleuman</t>
  </si>
  <si>
    <t>Cynthie</t>
  </si>
  <si>
    <t>Derby</t>
  </si>
  <si>
    <t>McPeeters</t>
  </si>
  <si>
    <t>Terri</t>
  </si>
  <si>
    <t>Lello</t>
  </si>
  <si>
    <t>Stavro</t>
  </si>
  <si>
    <t>Saffen</t>
  </si>
  <si>
    <t>Andros</t>
  </si>
  <si>
    <t>Prise</t>
  </si>
  <si>
    <t>See</t>
  </si>
  <si>
    <t>Bambrick</t>
  </si>
  <si>
    <t>Randall</t>
  </si>
  <si>
    <t>Gossington</t>
  </si>
  <si>
    <t>Sidlow</t>
  </si>
  <si>
    <t>Alverta</t>
  </si>
  <si>
    <t>Babonau</t>
  </si>
  <si>
    <t>Elga</t>
  </si>
  <si>
    <t>Bennit</t>
  </si>
  <si>
    <t>Luce</t>
  </si>
  <si>
    <t>Clemencon</t>
  </si>
  <si>
    <t>Candis</t>
  </si>
  <si>
    <t>Riddall</t>
  </si>
  <si>
    <t>Leanna</t>
  </si>
  <si>
    <t>Brampton</t>
  </si>
  <si>
    <t>Portia</t>
  </si>
  <si>
    <t>Pettman</t>
  </si>
  <si>
    <t>Marven</t>
  </si>
  <si>
    <t>Dyke</t>
  </si>
  <si>
    <t>Gowman</t>
  </si>
  <si>
    <t>Flin</t>
  </si>
  <si>
    <t>Swalough</t>
  </si>
  <si>
    <t>Pembroke</t>
  </si>
  <si>
    <t>Blanque</t>
  </si>
  <si>
    <t>Winnie</t>
  </si>
  <si>
    <t>Cristofori</t>
  </si>
  <si>
    <t>Martie</t>
  </si>
  <si>
    <t>Lobe</t>
  </si>
  <si>
    <t>Madeline</t>
  </si>
  <si>
    <t>Scoines</t>
  </si>
  <si>
    <t>Garwood</t>
  </si>
  <si>
    <t>Waylett</t>
  </si>
  <si>
    <t>Tabbi</t>
  </si>
  <si>
    <t>Vanyarkin</t>
  </si>
  <si>
    <t>Bradley</t>
  </si>
  <si>
    <t>Berre</t>
  </si>
  <si>
    <t>Haleigh</t>
  </si>
  <si>
    <t>Kienl</t>
  </si>
  <si>
    <t>Raymond</t>
  </si>
  <si>
    <t>Surmon</t>
  </si>
  <si>
    <t>Davy</t>
  </si>
  <si>
    <t>Husset</t>
  </si>
  <si>
    <t>Ira</t>
  </si>
  <si>
    <t>McQuaide</t>
  </si>
  <si>
    <t>Barney</t>
  </si>
  <si>
    <t>Garton</t>
  </si>
  <si>
    <t>Malcher</t>
  </si>
  <si>
    <t>Veradis</t>
  </si>
  <si>
    <t>Coffey</t>
  </si>
  <si>
    <t>Gordan</t>
  </si>
  <si>
    <t>Sidwell</t>
  </si>
  <si>
    <t>Marco</t>
  </si>
  <si>
    <t>Fosdick</t>
  </si>
  <si>
    <t>Eolanda</t>
  </si>
  <si>
    <t>Lamden</t>
  </si>
  <si>
    <t>Marlene</t>
  </si>
  <si>
    <t>Jennings</t>
  </si>
  <si>
    <t>Cass</t>
  </si>
  <si>
    <t>Paal</t>
  </si>
  <si>
    <t>Briggs</t>
  </si>
  <si>
    <t>Abbyss</t>
  </si>
  <si>
    <t>Ange</t>
  </si>
  <si>
    <t>Laverack</t>
  </si>
  <si>
    <t>Artie</t>
  </si>
  <si>
    <t>Vuittet</t>
  </si>
  <si>
    <t>Dominic</t>
  </si>
  <si>
    <t>Lassells</t>
  </si>
  <si>
    <t>Laina</t>
  </si>
  <si>
    <t>Borges</t>
  </si>
  <si>
    <t>Daryn</t>
  </si>
  <si>
    <t>Noades</t>
  </si>
  <si>
    <t>Stent</t>
  </si>
  <si>
    <t>Alexandre</t>
  </si>
  <si>
    <t>Wastie</t>
  </si>
  <si>
    <t>Teodorico</t>
  </si>
  <si>
    <t>Dedrick</t>
  </si>
  <si>
    <t>Paxon</t>
  </si>
  <si>
    <t>Van Oort</t>
  </si>
  <si>
    <t>Kerwinn</t>
  </si>
  <si>
    <t>Corser</t>
  </si>
  <si>
    <t>Garrot</t>
  </si>
  <si>
    <t>Roches</t>
  </si>
  <si>
    <t>Hyman</t>
  </si>
  <si>
    <t>Chaplain</t>
  </si>
  <si>
    <t>Paula</t>
  </si>
  <si>
    <t>Abadam</t>
  </si>
  <si>
    <t>Wynn</t>
  </si>
  <si>
    <t>Twelve</t>
  </si>
  <si>
    <t>Gaby</t>
  </si>
  <si>
    <t>Justis</t>
  </si>
  <si>
    <t>Rickert</t>
  </si>
  <si>
    <t>Wesker</t>
  </si>
  <si>
    <t>Ingaborg</t>
  </si>
  <si>
    <t>Gingel</t>
  </si>
  <si>
    <t>Cansdell</t>
  </si>
  <si>
    <t>Richard</t>
  </si>
  <si>
    <t>Grimster</t>
  </si>
  <si>
    <t>Rubin</t>
  </si>
  <si>
    <t>Wittier</t>
  </si>
  <si>
    <t>Pepe</t>
  </si>
  <si>
    <t>MacMurray</t>
  </si>
  <si>
    <t>Glenn</t>
  </si>
  <si>
    <t>Stollenhof</t>
  </si>
  <si>
    <t>Waldon</t>
  </si>
  <si>
    <t>McMorran</t>
  </si>
  <si>
    <t>Katleen</t>
  </si>
  <si>
    <t>Wollacott</t>
  </si>
  <si>
    <t>Helga</t>
  </si>
  <si>
    <t>De Stoop</t>
  </si>
  <si>
    <t>Broadberrie</t>
  </si>
  <si>
    <t>Bellina</t>
  </si>
  <si>
    <t>Haveline</t>
  </si>
  <si>
    <t>Carmelle</t>
  </si>
  <si>
    <t>Coslitt</t>
  </si>
  <si>
    <t>Karen</t>
  </si>
  <si>
    <t>Ganing</t>
  </si>
  <si>
    <t>Jacintha</t>
  </si>
  <si>
    <t>Lovewell</t>
  </si>
  <si>
    <t>Ibby</t>
  </si>
  <si>
    <t>Dalston</t>
  </si>
  <si>
    <t>Colly</t>
  </si>
  <si>
    <t>Crawshaw</t>
  </si>
  <si>
    <t>Jeffie</t>
  </si>
  <si>
    <t>Sandell</t>
  </si>
  <si>
    <t>Margarethe</t>
  </si>
  <si>
    <t>Maryott</t>
  </si>
  <si>
    <t>Hubie</t>
  </si>
  <si>
    <t>Eringey</t>
  </si>
  <si>
    <t>Syman</t>
  </si>
  <si>
    <t>Halliberton</t>
  </si>
  <si>
    <t>Yule</t>
  </si>
  <si>
    <t>Tomasian</t>
  </si>
  <si>
    <t>Lemmie</t>
  </si>
  <si>
    <t>Menguy</t>
  </si>
  <si>
    <t>Weider</t>
  </si>
  <si>
    <t>Middleditch</t>
  </si>
  <si>
    <t>Adelle</t>
  </si>
  <si>
    <t>Lebond</t>
  </si>
  <si>
    <t>Chariot</t>
  </si>
  <si>
    <t>Madelaine</t>
  </si>
  <si>
    <t>Gooder</t>
  </si>
  <si>
    <t>Bertie</t>
  </si>
  <si>
    <t>Langfat</t>
  </si>
  <si>
    <t>Dwayne</t>
  </si>
  <si>
    <t>Mc Ilory</t>
  </si>
  <si>
    <t>Shir</t>
  </si>
  <si>
    <t>Scrase</t>
  </si>
  <si>
    <t>De Banke</t>
  </si>
  <si>
    <t>Colene</t>
  </si>
  <si>
    <t>Mullaly</t>
  </si>
  <si>
    <t>Shari</t>
  </si>
  <si>
    <t>Kenningham</t>
  </si>
  <si>
    <t>Brendan</t>
  </si>
  <si>
    <t>Sepey</t>
  </si>
  <si>
    <t>Cristine</t>
  </si>
  <si>
    <t>Houdmont</t>
  </si>
  <si>
    <t>Lorne</t>
  </si>
  <si>
    <t>Rippon</t>
  </si>
  <si>
    <t>Swen</t>
  </si>
  <si>
    <t>Wilson</t>
  </si>
  <si>
    <t>Boy</t>
  </si>
  <si>
    <t>Clute</t>
  </si>
  <si>
    <t>Humfried</t>
  </si>
  <si>
    <t>Dewan</t>
  </si>
  <si>
    <t>Ewen</t>
  </si>
  <si>
    <t>Whitland</t>
  </si>
  <si>
    <t>Brien</t>
  </si>
  <si>
    <t>Furmonger</t>
  </si>
  <si>
    <t>Biddy</t>
  </si>
  <si>
    <t>Darville</t>
  </si>
  <si>
    <t>Howman</t>
  </si>
  <si>
    <t>Ignacio</t>
  </si>
  <si>
    <t>Girod</t>
  </si>
  <si>
    <t>Aldrich</t>
  </si>
  <si>
    <t>Prewer</t>
  </si>
  <si>
    <t>Snelle</t>
  </si>
  <si>
    <t>Gill</t>
  </si>
  <si>
    <t>Grimwood</t>
  </si>
  <si>
    <t>Levison</t>
  </si>
  <si>
    <t>Szymanzyk</t>
  </si>
  <si>
    <t>Shanna</t>
  </si>
  <si>
    <t>Denyse</t>
  </si>
  <si>
    <t>Saltman</t>
  </si>
  <si>
    <t>Caritta</t>
  </si>
  <si>
    <t>Chedzoy</t>
  </si>
  <si>
    <t>Eddie</t>
  </si>
  <si>
    <t>O'Loughnan</t>
  </si>
  <si>
    <t>Randolph</t>
  </si>
  <si>
    <t>Niche</t>
  </si>
  <si>
    <t>Dorena</t>
  </si>
  <si>
    <t>Cattel</t>
  </si>
  <si>
    <t>Antonietta</t>
  </si>
  <si>
    <t>Eaden</t>
  </si>
  <si>
    <t>Hamley</t>
  </si>
  <si>
    <t>Noon</t>
  </si>
  <si>
    <t>Ashil</t>
  </si>
  <si>
    <t>Penticost</t>
  </si>
  <si>
    <t>Smitherham</t>
  </si>
  <si>
    <t>Mag</t>
  </si>
  <si>
    <t>Isaacson</t>
  </si>
  <si>
    <t>Marnie</t>
  </si>
  <si>
    <t>Mogie</t>
  </si>
  <si>
    <t>Kelcie</t>
  </si>
  <si>
    <t>MacKeeg</t>
  </si>
  <si>
    <t>Brittin</t>
  </si>
  <si>
    <t>Marielle</t>
  </si>
  <si>
    <t>Carn</t>
  </si>
  <si>
    <t>Violette</t>
  </si>
  <si>
    <t>Brise</t>
  </si>
  <si>
    <t>Gustaf</t>
  </si>
  <si>
    <t>Mellon</t>
  </si>
  <si>
    <t>Annetta</t>
  </si>
  <si>
    <t>Rate</t>
  </si>
  <si>
    <t>Lucia</t>
  </si>
  <si>
    <t>Calam</t>
  </si>
  <si>
    <t>Codi</t>
  </si>
  <si>
    <t>Brandenburg</t>
  </si>
  <si>
    <t>Ede</t>
  </si>
  <si>
    <t>Pes</t>
  </si>
  <si>
    <t>Leeann</t>
  </si>
  <si>
    <t>Chalkly</t>
  </si>
  <si>
    <t>Donnajean</t>
  </si>
  <si>
    <t>Goozee</t>
  </si>
  <si>
    <t>Kevon</t>
  </si>
  <si>
    <t>Whalley</t>
  </si>
  <si>
    <t>Kaleb</t>
  </si>
  <si>
    <t>Downham</t>
  </si>
  <si>
    <t>Mannie</t>
  </si>
  <si>
    <t>Le Barre</t>
  </si>
  <si>
    <t>Kermy</t>
  </si>
  <si>
    <t>Brixey</t>
  </si>
  <si>
    <t>Shirlene</t>
  </si>
  <si>
    <t>Surgey</t>
  </si>
  <si>
    <t>Marne</t>
  </si>
  <si>
    <t>Meneo</t>
  </si>
  <si>
    <t>Evesque</t>
  </si>
  <si>
    <t>Daloris</t>
  </si>
  <si>
    <t>Kless</t>
  </si>
  <si>
    <t>Ingar</t>
  </si>
  <si>
    <t>Lumsdon</t>
  </si>
  <si>
    <t>Angelita</t>
  </si>
  <si>
    <t>McCaughen</t>
  </si>
  <si>
    <t>Kellyann</t>
  </si>
  <si>
    <t>Barlace</t>
  </si>
  <si>
    <t>Keane</t>
  </si>
  <si>
    <t>Robbert</t>
  </si>
  <si>
    <t>Julianna</t>
  </si>
  <si>
    <t>Gravener</t>
  </si>
  <si>
    <t>Hephzibah</t>
  </si>
  <si>
    <t>Adlai</t>
  </si>
  <si>
    <t>Littler</t>
  </si>
  <si>
    <t>Albina</t>
  </si>
  <si>
    <t>Fearick</t>
  </si>
  <si>
    <t>Annie</t>
  </si>
  <si>
    <t>Falconbridge</t>
  </si>
  <si>
    <t>Kristal</t>
  </si>
  <si>
    <t>Holde</t>
  </si>
  <si>
    <t>Darren</t>
  </si>
  <si>
    <t>Suggett</t>
  </si>
  <si>
    <t>Ermengarde</t>
  </si>
  <si>
    <t>Greening</t>
  </si>
  <si>
    <t>Ailbert</t>
  </si>
  <si>
    <t>Beadman</t>
  </si>
  <si>
    <t>Bernard</t>
  </si>
  <si>
    <t>Vyvyan</t>
  </si>
  <si>
    <t>Allie</t>
  </si>
  <si>
    <t>Babb</t>
  </si>
  <si>
    <t>Jamal</t>
  </si>
  <si>
    <t>Barron</t>
  </si>
  <si>
    <t>Sumner</t>
  </si>
  <si>
    <t>Macura</t>
  </si>
  <si>
    <t>Beitris</t>
  </si>
  <si>
    <t>Humerstone</t>
  </si>
  <si>
    <t>Hulda</t>
  </si>
  <si>
    <t>Gercke</t>
  </si>
  <si>
    <t>Andrey</t>
  </si>
  <si>
    <t>Rusling</t>
  </si>
  <si>
    <t>Johannah</t>
  </si>
  <si>
    <t>Waszczykowski</t>
  </si>
  <si>
    <t>Austine</t>
  </si>
  <si>
    <t>Burgot</t>
  </si>
  <si>
    <t>Blythe</t>
  </si>
  <si>
    <t>Melisse</t>
  </si>
  <si>
    <t>Layborn</t>
  </si>
  <si>
    <t>Aarika</t>
  </si>
  <si>
    <t>Streets</t>
  </si>
  <si>
    <t>Farlee</t>
  </si>
  <si>
    <t>Duns</t>
  </si>
  <si>
    <t>Endley</t>
  </si>
  <si>
    <t>Locke</t>
  </si>
  <si>
    <t>Normington</t>
  </si>
  <si>
    <t>Simonette</t>
  </si>
  <si>
    <t>Benck</t>
  </si>
  <si>
    <t>Madella</t>
  </si>
  <si>
    <t>Woofinden</t>
  </si>
  <si>
    <t>Vern</t>
  </si>
  <si>
    <t>MacGarvey</t>
  </si>
  <si>
    <t>McCutheon</t>
  </si>
  <si>
    <t>Jan</t>
  </si>
  <si>
    <t>Songest</t>
  </si>
  <si>
    <t>Reinaldos</t>
  </si>
  <si>
    <t>Ilsley</t>
  </si>
  <si>
    <t>Foster</t>
  </si>
  <si>
    <t>Shelbourne</t>
  </si>
  <si>
    <t>Godiva</t>
  </si>
  <si>
    <t>Alexandrescu</t>
  </si>
  <si>
    <t>Delores</t>
  </si>
  <si>
    <t>Amorine</t>
  </si>
  <si>
    <t>Kamilah</t>
  </si>
  <si>
    <t>Hovy</t>
  </si>
  <si>
    <t>Hastie</t>
  </si>
  <si>
    <t>Trenear</t>
  </si>
  <si>
    <t>Libbie</t>
  </si>
  <si>
    <t>Hallybone</t>
  </si>
  <si>
    <t>Linet</t>
  </si>
  <si>
    <t>Pepye</t>
  </si>
  <si>
    <t>Cyndi</t>
  </si>
  <si>
    <t>Ellingsworth</t>
  </si>
  <si>
    <t>Rolando</t>
  </si>
  <si>
    <t>Shippard</t>
  </si>
  <si>
    <t>Tedda</t>
  </si>
  <si>
    <t>Udall</t>
  </si>
  <si>
    <t>Stephannie</t>
  </si>
  <si>
    <t>Sturm</t>
  </si>
  <si>
    <t>Vittoria</t>
  </si>
  <si>
    <t>Hambleton</t>
  </si>
  <si>
    <t>Eberz</t>
  </si>
  <si>
    <t>Jarrod</t>
  </si>
  <si>
    <t>Daysh</t>
  </si>
  <si>
    <t>Kim</t>
  </si>
  <si>
    <t>Clatworthy</t>
  </si>
  <si>
    <t>Valma</t>
  </si>
  <si>
    <t>Sherringham</t>
  </si>
  <si>
    <t>Kale</t>
  </si>
  <si>
    <t>Shann</t>
  </si>
  <si>
    <t>Carroll</t>
  </si>
  <si>
    <t>Vossgen</t>
  </si>
  <si>
    <t>Truman</t>
  </si>
  <si>
    <t>Fenty</t>
  </si>
  <si>
    <t>Cami</t>
  </si>
  <si>
    <t>Cortez</t>
  </si>
  <si>
    <t>Ericka</t>
  </si>
  <si>
    <t>Littlekit</t>
  </si>
  <si>
    <t>Haroun</t>
  </si>
  <si>
    <t>Hyne</t>
  </si>
  <si>
    <t>Jillie</t>
  </si>
  <si>
    <t>Mikol</t>
  </si>
  <si>
    <t>Lamperd</t>
  </si>
  <si>
    <t>Aurlie</t>
  </si>
  <si>
    <t>Warlow</t>
  </si>
  <si>
    <t>Eugenius</t>
  </si>
  <si>
    <t>McAnulty</t>
  </si>
  <si>
    <t>Kitty</t>
  </si>
  <si>
    <t>Wadesworth</t>
  </si>
  <si>
    <t>Viola</t>
  </si>
  <si>
    <t>Fallows</t>
  </si>
  <si>
    <t>Leandra</t>
  </si>
  <si>
    <t>Rego</t>
  </si>
  <si>
    <t>Noel</t>
  </si>
  <si>
    <t>Sleeman</t>
  </si>
  <si>
    <t>Eustace</t>
  </si>
  <si>
    <t>Lackeye</t>
  </si>
  <si>
    <t>Vito</t>
  </si>
  <si>
    <t>D'eye</t>
  </si>
  <si>
    <t>Lief</t>
  </si>
  <si>
    <t>Johny</t>
  </si>
  <si>
    <t>Tejero</t>
  </si>
  <si>
    <t>Vera</t>
  </si>
  <si>
    <t>Morillas</t>
  </si>
  <si>
    <t>Marris</t>
  </si>
  <si>
    <t>Jewar</t>
  </si>
  <si>
    <t>Debee</t>
  </si>
  <si>
    <t>Halifax</t>
  </si>
  <si>
    <t>Truss</t>
  </si>
  <si>
    <t>Ranna</t>
  </si>
  <si>
    <t>Plaschke</t>
  </si>
  <si>
    <t>Kally</t>
  </si>
  <si>
    <t>Salt</t>
  </si>
  <si>
    <t>Raf</t>
  </si>
  <si>
    <t>Fosdike</t>
  </si>
  <si>
    <t>King</t>
  </si>
  <si>
    <t>Monkton</t>
  </si>
  <si>
    <t>Steven</t>
  </si>
  <si>
    <t>Lucey</t>
  </si>
  <si>
    <t>Pammie</t>
  </si>
  <si>
    <t>Kobelt</t>
  </si>
  <si>
    <t>Dolores</t>
  </si>
  <si>
    <t>Kelley</t>
  </si>
  <si>
    <t>Nada</t>
  </si>
  <si>
    <t>Watsam</t>
  </si>
  <si>
    <t>Linnell</t>
  </si>
  <si>
    <t>Hasser</t>
  </si>
  <si>
    <t>Caressa</t>
  </si>
  <si>
    <t>Stewartson</t>
  </si>
  <si>
    <t>Fidilis</t>
  </si>
  <si>
    <t>Gorden</t>
  </si>
  <si>
    <t>Sibary</t>
  </si>
  <si>
    <t>Brynna</t>
  </si>
  <si>
    <t>Axe</t>
  </si>
  <si>
    <t>Jasmina</t>
  </si>
  <si>
    <t>Kelemen</t>
  </si>
  <si>
    <t>Myrvyn</t>
  </si>
  <si>
    <t>Dymott</t>
  </si>
  <si>
    <t>Gifford</t>
  </si>
  <si>
    <t>Ridings</t>
  </si>
  <si>
    <t>Rodney</t>
  </si>
  <si>
    <t>Clemitt</t>
  </si>
  <si>
    <t>Peyter</t>
  </si>
  <si>
    <t>Pavluk</t>
  </si>
  <si>
    <t>Ammamaria</t>
  </si>
  <si>
    <t>Mudge</t>
  </si>
  <si>
    <t>Rhodie</t>
  </si>
  <si>
    <t>Dowbekin</t>
  </si>
  <si>
    <t>Petronella</t>
  </si>
  <si>
    <t>Phettiplace</t>
  </si>
  <si>
    <t>Brody</t>
  </si>
  <si>
    <t>Currao</t>
  </si>
  <si>
    <t>Conrade</t>
  </si>
  <si>
    <t>Fittis</t>
  </si>
  <si>
    <t>Trumaine</t>
  </si>
  <si>
    <t>Esmead</t>
  </si>
  <si>
    <t>Frank</t>
  </si>
  <si>
    <t>Elia</t>
  </si>
  <si>
    <t>Mirabel</t>
  </si>
  <si>
    <t>Braniff</t>
  </si>
  <si>
    <t>Jerrine</t>
  </si>
  <si>
    <t>Robilart</t>
  </si>
  <si>
    <t>Pleaden</t>
  </si>
  <si>
    <t>Jilly</t>
  </si>
  <si>
    <t>Saket</t>
  </si>
  <si>
    <t>Mendy</t>
  </si>
  <si>
    <t>McKinie</t>
  </si>
  <si>
    <t>Dennis</t>
  </si>
  <si>
    <t>Addie</t>
  </si>
  <si>
    <t>Sherwin</t>
  </si>
  <si>
    <t>Thain</t>
  </si>
  <si>
    <t>Gwendolen</t>
  </si>
  <si>
    <t>Malyon</t>
  </si>
  <si>
    <t>Monti</t>
  </si>
  <si>
    <t>Sharp</t>
  </si>
  <si>
    <t>Nessie</t>
  </si>
  <si>
    <t>Batte</t>
  </si>
  <si>
    <t>Dixie</t>
  </si>
  <si>
    <t>Youngs</t>
  </si>
  <si>
    <t>Delinda</t>
  </si>
  <si>
    <t>Eden</t>
  </si>
  <si>
    <t>Dermot</t>
  </si>
  <si>
    <t>Perrin</t>
  </si>
  <si>
    <t>Diandra</t>
  </si>
  <si>
    <t>Pinard</t>
  </si>
  <si>
    <t>Gilburt</t>
  </si>
  <si>
    <t>Roy</t>
  </si>
  <si>
    <t>Dehlia</t>
  </si>
  <si>
    <t>Hardacre</t>
  </si>
  <si>
    <t>Lukas</t>
  </si>
  <si>
    <t>Edens</t>
  </si>
  <si>
    <t>Elita</t>
  </si>
  <si>
    <t>McKiddin</t>
  </si>
  <si>
    <t>Freddie</t>
  </si>
  <si>
    <t>Wardell</t>
  </si>
  <si>
    <t>Greer</t>
  </si>
  <si>
    <t>Elkins</t>
  </si>
  <si>
    <t>Rochelle</t>
  </si>
  <si>
    <t>Casterton</t>
  </si>
  <si>
    <t>Halley</t>
  </si>
  <si>
    <t>Janc</t>
  </si>
  <si>
    <t>Roscoe</t>
  </si>
  <si>
    <t>Caig</t>
  </si>
  <si>
    <t>Judah</t>
  </si>
  <si>
    <t>McCooke</t>
  </si>
  <si>
    <t>Fabien</t>
  </si>
  <si>
    <t>Keays</t>
  </si>
  <si>
    <t>Pepillo</t>
  </si>
  <si>
    <t>Maybey</t>
  </si>
  <si>
    <t>Benedetto</t>
  </si>
  <si>
    <t>Sturmey</t>
  </si>
  <si>
    <t>Gottfried</t>
  </si>
  <si>
    <t>Ollerhead</t>
  </si>
  <si>
    <t>Joby</t>
  </si>
  <si>
    <t>McNiff</t>
  </si>
  <si>
    <t>Rozalin</t>
  </si>
  <si>
    <t>Collimore</t>
  </si>
  <si>
    <t>Nelie</t>
  </si>
  <si>
    <t>Imlaw</t>
  </si>
  <si>
    <t>Baird</t>
  </si>
  <si>
    <t>Marc</t>
  </si>
  <si>
    <t>Dotterill</t>
  </si>
  <si>
    <t>Natale</t>
  </si>
  <si>
    <t>Ledward</t>
  </si>
  <si>
    <t>Pressey</t>
  </si>
  <si>
    <t>Montgomery</t>
  </si>
  <si>
    <t>Lazar</t>
  </si>
  <si>
    <t>Garth</t>
  </si>
  <si>
    <t>Zackariah</t>
  </si>
  <si>
    <t>Boxhill</t>
  </si>
  <si>
    <t>Tommy</t>
  </si>
  <si>
    <t>Giorgione</t>
  </si>
  <si>
    <t>Vaughan</t>
  </si>
  <si>
    <t>Walkling</t>
  </si>
  <si>
    <t>Kirstin</t>
  </si>
  <si>
    <t>Gavey</t>
  </si>
  <si>
    <t>Cowpe</t>
  </si>
  <si>
    <t>Robers</t>
  </si>
  <si>
    <t>Trevers</t>
  </si>
  <si>
    <t>Malcolm</t>
  </si>
  <si>
    <t>Baughen</t>
  </si>
  <si>
    <t>Age</t>
  </si>
  <si>
    <t>Effective Date</t>
  </si>
  <si>
    <t>Date of Birth</t>
  </si>
  <si>
    <t>Gender</t>
  </si>
  <si>
    <t>Pension</t>
  </si>
  <si>
    <t>MOCK DATA</t>
  </si>
  <si>
    <t>INPUTS</t>
  </si>
  <si>
    <t>NACC</t>
  </si>
  <si>
    <t>Dates</t>
  </si>
  <si>
    <t>Females</t>
  </si>
  <si>
    <r>
      <t>Males: q</t>
    </r>
    <r>
      <rPr>
        <vertAlign val="subscript"/>
        <sz val="11"/>
        <color theme="1"/>
        <rFont val="Calibri"/>
        <family val="2"/>
        <scheme val="minor"/>
      </rPr>
      <t>x</t>
    </r>
  </si>
  <si>
    <r>
      <t>P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= 1 - q</t>
    </r>
    <r>
      <rPr>
        <vertAlign val="subscript"/>
        <sz val="11"/>
        <color theme="1"/>
        <rFont val="Calibri"/>
        <family val="2"/>
        <scheme val="minor"/>
      </rPr>
      <t>x</t>
    </r>
  </si>
  <si>
    <t>Age (x)</t>
  </si>
  <si>
    <r>
      <rPr>
        <sz val="11"/>
        <color theme="1"/>
        <rFont val="Arial"/>
        <family val="2"/>
      </rPr>
      <t>µ</t>
    </r>
    <r>
      <rPr>
        <vertAlign val="subscript"/>
        <sz val="11"/>
        <color theme="1"/>
        <rFont val="Calibri"/>
        <family val="2"/>
      </rPr>
      <t>x</t>
    </r>
    <r>
      <rPr>
        <sz val="11"/>
        <color theme="1"/>
        <rFont val="Calibri"/>
        <family val="2"/>
      </rPr>
      <t xml:space="preserve"> = -ln(P</t>
    </r>
    <r>
      <rPr>
        <vertAlign val="subscript"/>
        <sz val="11"/>
        <color theme="1"/>
        <rFont val="Calibri"/>
        <family val="2"/>
      </rPr>
      <t>x</t>
    </r>
    <r>
      <rPr>
        <sz val="11"/>
        <color theme="1"/>
        <rFont val="Calibri"/>
        <family val="2"/>
      </rPr>
      <t>)</t>
    </r>
  </si>
  <si>
    <t>INCREASE</t>
  </si>
  <si>
    <t xml:space="preserve">Increase </t>
  </si>
  <si>
    <t>Increase Date</t>
  </si>
  <si>
    <t>First upcoming increase</t>
  </si>
  <si>
    <t>Date</t>
  </si>
  <si>
    <t>Number of increase</t>
  </si>
  <si>
    <t>Increase</t>
  </si>
  <si>
    <t>Date of CF</t>
  </si>
  <si>
    <t>CF</t>
  </si>
  <si>
    <t>n (years)</t>
  </si>
  <si>
    <t>Age at date</t>
  </si>
  <si>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P</t>
    </r>
    <r>
      <rPr>
        <vertAlign val="subscript"/>
        <sz val="11"/>
        <color theme="1"/>
        <rFont val="Calibri"/>
        <family val="2"/>
        <scheme val="minor"/>
      </rPr>
      <t>x</t>
    </r>
  </si>
  <si>
    <t>t</t>
  </si>
  <si>
    <t>x</t>
  </si>
  <si>
    <t>Rates used</t>
  </si>
  <si>
    <r>
      <rPr>
        <sz val="11"/>
        <color theme="1"/>
        <rFont val="Arial"/>
        <family val="2"/>
      </rPr>
      <t>µ</t>
    </r>
    <r>
      <rPr>
        <vertAlign val="subscript"/>
        <sz val="11"/>
        <color theme="1"/>
        <rFont val="Calibri"/>
        <family val="2"/>
      </rPr>
      <t>x</t>
    </r>
  </si>
  <si>
    <r>
      <t>P</t>
    </r>
    <r>
      <rPr>
        <vertAlign val="subscript"/>
        <sz val="11"/>
        <color theme="1"/>
        <rFont val="Calibri"/>
        <family val="2"/>
      </rPr>
      <t>x</t>
    </r>
  </si>
  <si>
    <t>Prob surv from birth to pmt date</t>
  </si>
  <si>
    <t>Prob of surv to prev birth</t>
  </si>
  <si>
    <t>years</t>
  </si>
  <si>
    <t>Time from prev birth (years)</t>
  </si>
  <si>
    <t>Exact Age</t>
  </si>
  <si>
    <t xml:space="preserve">PV of CF </t>
  </si>
  <si>
    <t>Next Birthday</t>
  </si>
  <si>
    <t>PV</t>
  </si>
  <si>
    <t>NPV</t>
  </si>
  <si>
    <t>y</t>
  </si>
  <si>
    <r>
      <rPr>
        <vertAlign val="subscript"/>
        <sz val="11"/>
        <color rgb="FF7030A0"/>
        <rFont val="Calibri"/>
        <family val="2"/>
        <scheme val="minor"/>
      </rPr>
      <t>t+y</t>
    </r>
    <r>
      <rPr>
        <sz val="11"/>
        <color rgb="FF7030A0"/>
        <rFont val="Calibri"/>
        <family val="2"/>
        <scheme val="minor"/>
      </rPr>
      <t>P</t>
    </r>
    <r>
      <rPr>
        <vertAlign val="subscript"/>
        <sz val="11"/>
        <color rgb="FF7030A0"/>
        <rFont val="Calibri"/>
        <family val="2"/>
        <scheme val="minor"/>
      </rPr>
      <t>x</t>
    </r>
    <r>
      <rPr>
        <sz val="11"/>
        <color rgb="FF7030A0"/>
        <rFont val="Calibri"/>
        <family val="2"/>
        <scheme val="minor"/>
      </rPr>
      <t xml:space="preserve"> = </t>
    </r>
    <r>
      <rPr>
        <vertAlign val="subscript"/>
        <sz val="11"/>
        <color rgb="FF7030A0"/>
        <rFont val="Calibri"/>
        <family val="2"/>
        <scheme val="minor"/>
      </rPr>
      <t>t</t>
    </r>
    <r>
      <rPr>
        <sz val="11"/>
        <color rgb="FF7030A0"/>
        <rFont val="Calibri"/>
        <family val="2"/>
        <scheme val="minor"/>
      </rPr>
      <t>P</t>
    </r>
    <r>
      <rPr>
        <vertAlign val="subscript"/>
        <sz val="11"/>
        <color rgb="FF7030A0"/>
        <rFont val="Calibri"/>
        <family val="2"/>
        <scheme val="minor"/>
      </rPr>
      <t>x</t>
    </r>
    <r>
      <rPr>
        <sz val="11"/>
        <color rgb="FF7030A0"/>
        <rFont val="Calibri"/>
        <family val="2"/>
        <scheme val="minor"/>
      </rPr>
      <t xml:space="preserve"> * </t>
    </r>
    <r>
      <rPr>
        <vertAlign val="subscript"/>
        <sz val="11"/>
        <color rgb="FF7030A0"/>
        <rFont val="Calibri"/>
        <family val="2"/>
        <scheme val="minor"/>
      </rPr>
      <t>y</t>
    </r>
    <r>
      <rPr>
        <sz val="11"/>
        <color rgb="FF7030A0"/>
        <rFont val="Calibri"/>
        <family val="2"/>
        <scheme val="minor"/>
      </rPr>
      <t>P</t>
    </r>
    <r>
      <rPr>
        <vertAlign val="subscript"/>
        <sz val="11"/>
        <color rgb="FF7030A0"/>
        <rFont val="Calibri"/>
        <family val="2"/>
        <scheme val="minor"/>
      </rPr>
      <t>x+t</t>
    </r>
  </si>
  <si>
    <r>
      <rPr>
        <vertAlign val="subscript"/>
        <sz val="11"/>
        <color rgb="FF7030A0"/>
        <rFont val="Calibri"/>
        <family val="2"/>
        <scheme val="minor"/>
      </rPr>
      <t>t</t>
    </r>
    <r>
      <rPr>
        <sz val="11"/>
        <color rgb="FF7030A0"/>
        <rFont val="Calibri"/>
        <family val="2"/>
        <scheme val="minor"/>
      </rPr>
      <t>P</t>
    </r>
    <r>
      <rPr>
        <vertAlign val="subscript"/>
        <sz val="11"/>
        <color rgb="FF7030A0"/>
        <rFont val="Calibri"/>
        <family val="2"/>
        <scheme val="minor"/>
      </rPr>
      <t>x</t>
    </r>
  </si>
  <si>
    <r>
      <rPr>
        <vertAlign val="subscript"/>
        <sz val="11"/>
        <color rgb="FF7030A0"/>
        <rFont val="Calibri"/>
        <family val="2"/>
        <scheme val="minor"/>
      </rPr>
      <t>y</t>
    </r>
    <r>
      <rPr>
        <sz val="11"/>
        <color rgb="FF7030A0"/>
        <rFont val="Calibri"/>
        <family val="2"/>
        <scheme val="minor"/>
      </rPr>
      <t>P</t>
    </r>
    <r>
      <rPr>
        <vertAlign val="subscript"/>
        <sz val="11"/>
        <color rgb="FF7030A0"/>
        <rFont val="Calibri"/>
        <family val="2"/>
        <scheme val="minor"/>
      </rPr>
      <t>x+t</t>
    </r>
  </si>
  <si>
    <r>
      <rPr>
        <vertAlign val="subscript"/>
        <sz val="11"/>
        <color rgb="FF7030A0"/>
        <rFont val="Calibri"/>
        <family val="2"/>
        <scheme val="minor"/>
      </rPr>
      <t>t+y</t>
    </r>
    <r>
      <rPr>
        <sz val="11"/>
        <color rgb="FF7030A0"/>
        <rFont val="Calibri"/>
        <family val="2"/>
        <scheme val="minor"/>
      </rPr>
      <t>P</t>
    </r>
    <r>
      <rPr>
        <vertAlign val="subscript"/>
        <sz val="11"/>
        <color rgb="FF7030A0"/>
        <rFont val="Calibri"/>
        <family val="2"/>
        <scheme val="minor"/>
      </rPr>
      <t>x</t>
    </r>
    <r>
      <rPr>
        <sz val="11"/>
        <color rgb="FF7030A0"/>
        <rFont val="Calibri"/>
        <family val="2"/>
        <scheme val="minor"/>
      </rPr>
      <t xml:space="preserve"> </t>
    </r>
  </si>
  <si>
    <t>Principal:</t>
  </si>
  <si>
    <t>Name</t>
  </si>
  <si>
    <t>Member id</t>
  </si>
  <si>
    <t>Fees</t>
  </si>
  <si>
    <t>Force of mortality</t>
  </si>
  <si>
    <t>V = exp( - i* n)</t>
  </si>
  <si>
    <t>PV = CF*V</t>
  </si>
  <si>
    <t>INPUTS (if calculate specific member)</t>
  </si>
  <si>
    <t>OUTPUT (for specific member)</t>
  </si>
  <si>
    <t>yieldCurveGross</t>
  </si>
  <si>
    <t>yieldCurveNet: i= NACC  - Fees</t>
  </si>
  <si>
    <t>MORTALITY TABLE: PA92</t>
  </si>
  <si>
    <t>OUTPUT</t>
  </si>
  <si>
    <t>NPV for pension fund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</si>
</sst>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.000"/>
    <numFmt numFmtId="165" formatCode="#,##0.0000"/>
    <numFmt numFmtId="166" formatCode="#,##0.00000"/>
    <numFmt numFmtId="167" formatCode="#,##0.000000"/>
    <numFmt numFmtId="168" formatCode="0.000%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7030A0"/>
      <name val="Calibri"/>
      <family val="2"/>
      <scheme val="minor"/>
    </font>
    <font>
      <vertAlign val="subscript"/>
      <sz val="11"/>
      <color rgb="FF7030A0"/>
      <name val="Calibri"/>
      <family val="2"/>
      <scheme val="minor"/>
    </font>
    <font>
      <sz val="11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A7E8FF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9FC6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2">
    <xf numFmtId="0" fontId="0" fillId="0" borderId="0" xfId="0"/>
    <xf numFmtId="14" fontId="0" fillId="0" borderId="0" xfId="0" applyNumberFormat="1"/>
    <xf numFmtId="0" fontId="16" fillId="0" borderId="0" xfId="0" applyFont="1"/>
    <xf numFmtId="0" fontId="0" fillId="33" borderId="0" xfId="0" applyFill="1"/>
    <xf numFmtId="0" fontId="0" fillId="0" borderId="0" xfId="0" applyFill="1"/>
    <xf numFmtId="0" fontId="0" fillId="34" borderId="0" xfId="0" applyFill="1"/>
    <xf numFmtId="14" fontId="0" fillId="35" borderId="0" xfId="0" applyNumberFormat="1" applyFill="1"/>
    <xf numFmtId="14" fontId="0" fillId="36" borderId="0" xfId="0" applyNumberFormat="1" applyFill="1"/>
    <xf numFmtId="0" fontId="0" fillId="37" borderId="0" xfId="0" applyFill="1"/>
    <xf numFmtId="0" fontId="0" fillId="38" borderId="0" xfId="0" applyFill="1"/>
    <xf numFmtId="14" fontId="0" fillId="39" borderId="0" xfId="0" applyNumberFormat="1" applyFill="1"/>
    <xf numFmtId="10" fontId="0" fillId="36" borderId="0" xfId="0" applyNumberFormat="1" applyFill="1"/>
    <xf numFmtId="0" fontId="0" fillId="40" borderId="0" xfId="0" applyFont="1" applyFill="1"/>
    <xf numFmtId="0" fontId="0" fillId="40" borderId="0" xfId="0" applyFont="1" applyFill="1" applyBorder="1"/>
    <xf numFmtId="0" fontId="0" fillId="40" borderId="0" xfId="0" applyFill="1"/>
    <xf numFmtId="14" fontId="0" fillId="41" borderId="0" xfId="0" applyNumberFormat="1" applyFill="1"/>
    <xf numFmtId="0" fontId="0" fillId="41" borderId="0" xfId="0" applyFill="1"/>
    <xf numFmtId="10" fontId="0" fillId="41" borderId="0" xfId="0" applyNumberFormat="1" applyFill="1"/>
    <xf numFmtId="0" fontId="0" fillId="33" borderId="10" xfId="0" applyFill="1" applyBorder="1"/>
    <xf numFmtId="0" fontId="18" fillId="33" borderId="10" xfId="0" applyFont="1" applyFill="1" applyBorder="1"/>
    <xf numFmtId="0" fontId="18" fillId="33" borderId="0" xfId="0" applyFont="1" applyFill="1"/>
    <xf numFmtId="0" fontId="0" fillId="42" borderId="10" xfId="0" applyFill="1" applyBorder="1"/>
    <xf numFmtId="0" fontId="0" fillId="42" borderId="0" xfId="0" applyFill="1"/>
    <xf numFmtId="1" fontId="0" fillId="39" borderId="0" xfId="0" applyNumberFormat="1" applyFill="1"/>
    <xf numFmtId="0" fontId="18" fillId="33" borderId="0" xfId="0" applyFont="1" applyFill="1" applyBorder="1"/>
    <xf numFmtId="0" fontId="18" fillId="0" borderId="0" xfId="0" applyFont="1" applyFill="1" applyBorder="1"/>
    <xf numFmtId="0" fontId="0" fillId="43" borderId="0" xfId="0" applyFill="1"/>
    <xf numFmtId="0" fontId="24" fillId="0" borderId="0" xfId="0" applyFont="1"/>
    <xf numFmtId="0" fontId="0" fillId="0" borderId="0" xfId="0" applyFont="1"/>
    <xf numFmtId="14" fontId="0" fillId="0" borderId="0" xfId="0" applyNumberFormat="1"/>
    <xf numFmtId="4" fontId="0" fillId="35" borderId="0" xfId="0" applyNumberFormat="1" applyFill="1"/>
    <xf numFmtId="4" fontId="0" fillId="44" borderId="0" xfId="0" applyNumberFormat="1" applyFill="1"/>
    <xf numFmtId="14" fontId="0" fillId="0" borderId="0" xfId="0" applyNumberFormat="1" applyFill="1"/>
    <xf numFmtId="0" fontId="16" fillId="0" borderId="0" xfId="0" applyFont="1" applyFill="1"/>
    <xf numFmtId="3" fontId="0" fillId="36" borderId="0" xfId="0" applyNumberFormat="1" applyFill="1"/>
    <xf numFmtId="0" fontId="0" fillId="38" borderId="0" xfId="0" applyFont="1" applyFill="1"/>
    <xf numFmtId="0" fontId="0" fillId="39" borderId="0" xfId="0" applyFill="1"/>
    <xf numFmtId="165" fontId="0" fillId="35" borderId="0" xfId="0" applyNumberFormat="1" applyFill="1"/>
    <xf numFmtId="3" fontId="0" fillId="39" borderId="0" xfId="0" applyNumberFormat="1" applyFill="1"/>
    <xf numFmtId="164" fontId="0" fillId="39" borderId="0" xfId="0" applyNumberFormat="1" applyFill="1"/>
    <xf numFmtId="3" fontId="0" fillId="42" borderId="0" xfId="0" applyNumberFormat="1" applyFill="1"/>
    <xf numFmtId="165" fontId="0" fillId="42" borderId="0" xfId="0" applyNumberFormat="1" applyFill="1"/>
    <xf numFmtId="166" fontId="0" fillId="42" borderId="0" xfId="0" applyNumberFormat="1" applyFill="1"/>
    <xf numFmtId="167" fontId="0" fillId="42" borderId="0" xfId="0" applyNumberFormat="1" applyFill="1"/>
    <xf numFmtId="4" fontId="0" fillId="0" borderId="0" xfId="0" applyNumberFormat="1" applyFill="1"/>
    <xf numFmtId="165" fontId="0" fillId="41" borderId="0" xfId="0" applyNumberFormat="1" applyFill="1"/>
    <xf numFmtId="166" fontId="0" fillId="42" borderId="10" xfId="0" applyNumberFormat="1" applyFill="1" applyBorder="1"/>
    <xf numFmtId="165" fontId="0" fillId="39" borderId="0" xfId="0" applyNumberFormat="1" applyFill="1"/>
    <xf numFmtId="14" fontId="0" fillId="0" borderId="0" xfId="0" applyNumberFormat="1"/>
    <xf numFmtId="0" fontId="0" fillId="0" borderId="0" xfId="0" applyFill="1" applyBorder="1"/>
    <xf numFmtId="166" fontId="0" fillId="0" borderId="0" xfId="0" applyNumberFormat="1" applyFill="1" applyBorder="1"/>
    <xf numFmtId="168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9FC6"/>
      <color rgb="FFFF0066"/>
      <color rgb="FFA7E8FF"/>
      <color rgb="FFFFFFA7"/>
      <color rgb="FFFFF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19</xdr:row>
          <xdr:rowOff>171450</xdr:rowOff>
        </xdr:from>
        <xdr:to>
          <xdr:col>1</xdr:col>
          <xdr:colOff>695325</xdr:colOff>
          <xdr:row>23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all members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9"/>
  <sheetViews>
    <sheetView topLeftCell="A7" workbookViewId="0">
      <selection activeCell="B12" sqref="B12"/>
    </sheetView>
  </sheetViews>
  <sheetFormatPr defaultRowHeight="15" x14ac:dyDescent="0.25"/>
  <cols>
    <col min="1" max="1" width="20.28515625" customWidth="1"/>
    <col min="2" max="2" width="15" bestFit="1" customWidth="1"/>
    <col min="6" max="6" width="10.7109375" bestFit="1" customWidth="1"/>
    <col min="7" max="7" width="13.28515625" bestFit="1" customWidth="1"/>
    <col min="8" max="8" width="27.85546875" customWidth="1"/>
    <col min="9" max="9" width="12.85546875" bestFit="1" customWidth="1"/>
    <col min="11" max="11" width="13.28515625" bestFit="1" customWidth="1"/>
  </cols>
  <sheetData>
    <row r="1" spans="1:6" x14ac:dyDescent="0.25">
      <c r="A1" s="2" t="s">
        <v>1942</v>
      </c>
    </row>
    <row r="2" spans="1:6" x14ac:dyDescent="0.25">
      <c r="A2" s="5" t="s">
        <v>1937</v>
      </c>
      <c r="B2" s="7">
        <v>43281</v>
      </c>
      <c r="C2" s="4"/>
      <c r="D2" s="4"/>
      <c r="E2" s="4"/>
    </row>
    <row r="3" spans="1:6" x14ac:dyDescent="0.25">
      <c r="A3" s="5" t="s">
        <v>1984</v>
      </c>
      <c r="B3" s="11">
        <v>2.0000000000000001E-4</v>
      </c>
      <c r="C3" s="4"/>
      <c r="D3" s="4"/>
      <c r="E3" s="4"/>
    </row>
    <row r="4" spans="1:6" x14ac:dyDescent="0.25">
      <c r="A4" s="14" t="s">
        <v>1951</v>
      </c>
      <c r="B4" s="17">
        <v>0.05</v>
      </c>
    </row>
    <row r="5" spans="1:6" x14ac:dyDescent="0.25">
      <c r="A5" s="14" t="s">
        <v>1952</v>
      </c>
      <c r="B5" s="15">
        <v>43465</v>
      </c>
      <c r="C5" s="16" t="s">
        <v>1953</v>
      </c>
      <c r="D5" s="16"/>
      <c r="E5" s="16"/>
    </row>
    <row r="6" spans="1:6" s="4" customFormat="1" x14ac:dyDescent="0.25">
      <c r="B6" s="32"/>
    </row>
    <row r="7" spans="1:6" s="4" customFormat="1" x14ac:dyDescent="0.25">
      <c r="A7" s="33" t="s">
        <v>1993</v>
      </c>
      <c r="B7" s="32"/>
    </row>
    <row r="8" spans="1:6" s="4" customFormat="1" x14ac:dyDescent="0.25">
      <c r="A8" s="26" t="s">
        <v>1994</v>
      </c>
      <c r="B8" s="31">
        <f>SUM(Data!G3:G1002)</f>
        <v>1706669061.9927137</v>
      </c>
    </row>
    <row r="9" spans="1:6" s="4" customFormat="1" x14ac:dyDescent="0.25">
      <c r="B9" s="32"/>
    </row>
    <row r="10" spans="1:6" s="4" customFormat="1" x14ac:dyDescent="0.25">
      <c r="A10" s="33" t="s">
        <v>1988</v>
      </c>
      <c r="B10" s="32"/>
    </row>
    <row r="11" spans="1:6" x14ac:dyDescent="0.25">
      <c r="A11" s="5" t="s">
        <v>1983</v>
      </c>
      <c r="B11" s="34">
        <v>1</v>
      </c>
      <c r="C11" s="4"/>
      <c r="D11" s="4"/>
      <c r="E11" s="4"/>
    </row>
    <row r="13" spans="1:6" x14ac:dyDescent="0.25">
      <c r="A13" s="2" t="s">
        <v>1989</v>
      </c>
    </row>
    <row r="14" spans="1:6" x14ac:dyDescent="0.25">
      <c r="A14" s="28" t="s">
        <v>1982</v>
      </c>
      <c r="B14" t="str">
        <f>VLOOKUP(id,Data!$A$3:$F$1002,2)</f>
        <v>Doralia</v>
      </c>
      <c r="C14" t="str">
        <f>VLOOKUP(id,Data!$A$3:$F$1002,3)</f>
        <v>Couronne</v>
      </c>
      <c r="F14" s="29"/>
    </row>
    <row r="15" spans="1:6" x14ac:dyDescent="0.25">
      <c r="A15" s="35" t="s">
        <v>1936</v>
      </c>
      <c r="B15" s="36">
        <f>StartAge</f>
        <v>95</v>
      </c>
    </row>
    <row r="16" spans="1:6" x14ac:dyDescent="0.25">
      <c r="A16" s="9" t="s">
        <v>1938</v>
      </c>
      <c r="B16" s="10">
        <f>VLOOKUP(id,Data!$A$3:$F$1002,4)</f>
        <v>8354</v>
      </c>
    </row>
    <row r="17" spans="1:5" x14ac:dyDescent="0.25">
      <c r="A17" s="3" t="s">
        <v>1939</v>
      </c>
      <c r="B17" s="22" t="str">
        <f>VLOOKUP(id,Data!$A$3:$F$1002,5)</f>
        <v>Female</v>
      </c>
      <c r="C17" s="4"/>
      <c r="D17" s="4"/>
      <c r="E17" s="4"/>
    </row>
    <row r="18" spans="1:5" x14ac:dyDescent="0.25">
      <c r="A18" s="8" t="s">
        <v>1940</v>
      </c>
      <c r="B18" s="30">
        <f>VLOOKUP(id,Data!$A$3:$F$1002,6)</f>
        <v>21374.27</v>
      </c>
    </row>
    <row r="19" spans="1:5" x14ac:dyDescent="0.25">
      <c r="A19" s="26" t="s">
        <v>1975</v>
      </c>
      <c r="B19" s="31">
        <f>TotalPV</f>
        <v>848340.75061972369</v>
      </c>
    </row>
  </sheetData>
  <dataValidations count="2">
    <dataValidation type="whole" allowBlank="1" showInputMessage="1" showErrorMessage="1" sqref="B11">
      <formula1>0</formula1>
      <formula2>1000</formula2>
    </dataValidation>
    <dataValidation type="list" allowBlank="1" showInputMessage="1" showErrorMessage="1" sqref="B17">
      <formula1>$D$17:$E$17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RunAllMembers">
                <anchor moveWithCells="1" sizeWithCells="1">
                  <from>
                    <xdr:col>0</xdr:col>
                    <xdr:colOff>104775</xdr:colOff>
                    <xdr:row>19</xdr:row>
                    <xdr:rowOff>171450</xdr:rowOff>
                  </from>
                  <to>
                    <xdr:col>1</xdr:col>
                    <xdr:colOff>695325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524"/>
  <sheetViews>
    <sheetView tabSelected="1" workbookViewId="0">
      <selection activeCell="G10" sqref="G10"/>
    </sheetView>
  </sheetViews>
  <sheetFormatPr defaultRowHeight="15" x14ac:dyDescent="0.25"/>
  <cols>
    <col min="1" max="1" width="10.7109375" bestFit="1" customWidth="1"/>
    <col min="2" max="2" width="11.42578125" bestFit="1" customWidth="1"/>
    <col min="3" max="3" width="10.5703125" customWidth="1"/>
    <col min="4" max="4" width="15.5703125" bestFit="1" customWidth="1"/>
    <col min="5" max="5" width="28.5703125" bestFit="1" customWidth="1"/>
    <col min="6" max="6" width="13.85546875" bestFit="1" customWidth="1"/>
    <col min="7" max="7" width="17.85546875" bestFit="1" customWidth="1"/>
    <col min="8" max="8" width="11.140625" bestFit="1" customWidth="1"/>
    <col min="9" max="9" width="11" customWidth="1"/>
    <col min="10" max="10" width="6.5703125" bestFit="1" customWidth="1"/>
    <col min="11" max="11" width="23.5703125" bestFit="1" customWidth="1"/>
    <col min="12" max="13" width="19.28515625" customWidth="1"/>
    <col min="14" max="14" width="30.28515625" bestFit="1" customWidth="1"/>
    <col min="15" max="16" width="9.28515625" bestFit="1" customWidth="1"/>
    <col min="17" max="17" width="10" bestFit="1" customWidth="1"/>
  </cols>
  <sheetData>
    <row r="1" spans="1:17" ht="18" x14ac:dyDescent="0.35">
      <c r="A1" s="2" t="s">
        <v>1972</v>
      </c>
      <c r="G1" s="27" t="s">
        <v>1981</v>
      </c>
      <c r="H1" s="27" t="s">
        <v>1977</v>
      </c>
      <c r="I1" s="27"/>
      <c r="J1" s="27" t="s">
        <v>1962</v>
      </c>
      <c r="K1" s="27" t="s">
        <v>1978</v>
      </c>
      <c r="L1" s="27" t="s">
        <v>1976</v>
      </c>
      <c r="M1" s="27"/>
      <c r="N1" s="27" t="s">
        <v>1979</v>
      </c>
      <c r="O1" s="27" t="s">
        <v>1980</v>
      </c>
    </row>
    <row r="2" spans="1:17" ht="18" x14ac:dyDescent="0.35">
      <c r="A2" s="8" t="s">
        <v>1957</v>
      </c>
      <c r="B2" s="8" t="s">
        <v>1958</v>
      </c>
      <c r="C2" s="8" t="s">
        <v>1959</v>
      </c>
      <c r="D2" s="8" t="s">
        <v>1990</v>
      </c>
      <c r="E2" s="8" t="s">
        <v>1991</v>
      </c>
      <c r="F2" s="8" t="s">
        <v>1986</v>
      </c>
      <c r="G2" s="8" t="s">
        <v>1987</v>
      </c>
      <c r="H2" s="9" t="s">
        <v>1960</v>
      </c>
      <c r="I2" s="9" t="s">
        <v>1971</v>
      </c>
      <c r="J2" s="3" t="s">
        <v>1969</v>
      </c>
      <c r="K2" s="3" t="s">
        <v>1968</v>
      </c>
      <c r="L2" s="3" t="s">
        <v>1970</v>
      </c>
      <c r="M2" s="3" t="s">
        <v>1985</v>
      </c>
      <c r="N2" s="3" t="s">
        <v>1967</v>
      </c>
      <c r="O2" s="3" t="s">
        <v>1961</v>
      </c>
      <c r="P2" s="8" t="s">
        <v>1974</v>
      </c>
      <c r="Q2" s="26" t="s">
        <v>1975</v>
      </c>
    </row>
    <row r="3" spans="1:17" x14ac:dyDescent="0.25">
      <c r="A3" s="6">
        <f>EffDate</f>
        <v>43281</v>
      </c>
      <c r="B3" s="30">
        <f>IFERROR(VLOOKUP(A3, Data!$L$3:$N$123, 3),1)*Pension</f>
        <v>21374.27</v>
      </c>
      <c r="C3" s="37">
        <f t="shared" ref="C3:C66" si="0">(A3-EffDate)/365.25</f>
        <v>0</v>
      </c>
      <c r="D3" s="37">
        <f>IFERROR(VLOOKUP(A3,Data!$I$3:$J$1442,2),0)</f>
        <v>7.2649797000000002E-2</v>
      </c>
      <c r="E3" s="37">
        <f t="shared" ref="E3:E66" si="1">D3-Fees</f>
        <v>7.2449796999999996E-2</v>
      </c>
      <c r="F3" s="37">
        <f>EXP(-E3*C3)</f>
        <v>1</v>
      </c>
      <c r="G3" s="30">
        <f>B3*F3</f>
        <v>21374.27</v>
      </c>
      <c r="H3" s="38">
        <f t="shared" ref="H3:H66" si="2">IF(OR(A3 = DATE(YEAR(A3), MONTH(Date_of_Birth), DAY(Date_of_Birth)),AND(A3 = DATE(YEAR(A3), MONTH(Date_of_Birth), DAY(Date_of_Birth)-1), AND(MONTH(Date_of_Birth)=2, DAY(Date_of_Birth) = 29))), ROUND((A3-Date_of_Birth)/365.25,0),ROUNDDOWN((A3-Date_of_Birth)/365.25,0))</f>
        <v>95</v>
      </c>
      <c r="I3" s="39">
        <f t="shared" ref="I3:I66" si="3">IF(OR(A3 = DATE(YEAR(A3), MONTH(Date_of_Birth), DAY(Date_of_Birth)),AND(A3 = DATE(YEAR(A3), MONTH(Date_of_Birth), DAY(Date_of_Birth)-1), AND(MONTH(Date_of_Birth)=2, DAY(Date_of_Birth) = 29))), ROUND((A3-Date_of_Birth)/365.25,0),(A3-Date_of_Birth)/365.25)</f>
        <v>95.624914442162904</v>
      </c>
      <c r="J3" s="40">
        <f>H3-StartAge</f>
        <v>0</v>
      </c>
      <c r="K3" s="43">
        <f>VLOOKUP(J3,Data!$Z$3:$AA$122,2)</f>
        <v>1</v>
      </c>
      <c r="L3" s="41">
        <f t="shared" ref="L3:L66" si="4">IF(A3&lt;=NextBirth,(A3-EffDate)/365.25,(I3-H3))</f>
        <v>0</v>
      </c>
      <c r="M3" s="43">
        <f>VLOOKUP(H3,Data!$P$3:$X$122,9)</f>
        <v>0.19057835049104505</v>
      </c>
      <c r="N3" s="43">
        <f>IF(M3=0, 0, EXP(-L3*M3))</f>
        <v>1</v>
      </c>
      <c r="O3" s="43">
        <f>K3*N3</f>
        <v>1</v>
      </c>
      <c r="P3" s="30">
        <f>G3*O3</f>
        <v>21374.27</v>
      </c>
      <c r="Q3" s="31">
        <f>P3</f>
        <v>21374.27</v>
      </c>
    </row>
    <row r="4" spans="1:17" x14ac:dyDescent="0.25">
      <c r="A4" s="6">
        <f>EOMONTH(A3,1)</f>
        <v>43312</v>
      </c>
      <c r="B4" s="30">
        <f>IFERROR(VLOOKUP(A4, Data!$L$3:$N$123, 3),1)*Pension</f>
        <v>21374.27</v>
      </c>
      <c r="C4" s="37">
        <f t="shared" si="0"/>
        <v>8.4873374401095145E-2</v>
      </c>
      <c r="D4" s="37">
        <f>IFERROR(VLOOKUP(A4,Data!$I$3:$J$1442,2),0)</f>
        <v>7.2649797000000002E-2</v>
      </c>
      <c r="E4" s="37">
        <f t="shared" si="1"/>
        <v>7.2449796999999996E-2</v>
      </c>
      <c r="F4" s="37">
        <f t="shared" ref="F4:F67" si="5">EXP(-E4*C4)</f>
        <v>0.99386980802489822</v>
      </c>
      <c r="G4" s="30">
        <f t="shared" ref="G4:G67" si="6">B4*F4</f>
        <v>21243.241621572342</v>
      </c>
      <c r="H4" s="38">
        <f t="shared" si="2"/>
        <v>95</v>
      </c>
      <c r="I4" s="39">
        <f t="shared" si="3"/>
        <v>95.709787816564003</v>
      </c>
      <c r="J4" s="40">
        <f t="shared" ref="J4:J66" si="7">H4-StartAge</f>
        <v>0</v>
      </c>
      <c r="K4" s="43">
        <f>VLOOKUP(J4,Data!$Z$3:$AA$122,2)</f>
        <v>1</v>
      </c>
      <c r="L4" s="41">
        <f t="shared" si="4"/>
        <v>8.4873374401095145E-2</v>
      </c>
      <c r="M4" s="43">
        <f>VLOOKUP(H4,Data!$P$3:$X$122,9)</f>
        <v>0.19057835049104505</v>
      </c>
      <c r="N4" s="43">
        <f t="shared" ref="N4:N67" si="8">IF(M4=0, 0, EXP(-L4*M4))</f>
        <v>0.98395508559322342</v>
      </c>
      <c r="O4" s="43">
        <f t="shared" ref="O4:O67" si="9">K4*N4</f>
        <v>0.98395508559322342</v>
      </c>
      <c r="P4" s="30">
        <f t="shared" ref="P4:P67" si="10">G4*O4</f>
        <v>20902.39562803174</v>
      </c>
      <c r="Q4" s="31">
        <f>Q3+P4</f>
        <v>42276.66562803174</v>
      </c>
    </row>
    <row r="5" spans="1:17" x14ac:dyDescent="0.25">
      <c r="A5" s="6">
        <f t="shared" ref="A5:A68" si="11">EOMONTH(A4,1)</f>
        <v>43343</v>
      </c>
      <c r="B5" s="30">
        <f>IFERROR(VLOOKUP(A5, Data!$L$3:$N$123, 3),1)*Pension</f>
        <v>21374.27</v>
      </c>
      <c r="C5" s="37">
        <f t="shared" si="0"/>
        <v>0.16974674880219029</v>
      </c>
      <c r="D5" s="37">
        <f>IFERROR(VLOOKUP(A5,Data!$I$3:$J$1442,2),0)</f>
        <v>7.2649797000000002E-2</v>
      </c>
      <c r="E5" s="37">
        <f t="shared" si="1"/>
        <v>7.2449796999999996E-2</v>
      </c>
      <c r="F5" s="37">
        <f t="shared" si="5"/>
        <v>0.9877771953034481</v>
      </c>
      <c r="G5" s="30">
        <f t="shared" si="6"/>
        <v>21113.016472258631</v>
      </c>
      <c r="H5" s="38">
        <f t="shared" si="2"/>
        <v>95</v>
      </c>
      <c r="I5" s="39">
        <f t="shared" si="3"/>
        <v>95.794661190965087</v>
      </c>
      <c r="J5" s="40">
        <f t="shared" si="7"/>
        <v>0</v>
      </c>
      <c r="K5" s="43">
        <f>VLOOKUP(J5,Data!$Z$3:$AA$122,2)</f>
        <v>1</v>
      </c>
      <c r="L5" s="41">
        <f t="shared" si="4"/>
        <v>0.16974674880219029</v>
      </c>
      <c r="M5" s="43">
        <f>VLOOKUP(H5,Data!$P$3:$X$122,9)</f>
        <v>0.19057835049104505</v>
      </c>
      <c r="N5" s="43">
        <f t="shared" si="8"/>
        <v>0.96816761046476763</v>
      </c>
      <c r="O5" s="43">
        <f t="shared" si="9"/>
        <v>0.96816761046476763</v>
      </c>
      <c r="P5" s="30">
        <f t="shared" si="10"/>
        <v>20440.938707649915</v>
      </c>
      <c r="Q5" s="31">
        <f t="shared" ref="Q5:Q68" si="12">Q4+P5</f>
        <v>62717.604335681652</v>
      </c>
    </row>
    <row r="6" spans="1:17" x14ac:dyDescent="0.25">
      <c r="A6" s="6">
        <f t="shared" si="11"/>
        <v>43373</v>
      </c>
      <c r="B6" s="30">
        <f>IFERROR(VLOOKUP(A6, Data!$L$3:$N$123, 3),1)*Pension</f>
        <v>21374.27</v>
      </c>
      <c r="C6" s="37">
        <f t="shared" si="0"/>
        <v>0.2518822724161533</v>
      </c>
      <c r="D6" s="37">
        <f>IFERROR(VLOOKUP(A6,Data!$I$3:$J$1442,2),0)</f>
        <v>7.2689666999999999E-2</v>
      </c>
      <c r="E6" s="37">
        <f t="shared" si="1"/>
        <v>7.2489666999999994E-2</v>
      </c>
      <c r="F6" s="37">
        <f t="shared" si="5"/>
        <v>0.98190682104364635</v>
      </c>
      <c r="G6" s="30">
        <f t="shared" si="6"/>
        <v>20987.541507828581</v>
      </c>
      <c r="H6" s="38">
        <f t="shared" si="2"/>
        <v>95</v>
      </c>
      <c r="I6" s="39">
        <f t="shared" si="3"/>
        <v>95.876796714579058</v>
      </c>
      <c r="J6" s="40">
        <f t="shared" si="7"/>
        <v>0</v>
      </c>
      <c r="K6" s="43">
        <f>VLOOKUP(J6,Data!$Z$3:$AA$122,2)</f>
        <v>1</v>
      </c>
      <c r="L6" s="41">
        <f t="shared" si="4"/>
        <v>0.2518822724161533</v>
      </c>
      <c r="M6" s="43">
        <f>VLOOKUP(H6,Data!$P$3:$X$122,9)</f>
        <v>0.19057835049104505</v>
      </c>
      <c r="N6" s="43">
        <f t="shared" si="8"/>
        <v>0.95313063412091148</v>
      </c>
      <c r="O6" s="43">
        <f t="shared" si="9"/>
        <v>0.95313063412091148</v>
      </c>
      <c r="P6" s="30">
        <f t="shared" si="10"/>
        <v>20003.868745995605</v>
      </c>
      <c r="Q6" s="31">
        <f t="shared" si="12"/>
        <v>82721.47308167725</v>
      </c>
    </row>
    <row r="7" spans="1:17" x14ac:dyDescent="0.25">
      <c r="A7" s="6">
        <f t="shared" si="11"/>
        <v>43404</v>
      </c>
      <c r="B7" s="30">
        <f>IFERROR(VLOOKUP(A7, Data!$L$3:$N$123, 3),1)*Pension</f>
        <v>21374.27</v>
      </c>
      <c r="C7" s="37">
        <f t="shared" si="0"/>
        <v>0.33675564681724846</v>
      </c>
      <c r="D7" s="37">
        <f>IFERROR(VLOOKUP(A7,Data!$I$3:$J$1442,2),0)</f>
        <v>7.3606678999999994E-2</v>
      </c>
      <c r="E7" s="37">
        <f t="shared" si="1"/>
        <v>7.3406678999999989E-2</v>
      </c>
      <c r="F7" s="37">
        <f t="shared" si="5"/>
        <v>0.97558292614748443</v>
      </c>
      <c r="G7" s="30">
        <f t="shared" si="6"/>
        <v>20852.372870866391</v>
      </c>
      <c r="H7" s="38">
        <f t="shared" si="2"/>
        <v>95</v>
      </c>
      <c r="I7" s="39">
        <f t="shared" si="3"/>
        <v>95.961670088980156</v>
      </c>
      <c r="J7" s="40">
        <f t="shared" si="7"/>
        <v>0</v>
      </c>
      <c r="K7" s="43">
        <f>VLOOKUP(J7,Data!$Z$3:$AA$122,2)</f>
        <v>1</v>
      </c>
      <c r="L7" s="41">
        <f t="shared" si="4"/>
        <v>0.33675564681724846</v>
      </c>
      <c r="M7" s="43">
        <f>VLOOKUP(H7,Data!$P$3:$X$122,9)</f>
        <v>0.19057835049104505</v>
      </c>
      <c r="N7" s="43">
        <f t="shared" si="8"/>
        <v>0.93783773467796483</v>
      </c>
      <c r="O7" s="43">
        <f t="shared" si="9"/>
        <v>0.93783773467796483</v>
      </c>
      <c r="P7" s="30">
        <f t="shared" si="10"/>
        <v>19556.142135873586</v>
      </c>
      <c r="Q7" s="31">
        <f t="shared" si="12"/>
        <v>102277.61521755083</v>
      </c>
    </row>
    <row r="8" spans="1:17" x14ac:dyDescent="0.25">
      <c r="A8" s="6">
        <f t="shared" si="11"/>
        <v>43434</v>
      </c>
      <c r="B8" s="30">
        <f>IFERROR(VLOOKUP(A8, Data!$L$3:$N$123, 3),1)*Pension</f>
        <v>21374.27</v>
      </c>
      <c r="C8" s="37">
        <f t="shared" si="0"/>
        <v>0.41889117043121149</v>
      </c>
      <c r="D8" s="37">
        <f>IFERROR(VLOOKUP(A8,Data!$I$3:$J$1442,2),0)</f>
        <v>7.4142595000000006E-2</v>
      </c>
      <c r="E8" s="37">
        <f t="shared" si="1"/>
        <v>7.3942595E-2</v>
      </c>
      <c r="F8" s="37">
        <f t="shared" si="5"/>
        <v>0.9695008765594334</v>
      </c>
      <c r="G8" s="30">
        <f t="shared" si="6"/>
        <v>20722.373500818001</v>
      </c>
      <c r="H8" s="38">
        <f t="shared" si="2"/>
        <v>96</v>
      </c>
      <c r="I8" s="39">
        <f t="shared" si="3"/>
        <v>96.043805612594113</v>
      </c>
      <c r="J8" s="40">
        <f t="shared" si="7"/>
        <v>1</v>
      </c>
      <c r="K8" s="43">
        <f>VLOOKUP(J8,Data!$Z$3:$AA$122,2)</f>
        <v>0.82648100000000002</v>
      </c>
      <c r="L8" s="41">
        <f t="shared" si="4"/>
        <v>4.3805612594113086E-2</v>
      </c>
      <c r="M8" s="43">
        <f>VLOOKUP(H8,Data!$P$3:$X$122,9)</f>
        <v>0.20475736787763363</v>
      </c>
      <c r="N8" s="43">
        <f t="shared" si="8"/>
        <v>0.99107058422820959</v>
      </c>
      <c r="O8" s="43">
        <f t="shared" si="9"/>
        <v>0.81910100752351489</v>
      </c>
      <c r="P8" s="30">
        <f>G8*O8</f>
        <v>16973.71701279861</v>
      </c>
      <c r="Q8" s="31">
        <f t="shared" si="12"/>
        <v>119251.33223034945</v>
      </c>
    </row>
    <row r="9" spans="1:17" x14ac:dyDescent="0.25">
      <c r="A9" s="6">
        <f t="shared" si="11"/>
        <v>43465</v>
      </c>
      <c r="B9" s="30">
        <f>IFERROR(VLOOKUP(A9, Data!$L$3:$N$123, 3),1)*Pension</f>
        <v>22442.983500000002</v>
      </c>
      <c r="C9" s="37">
        <f t="shared" si="0"/>
        <v>0.50376454483230659</v>
      </c>
      <c r="D9" s="37">
        <f>IFERROR(VLOOKUP(A9,Data!$I$3:$J$1442,2),0)</f>
        <v>7.4552405000000002E-2</v>
      </c>
      <c r="E9" s="37">
        <f t="shared" si="1"/>
        <v>7.4352404999999996E-2</v>
      </c>
      <c r="F9" s="37">
        <f t="shared" si="5"/>
        <v>0.96323669762270148</v>
      </c>
      <c r="G9" s="30">
        <f t="shared" si="6"/>
        <v>21617.905311340779</v>
      </c>
      <c r="H9" s="38">
        <f t="shared" si="2"/>
        <v>96</v>
      </c>
      <c r="I9" s="39">
        <f t="shared" si="3"/>
        <v>96.128678986995212</v>
      </c>
      <c r="J9" s="40">
        <f t="shared" si="7"/>
        <v>1</v>
      </c>
      <c r="K9" s="43">
        <f>VLOOKUP(J9,Data!$Z$3:$AA$122,2)</f>
        <v>0.82648100000000002</v>
      </c>
      <c r="L9" s="41">
        <f t="shared" si="4"/>
        <v>0.12867898699521163</v>
      </c>
      <c r="M9" s="43">
        <f>VLOOKUP(H9,Data!$P$3:$X$122,9)</f>
        <v>0.20475736787763363</v>
      </c>
      <c r="N9" s="43">
        <f t="shared" si="8"/>
        <v>0.9739961085478821</v>
      </c>
      <c r="O9" s="43">
        <f t="shared" si="9"/>
        <v>0.80498927778876217</v>
      </c>
      <c r="P9" s="30">
        <f t="shared" si="10"/>
        <v>17402.181983882059</v>
      </c>
      <c r="Q9" s="31">
        <f t="shared" si="12"/>
        <v>136653.51421423152</v>
      </c>
    </row>
    <row r="10" spans="1:17" x14ac:dyDescent="0.25">
      <c r="A10" s="6">
        <f t="shared" si="11"/>
        <v>43496</v>
      </c>
      <c r="B10" s="30">
        <f>IFERROR(VLOOKUP(A10, Data!$L$3:$N$123, 3),1)*Pension</f>
        <v>22442.983500000002</v>
      </c>
      <c r="C10" s="37">
        <f t="shared" si="0"/>
        <v>0.58863791923340181</v>
      </c>
      <c r="D10" s="37">
        <f>IFERROR(VLOOKUP(A10,Data!$I$3:$J$1442,2),0)</f>
        <v>7.5324301999999996E-2</v>
      </c>
      <c r="E10" s="37">
        <f t="shared" si="1"/>
        <v>7.512430199999999E-2</v>
      </c>
      <c r="F10" s="37">
        <f t="shared" si="5"/>
        <v>0.95674248175714072</v>
      </c>
      <c r="G10" s="30">
        <f t="shared" si="6"/>
        <v>21472.155731824561</v>
      </c>
      <c r="H10" s="38">
        <f t="shared" si="2"/>
        <v>96</v>
      </c>
      <c r="I10" s="39">
        <f t="shared" si="3"/>
        <v>96.21355236139631</v>
      </c>
      <c r="J10" s="40">
        <f>H10-StartAge</f>
        <v>1</v>
      </c>
      <c r="K10" s="43">
        <f>VLOOKUP(J10,Data!$Z$3:$AA$122,2)</f>
        <v>0.82648100000000002</v>
      </c>
      <c r="L10" s="41">
        <f t="shared" si="4"/>
        <v>0.21355236139631018</v>
      </c>
      <c r="M10" s="43">
        <f>VLOOKUP(H10,Data!$P$3:$X$122,9)</f>
        <v>0.20475736787763363</v>
      </c>
      <c r="N10" s="43">
        <f t="shared" si="8"/>
        <v>0.95721579730386985</v>
      </c>
      <c r="O10" s="43">
        <f t="shared" si="9"/>
        <v>0.79112066937149972</v>
      </c>
      <c r="P10" s="30">
        <f t="shared" si="10"/>
        <v>16987.06621541013</v>
      </c>
      <c r="Q10" s="31">
        <f t="shared" si="12"/>
        <v>153640.58042964165</v>
      </c>
    </row>
    <row r="11" spans="1:17" x14ac:dyDescent="0.25">
      <c r="A11" s="6">
        <f t="shared" si="11"/>
        <v>43524</v>
      </c>
      <c r="B11" s="30">
        <f>IFERROR(VLOOKUP(A11, Data!$L$3:$N$123, 3),1)*Pension</f>
        <v>22442.983500000002</v>
      </c>
      <c r="C11" s="37">
        <f t="shared" si="0"/>
        <v>0.6652977412731006</v>
      </c>
      <c r="D11" s="37">
        <f>IFERROR(VLOOKUP(A11,Data!$I$3:$J$1442,2),0)</f>
        <v>7.5852915000000007E-2</v>
      </c>
      <c r="E11" s="37">
        <f t="shared" si="1"/>
        <v>7.5652915000000001E-2</v>
      </c>
      <c r="F11" s="37">
        <f t="shared" si="5"/>
        <v>0.95091394121525241</v>
      </c>
      <c r="G11" s="30">
        <f t="shared" si="6"/>
        <v>21341.345892613881</v>
      </c>
      <c r="H11" s="38">
        <f t="shared" si="2"/>
        <v>96</v>
      </c>
      <c r="I11" s="39">
        <f t="shared" si="3"/>
        <v>96.290212183435997</v>
      </c>
      <c r="J11" s="40">
        <f t="shared" si="7"/>
        <v>1</v>
      </c>
      <c r="K11" s="43">
        <f>VLOOKUP(J11,Data!$Z$3:$AA$122,2)</f>
        <v>0.82648100000000002</v>
      </c>
      <c r="L11" s="41">
        <f t="shared" si="4"/>
        <v>0.29021218343599742</v>
      </c>
      <c r="M11" s="43">
        <f>VLOOKUP(H11,Data!$P$3:$X$122,9)</f>
        <v>0.20475736787763363</v>
      </c>
      <c r="N11" s="43">
        <f t="shared" si="8"/>
        <v>0.94230801049153101</v>
      </c>
      <c r="O11" s="43">
        <f t="shared" si="9"/>
        <v>0.77879966681905111</v>
      </c>
      <c r="P11" s="30">
        <f t="shared" si="10"/>
        <v>16620.633070637814</v>
      </c>
      <c r="Q11" s="31">
        <f t="shared" si="12"/>
        <v>170261.21350027947</v>
      </c>
    </row>
    <row r="12" spans="1:17" x14ac:dyDescent="0.25">
      <c r="A12" s="6">
        <f t="shared" si="11"/>
        <v>43555</v>
      </c>
      <c r="B12" s="30">
        <f>IFERROR(VLOOKUP(A12, Data!$L$3:$N$123, 3),1)*Pension</f>
        <v>22442.983500000002</v>
      </c>
      <c r="C12" s="37">
        <f t="shared" si="0"/>
        <v>0.75017111567419581</v>
      </c>
      <c r="D12" s="37">
        <f>IFERROR(VLOOKUP(A12,Data!$I$3:$J$1442,2),0)</f>
        <v>7.6300048999999995E-2</v>
      </c>
      <c r="E12" s="37">
        <f t="shared" si="1"/>
        <v>7.6100048999999989E-2</v>
      </c>
      <c r="F12" s="37">
        <f t="shared" si="5"/>
        <v>0.94451089333964455</v>
      </c>
      <c r="G12" s="30">
        <f t="shared" si="6"/>
        <v>21197.642394791903</v>
      </c>
      <c r="H12" s="38">
        <f t="shared" si="2"/>
        <v>96</v>
      </c>
      <c r="I12" s="39">
        <f t="shared" si="3"/>
        <v>96.375085557837096</v>
      </c>
      <c r="J12" s="40">
        <f t="shared" si="7"/>
        <v>1</v>
      </c>
      <c r="K12" s="43">
        <f>VLOOKUP(J12,Data!$Z$3:$AA$122,2)</f>
        <v>0.82648100000000002</v>
      </c>
      <c r="L12" s="41">
        <f t="shared" si="4"/>
        <v>0.37508555783709596</v>
      </c>
      <c r="M12" s="43">
        <f>VLOOKUP(H12,Data!$P$3:$X$122,9)</f>
        <v>0.20475736787763363</v>
      </c>
      <c r="N12" s="43">
        <f t="shared" si="8"/>
        <v>0.92607363176557489</v>
      </c>
      <c r="O12" s="43">
        <f t="shared" si="9"/>
        <v>0.76538226125524411</v>
      </c>
      <c r="P12" s="30">
        <f t="shared" si="10"/>
        <v>16224.299469405854</v>
      </c>
      <c r="Q12" s="31">
        <f t="shared" si="12"/>
        <v>186485.51296968531</v>
      </c>
    </row>
    <row r="13" spans="1:17" x14ac:dyDescent="0.25">
      <c r="A13" s="6">
        <f t="shared" si="11"/>
        <v>43585</v>
      </c>
      <c r="B13" s="30">
        <f>IFERROR(VLOOKUP(A13, Data!$L$3:$N$123, 3),1)*Pension</f>
        <v>22442.983500000002</v>
      </c>
      <c r="C13" s="37">
        <f t="shared" si="0"/>
        <v>0.83230663928815884</v>
      </c>
      <c r="D13" s="37">
        <f>IFERROR(VLOOKUP(A13,Data!$I$3:$J$1442,2),0)</f>
        <v>7.6487400999999997E-2</v>
      </c>
      <c r="E13" s="37">
        <f t="shared" si="1"/>
        <v>7.6287400999999991E-2</v>
      </c>
      <c r="F13" s="37">
        <f t="shared" si="5"/>
        <v>0.9384792712126907</v>
      </c>
      <c r="G13" s="30">
        <f t="shared" si="6"/>
        <v>21062.274798918443</v>
      </c>
      <c r="H13" s="38">
        <f t="shared" si="2"/>
        <v>96</v>
      </c>
      <c r="I13" s="39">
        <f t="shared" si="3"/>
        <v>96.457221081451067</v>
      </c>
      <c r="J13" s="40">
        <f t="shared" si="7"/>
        <v>1</v>
      </c>
      <c r="K13" s="43">
        <f>VLOOKUP(J13,Data!$Z$3:$AA$122,2)</f>
        <v>0.82648100000000002</v>
      </c>
      <c r="L13" s="41">
        <f t="shared" si="4"/>
        <v>0.45722108145106688</v>
      </c>
      <c r="M13" s="43">
        <f>VLOOKUP(H13,Data!$P$3:$X$122,9)</f>
        <v>0.20475736787763363</v>
      </c>
      <c r="N13" s="43">
        <f t="shared" si="8"/>
        <v>0.91062929529765524</v>
      </c>
      <c r="O13" s="43">
        <f t="shared" si="9"/>
        <v>0.75261781060690147</v>
      </c>
      <c r="P13" s="30">
        <f t="shared" si="10"/>
        <v>15851.843145562914</v>
      </c>
      <c r="Q13" s="31">
        <f t="shared" si="12"/>
        <v>202337.35611524823</v>
      </c>
    </row>
    <row r="14" spans="1:17" x14ac:dyDescent="0.25">
      <c r="A14" s="6">
        <f t="shared" si="11"/>
        <v>43616</v>
      </c>
      <c r="B14" s="30">
        <f>IFERROR(VLOOKUP(A14, Data!$L$3:$N$123, 3),1)*Pension</f>
        <v>22442.983500000002</v>
      </c>
      <c r="C14" s="37">
        <f t="shared" si="0"/>
        <v>0.91718001368925395</v>
      </c>
      <c r="D14" s="37">
        <f>IFERROR(VLOOKUP(A14,Data!$I$3:$J$1442,2),0)</f>
        <v>7.6645850000000001E-2</v>
      </c>
      <c r="E14" s="37">
        <f t="shared" si="1"/>
        <v>7.6445849999999996E-2</v>
      </c>
      <c r="F14" s="37">
        <f t="shared" si="5"/>
        <v>0.93228696833642022</v>
      </c>
      <c r="G14" s="30">
        <f t="shared" si="6"/>
        <v>20923.301047639303</v>
      </c>
      <c r="H14" s="38">
        <f t="shared" si="2"/>
        <v>96</v>
      </c>
      <c r="I14" s="39">
        <f t="shared" si="3"/>
        <v>96.542094455852151</v>
      </c>
      <c r="J14" s="40">
        <f t="shared" si="7"/>
        <v>1</v>
      </c>
      <c r="K14" s="43">
        <f>VLOOKUP(J14,Data!$Z$3:$AA$122,2)</f>
        <v>0.82648100000000002</v>
      </c>
      <c r="L14" s="41">
        <f t="shared" si="4"/>
        <v>0.54209445585215121</v>
      </c>
      <c r="M14" s="43">
        <f>VLOOKUP(H14,Data!$P$3:$X$122,9)</f>
        <v>0.20475736787763363</v>
      </c>
      <c r="N14" s="43">
        <f t="shared" si="8"/>
        <v>0.89494068743885247</v>
      </c>
      <c r="O14" s="43">
        <f t="shared" si="9"/>
        <v>0.73965147429515021</v>
      </c>
      <c r="P14" s="30">
        <f t="shared" si="10"/>
        <v>15475.950467007671</v>
      </c>
      <c r="Q14" s="31">
        <f t="shared" si="12"/>
        <v>217813.3065822559</v>
      </c>
    </row>
    <row r="15" spans="1:17" x14ac:dyDescent="0.25">
      <c r="A15" s="6">
        <f t="shared" si="11"/>
        <v>43646</v>
      </c>
      <c r="B15" s="30">
        <f>IFERROR(VLOOKUP(A15, Data!$L$3:$N$123, 3),1)*Pension</f>
        <v>22442.983500000002</v>
      </c>
      <c r="C15" s="37">
        <f t="shared" si="0"/>
        <v>0.99931553730321698</v>
      </c>
      <c r="D15" s="37">
        <f>IFERROR(VLOOKUP(A15,Data!$I$3:$J$1442,2),0)</f>
        <v>7.6754370000000002E-2</v>
      </c>
      <c r="E15" s="37">
        <f t="shared" si="1"/>
        <v>7.6554369999999997E-2</v>
      </c>
      <c r="F15" s="37">
        <f t="shared" si="5"/>
        <v>0.9263510880882514</v>
      </c>
      <c r="G15" s="30">
        <f t="shared" si="6"/>
        <v>20790.082185171676</v>
      </c>
      <c r="H15" s="38">
        <f t="shared" si="2"/>
        <v>96</v>
      </c>
      <c r="I15" s="39">
        <f t="shared" si="3"/>
        <v>96.624229979466122</v>
      </c>
      <c r="J15" s="40">
        <f t="shared" si="7"/>
        <v>1</v>
      </c>
      <c r="K15" s="43">
        <f>VLOOKUP(J15,Data!$Z$3:$AA$122,2)</f>
        <v>0.82648100000000002</v>
      </c>
      <c r="L15" s="41">
        <f t="shared" si="4"/>
        <v>0.62422997946612213</v>
      </c>
      <c r="M15" s="43">
        <f>VLOOKUP(H15,Data!$P$3:$X$122,9)</f>
        <v>0.20475736787763363</v>
      </c>
      <c r="N15" s="43">
        <f t="shared" si="8"/>
        <v>0.88001556202600006</v>
      </c>
      <c r="O15" s="43">
        <f t="shared" si="9"/>
        <v>0.72731614171881054</v>
      </c>
      <c r="P15" s="30">
        <f t="shared" si="10"/>
        <v>15120.962360936041</v>
      </c>
      <c r="Q15" s="31">
        <f t="shared" si="12"/>
        <v>232934.26894319194</v>
      </c>
    </row>
    <row r="16" spans="1:17" x14ac:dyDescent="0.25">
      <c r="A16" s="6">
        <f t="shared" si="11"/>
        <v>43677</v>
      </c>
      <c r="B16" s="30">
        <f>IFERROR(VLOOKUP(A16, Data!$L$3:$N$123, 3),1)*Pension</f>
        <v>22442.983500000002</v>
      </c>
      <c r="C16" s="37">
        <f t="shared" si="0"/>
        <v>1.0841889117043122</v>
      </c>
      <c r="D16" s="37">
        <f>IFERROR(VLOOKUP(A16,Data!$I$3:$J$1442,2),0)</f>
        <v>7.6317151999999999E-2</v>
      </c>
      <c r="E16" s="37">
        <f t="shared" si="1"/>
        <v>7.6117151999999993E-2</v>
      </c>
      <c r="F16" s="37">
        <f t="shared" si="5"/>
        <v>0.9207880751514339</v>
      </c>
      <c r="G16" s="30">
        <f t="shared" si="6"/>
        <v>20665.231577620394</v>
      </c>
      <c r="H16" s="38">
        <f t="shared" si="2"/>
        <v>96</v>
      </c>
      <c r="I16" s="39">
        <f t="shared" si="3"/>
        <v>96.709103353867221</v>
      </c>
      <c r="J16" s="40">
        <f t="shared" si="7"/>
        <v>1</v>
      </c>
      <c r="K16" s="43">
        <f>VLOOKUP(J16,Data!$Z$3:$AA$122,2)</f>
        <v>0.82648100000000002</v>
      </c>
      <c r="L16" s="41">
        <f t="shared" si="4"/>
        <v>0.70910335386722068</v>
      </c>
      <c r="M16" s="43">
        <f>VLOOKUP(H16,Data!$P$3:$X$122,9)</f>
        <v>0.20475736787763363</v>
      </c>
      <c r="N16" s="43">
        <f t="shared" si="8"/>
        <v>0.86485437719089175</v>
      </c>
      <c r="O16" s="43">
        <f t="shared" si="9"/>
        <v>0.71478571051510542</v>
      </c>
      <c r="P16" s="30">
        <f t="shared" si="10"/>
        <v>14771.212236168587</v>
      </c>
      <c r="Q16" s="31">
        <f t="shared" si="12"/>
        <v>247705.48117936053</v>
      </c>
    </row>
    <row r="17" spans="1:17" x14ac:dyDescent="0.25">
      <c r="A17" s="6">
        <f t="shared" si="11"/>
        <v>43708</v>
      </c>
      <c r="B17" s="30">
        <f>IFERROR(VLOOKUP(A17, Data!$L$3:$N$123, 3),1)*Pension</f>
        <v>22442.983500000002</v>
      </c>
      <c r="C17" s="37">
        <f t="shared" si="0"/>
        <v>1.1690622861054072</v>
      </c>
      <c r="D17" s="37">
        <f>IFERROR(VLOOKUP(A17,Data!$I$3:$J$1442,2),0)</f>
        <v>7.5943267999999994E-2</v>
      </c>
      <c r="E17" s="37">
        <f t="shared" si="1"/>
        <v>7.5743267999999989E-2</v>
      </c>
      <c r="F17" s="37">
        <f t="shared" si="5"/>
        <v>0.9152586298749239</v>
      </c>
      <c r="G17" s="30">
        <f t="shared" si="6"/>
        <v>20541.134328515527</v>
      </c>
      <c r="H17" s="38">
        <f t="shared" si="2"/>
        <v>96</v>
      </c>
      <c r="I17" s="39">
        <f t="shared" si="3"/>
        <v>96.793976728268305</v>
      </c>
      <c r="J17" s="40">
        <f t="shared" si="7"/>
        <v>1</v>
      </c>
      <c r="K17" s="43">
        <f>VLOOKUP(J17,Data!$Z$3:$AA$122,2)</f>
        <v>0.82648100000000002</v>
      </c>
      <c r="L17" s="41">
        <f t="shared" si="4"/>
        <v>0.79397672826830501</v>
      </c>
      <c r="M17" s="43">
        <f>VLOOKUP(H17,Data!$P$3:$X$122,9)</f>
        <v>0.20475736787763363</v>
      </c>
      <c r="N17" s="43">
        <f t="shared" si="8"/>
        <v>0.84995439401576012</v>
      </c>
      <c r="O17" s="43">
        <f t="shared" si="9"/>
        <v>0.70247115752053946</v>
      </c>
      <c r="P17" s="30">
        <f t="shared" si="10"/>
        <v>14429.554408537191</v>
      </c>
      <c r="Q17" s="31">
        <f t="shared" si="12"/>
        <v>262135.03558789773</v>
      </c>
    </row>
    <row r="18" spans="1:17" x14ac:dyDescent="0.25">
      <c r="A18" s="6">
        <f t="shared" si="11"/>
        <v>43738</v>
      </c>
      <c r="B18" s="30">
        <f>IFERROR(VLOOKUP(A18, Data!$L$3:$N$123, 3),1)*Pension</f>
        <v>22442.983500000002</v>
      </c>
      <c r="C18" s="37">
        <f t="shared" si="0"/>
        <v>1.2511978097193703</v>
      </c>
      <c r="D18" s="37">
        <f>IFERROR(VLOOKUP(A18,Data!$I$3:$J$1442,2),0)</f>
        <v>7.5629463999999993E-2</v>
      </c>
      <c r="E18" s="37">
        <f t="shared" si="1"/>
        <v>7.5429463999999988E-2</v>
      </c>
      <c r="F18" s="37">
        <f t="shared" si="5"/>
        <v>0.90993948639890299</v>
      </c>
      <c r="G18" s="30">
        <f t="shared" si="6"/>
        <v>20421.756879249057</v>
      </c>
      <c r="H18" s="38">
        <f t="shared" si="2"/>
        <v>96</v>
      </c>
      <c r="I18" s="39">
        <f t="shared" si="3"/>
        <v>96.876112251882276</v>
      </c>
      <c r="J18" s="40">
        <f t="shared" si="7"/>
        <v>1</v>
      </c>
      <c r="K18" s="43">
        <f>VLOOKUP(J18,Data!$Z$3:$AA$122,2)</f>
        <v>0.82648100000000002</v>
      </c>
      <c r="L18" s="41">
        <f t="shared" si="4"/>
        <v>0.87611225188227593</v>
      </c>
      <c r="M18" s="43">
        <f>VLOOKUP(H18,Data!$P$3:$X$122,9)</f>
        <v>0.20475736787763363</v>
      </c>
      <c r="N18" s="43">
        <f t="shared" si="8"/>
        <v>0.83577951505010029</v>
      </c>
      <c r="O18" s="43">
        <f t="shared" si="9"/>
        <v>0.69075588937812193</v>
      </c>
      <c r="P18" s="30">
        <f t="shared" si="10"/>
        <v>14106.448835789462</v>
      </c>
      <c r="Q18" s="31">
        <f t="shared" si="12"/>
        <v>276241.48442368722</v>
      </c>
    </row>
    <row r="19" spans="1:17" x14ac:dyDescent="0.25">
      <c r="A19" s="6">
        <f t="shared" si="11"/>
        <v>43769</v>
      </c>
      <c r="B19" s="30">
        <f>IFERROR(VLOOKUP(A19, Data!$L$3:$N$123, 3),1)*Pension</f>
        <v>22442.983500000002</v>
      </c>
      <c r="C19" s="37">
        <f t="shared" si="0"/>
        <v>1.3360711841204653</v>
      </c>
      <c r="D19" s="37">
        <f>IFERROR(VLOOKUP(A19,Data!$I$3:$J$1442,2),0)</f>
        <v>7.5340824000000001E-2</v>
      </c>
      <c r="E19" s="37">
        <f t="shared" si="1"/>
        <v>7.5140823999999995E-2</v>
      </c>
      <c r="F19" s="37">
        <f t="shared" si="5"/>
        <v>0.90448144387475493</v>
      </c>
      <c r="G19" s="30">
        <f t="shared" si="6"/>
        <v>20299.262120937303</v>
      </c>
      <c r="H19" s="38">
        <f t="shared" si="2"/>
        <v>96</v>
      </c>
      <c r="I19" s="39">
        <f t="shared" si="3"/>
        <v>96.960985626283374</v>
      </c>
      <c r="J19" s="40">
        <f t="shared" si="7"/>
        <v>1</v>
      </c>
      <c r="K19" s="43">
        <f>VLOOKUP(J19,Data!$Z$3:$AA$122,2)</f>
        <v>0.82648100000000002</v>
      </c>
      <c r="L19" s="41">
        <f t="shared" si="4"/>
        <v>0.96098562628337447</v>
      </c>
      <c r="M19" s="43">
        <f>VLOOKUP(H19,Data!$P$3:$X$122,9)</f>
        <v>0.20475736787763363</v>
      </c>
      <c r="N19" s="43">
        <f t="shared" si="8"/>
        <v>0.82138044274290245</v>
      </c>
      <c r="O19" s="43">
        <f t="shared" si="9"/>
        <v>0.67885532969859674</v>
      </c>
      <c r="P19" s="30">
        <f t="shared" si="10"/>
        <v>13780.262279747129</v>
      </c>
      <c r="Q19" s="31">
        <f t="shared" si="12"/>
        <v>290021.74670343433</v>
      </c>
    </row>
    <row r="20" spans="1:17" x14ac:dyDescent="0.25">
      <c r="A20" s="6">
        <f t="shared" si="11"/>
        <v>43799</v>
      </c>
      <c r="B20" s="30">
        <f>IFERROR(VLOOKUP(A20, Data!$L$3:$N$123, 3),1)*Pension</f>
        <v>22442.983500000002</v>
      </c>
      <c r="C20" s="37">
        <f t="shared" si="0"/>
        <v>1.4182067077344285</v>
      </c>
      <c r="D20" s="37">
        <f>IFERROR(VLOOKUP(A20,Data!$I$3:$J$1442,2),0)</f>
        <v>7.5094326000000003E-2</v>
      </c>
      <c r="E20" s="37">
        <f t="shared" si="1"/>
        <v>7.4894325999999997E-2</v>
      </c>
      <c r="F20" s="37">
        <f t="shared" si="5"/>
        <v>0.89923072109774471</v>
      </c>
      <c r="G20" s="30">
        <f t="shared" si="6"/>
        <v>20181.420236289789</v>
      </c>
      <c r="H20" s="38">
        <f t="shared" si="2"/>
        <v>97</v>
      </c>
      <c r="I20" s="39">
        <f t="shared" si="3"/>
        <v>97.043121149897331</v>
      </c>
      <c r="J20" s="40">
        <f t="shared" si="7"/>
        <v>2</v>
      </c>
      <c r="K20" s="43">
        <f>VLOOKUP(J20,Data!$Z$3:$AA$122,2)</f>
        <v>0.67345391044500003</v>
      </c>
      <c r="L20" s="41">
        <f t="shared" si="4"/>
        <v>4.3121149897331179E-2</v>
      </c>
      <c r="M20" s="43">
        <f>VLOOKUP(H20,Data!$P$3:$X$122,9)</f>
        <v>0.21958738198644329</v>
      </c>
      <c r="N20" s="43">
        <f t="shared" si="8"/>
        <v>0.99057582808362776</v>
      </c>
      <c r="O20" s="43">
        <f t="shared" si="9"/>
        <v>0.66710716501521317</v>
      </c>
      <c r="P20" s="30">
        <f t="shared" si="10"/>
        <v>13463.170039811934</v>
      </c>
      <c r="Q20" s="31">
        <f t="shared" si="12"/>
        <v>303484.91674324626</v>
      </c>
    </row>
    <row r="21" spans="1:17" x14ac:dyDescent="0.25">
      <c r="A21" s="6">
        <f t="shared" si="11"/>
        <v>43830</v>
      </c>
      <c r="B21" s="30">
        <f>IFERROR(VLOOKUP(A21, Data!$L$3:$N$123, 3),1)*Pension</f>
        <v>23565.132675000001</v>
      </c>
      <c r="C21" s="37">
        <f t="shared" si="0"/>
        <v>1.5030800821355237</v>
      </c>
      <c r="D21" s="37">
        <f>IFERROR(VLOOKUP(A21,Data!$I$3:$J$1442,2),0)</f>
        <v>7.4883431E-2</v>
      </c>
      <c r="E21" s="37">
        <f t="shared" si="1"/>
        <v>7.4683430999999995E-2</v>
      </c>
      <c r="F21" s="37">
        <f t="shared" si="5"/>
        <v>0.89381614653660801</v>
      </c>
      <c r="G21" s="30">
        <f t="shared" si="6"/>
        <v>21062.896080192411</v>
      </c>
      <c r="H21" s="38">
        <f t="shared" si="2"/>
        <v>97</v>
      </c>
      <c r="I21" s="39">
        <f t="shared" si="3"/>
        <v>97.12799452429843</v>
      </c>
      <c r="J21" s="40">
        <f t="shared" si="7"/>
        <v>2</v>
      </c>
      <c r="K21" s="43">
        <f>VLOOKUP(J21,Data!$Z$3:$AA$122,2)</f>
        <v>0.67345391044500003</v>
      </c>
      <c r="L21" s="41">
        <f t="shared" si="4"/>
        <v>0.12799452429842972</v>
      </c>
      <c r="M21" s="43">
        <f>VLOOKUP(H21,Data!$P$3:$X$122,9)</f>
        <v>0.21958738198644329</v>
      </c>
      <c r="N21" s="43">
        <f t="shared" si="8"/>
        <v>0.97228531611273172</v>
      </c>
      <c r="O21" s="43">
        <f t="shared" si="9"/>
        <v>0.65478934820437218</v>
      </c>
      <c r="P21" s="30">
        <f t="shared" si="10"/>
        <v>13791.759995645614</v>
      </c>
      <c r="Q21" s="31">
        <f t="shared" si="12"/>
        <v>317276.67673889187</v>
      </c>
    </row>
    <row r="22" spans="1:17" x14ac:dyDescent="0.25">
      <c r="A22" s="6">
        <f t="shared" si="11"/>
        <v>43861</v>
      </c>
      <c r="B22" s="30">
        <f>IFERROR(VLOOKUP(A22, Data!$L$3:$N$123, 3),1)*Pension</f>
        <v>23565.132675000001</v>
      </c>
      <c r="C22" s="37">
        <f t="shared" si="0"/>
        <v>1.5879534565366187</v>
      </c>
      <c r="D22" s="37">
        <f>IFERROR(VLOOKUP(A22,Data!$I$3:$J$1442,2),0)</f>
        <v>7.4908767000000001E-2</v>
      </c>
      <c r="E22" s="37">
        <f t="shared" si="1"/>
        <v>7.4708766999999995E-2</v>
      </c>
      <c r="F22" s="37">
        <f t="shared" si="5"/>
        <v>0.88813275810730763</v>
      </c>
      <c r="G22" s="30">
        <f t="shared" si="6"/>
        <v>20928.966277812386</v>
      </c>
      <c r="H22" s="38">
        <f t="shared" si="2"/>
        <v>97</v>
      </c>
      <c r="I22" s="39">
        <f t="shared" si="3"/>
        <v>97.212867898699514</v>
      </c>
      <c r="J22" s="40">
        <f t="shared" si="7"/>
        <v>2</v>
      </c>
      <c r="K22" s="43">
        <f>VLOOKUP(J22,Data!$Z$3:$AA$122,2)</f>
        <v>0.67345391044500003</v>
      </c>
      <c r="L22" s="41">
        <f t="shared" si="4"/>
        <v>0.21286789869951406</v>
      </c>
      <c r="M22" s="43">
        <f>VLOOKUP(H22,Data!$P$3:$X$122,9)</f>
        <v>0.21958738198644329</v>
      </c>
      <c r="N22" s="43">
        <f t="shared" si="8"/>
        <v>0.95433252975422767</v>
      </c>
      <c r="O22" s="43">
        <f t="shared" si="9"/>
        <v>0.64269897402785392</v>
      </c>
      <c r="P22" s="30">
        <f t="shared" si="10"/>
        <v>13451.025154213574</v>
      </c>
      <c r="Q22" s="31">
        <f t="shared" si="12"/>
        <v>330727.70189310546</v>
      </c>
    </row>
    <row r="23" spans="1:17" x14ac:dyDescent="0.25">
      <c r="A23" s="6">
        <f t="shared" si="11"/>
        <v>43890</v>
      </c>
      <c r="B23" s="30">
        <f>IFERROR(VLOOKUP(A23, Data!$L$3:$N$123, 3),1)*Pension</f>
        <v>23565.132675000001</v>
      </c>
      <c r="C23" s="37">
        <f t="shared" si="0"/>
        <v>1.6673511293634498</v>
      </c>
      <c r="D23" s="37">
        <f>IFERROR(VLOOKUP(A23,Data!$I$3:$J$1442,2),0)</f>
        <v>7.4930136999999994E-2</v>
      </c>
      <c r="E23" s="37">
        <f t="shared" si="1"/>
        <v>7.4730136999999988E-2</v>
      </c>
      <c r="F23" s="37">
        <f t="shared" si="5"/>
        <v>0.88284875510194527</v>
      </c>
      <c r="G23" s="30">
        <f t="shared" si="6"/>
        <v>20804.448045935926</v>
      </c>
      <c r="H23" s="38">
        <f t="shared" si="2"/>
        <v>97</v>
      </c>
      <c r="I23" s="39">
        <f t="shared" si="3"/>
        <v>97.292265571526357</v>
      </c>
      <c r="J23" s="40">
        <f t="shared" si="7"/>
        <v>2</v>
      </c>
      <c r="K23" s="43">
        <f>VLOOKUP(J23,Data!$Z$3:$AA$122,2)</f>
        <v>0.67345391044500003</v>
      </c>
      <c r="L23" s="41">
        <f t="shared" si="4"/>
        <v>0.29226557152635735</v>
      </c>
      <c r="M23" s="43">
        <f>VLOOKUP(H23,Data!$P$3:$X$122,9)</f>
        <v>0.21958738198644329</v>
      </c>
      <c r="N23" s="43">
        <f t="shared" si="8"/>
        <v>0.93783820734148571</v>
      </c>
      <c r="O23" s="43">
        <f t="shared" si="9"/>
        <v>0.63159080809885226</v>
      </c>
      <c r="P23" s="30">
        <f t="shared" si="10"/>
        <v>13139.898153383259</v>
      </c>
      <c r="Q23" s="31">
        <f t="shared" si="12"/>
        <v>343867.60004648875</v>
      </c>
    </row>
    <row r="24" spans="1:17" x14ac:dyDescent="0.25">
      <c r="A24" s="6">
        <f t="shared" si="11"/>
        <v>43921</v>
      </c>
      <c r="B24" s="30">
        <f>IFERROR(VLOOKUP(A24, Data!$L$3:$N$123, 3),1)*Pension</f>
        <v>23565.132675000001</v>
      </c>
      <c r="C24" s="37">
        <f t="shared" si="0"/>
        <v>1.7522245037645447</v>
      </c>
      <c r="D24" s="37">
        <f>IFERROR(VLOOKUP(A24,Data!$I$3:$J$1442,2),0)</f>
        <v>7.4967315000000007E-2</v>
      </c>
      <c r="E24" s="37">
        <f t="shared" si="1"/>
        <v>7.4767315000000001E-2</v>
      </c>
      <c r="F24" s="37">
        <f t="shared" si="5"/>
        <v>0.87720977295255387</v>
      </c>
      <c r="G24" s="30">
        <f t="shared" si="6"/>
        <v>20671.56468343356</v>
      </c>
      <c r="H24" s="38">
        <f t="shared" si="2"/>
        <v>97</v>
      </c>
      <c r="I24" s="39">
        <f t="shared" si="3"/>
        <v>97.377138945927442</v>
      </c>
      <c r="J24" s="40">
        <f t="shared" si="7"/>
        <v>2</v>
      </c>
      <c r="K24" s="43">
        <f>VLOOKUP(J24,Data!$Z$3:$AA$122,2)</f>
        <v>0.67345391044500003</v>
      </c>
      <c r="L24" s="41">
        <f t="shared" si="4"/>
        <v>0.37713894592744168</v>
      </c>
      <c r="M24" s="43">
        <f>VLOOKUP(H24,Data!$P$3:$X$122,9)</f>
        <v>0.21958738198644329</v>
      </c>
      <c r="N24" s="43">
        <f t="shared" si="8"/>
        <v>0.92052147047811439</v>
      </c>
      <c r="O24" s="43">
        <f t="shared" si="9"/>
        <v>0.61992878394206774</v>
      </c>
      <c r="P24" s="30">
        <f t="shared" si="10"/>
        <v>12814.897956380761</v>
      </c>
      <c r="Q24" s="31">
        <f t="shared" si="12"/>
        <v>356682.49800286948</v>
      </c>
    </row>
    <row r="25" spans="1:17" x14ac:dyDescent="0.25">
      <c r="A25" s="6">
        <f t="shared" si="11"/>
        <v>43951</v>
      </c>
      <c r="B25" s="30">
        <f>IFERROR(VLOOKUP(A25, Data!$L$3:$N$123, 3),1)*Pension</f>
        <v>23565.132675000001</v>
      </c>
      <c r="C25" s="37">
        <f t="shared" si="0"/>
        <v>1.8343600273785079</v>
      </c>
      <c r="D25" s="37">
        <f>IFERROR(VLOOKUP(A25,Data!$I$3:$J$1442,2),0)</f>
        <v>7.5220831000000002E-2</v>
      </c>
      <c r="E25" s="37">
        <f t="shared" si="1"/>
        <v>7.5020830999999996E-2</v>
      </c>
      <c r="F25" s="37">
        <f t="shared" si="5"/>
        <v>0.87143394316519485</v>
      </c>
      <c r="G25" s="30">
        <f t="shared" si="6"/>
        <v>20535.456488186228</v>
      </c>
      <c r="H25" s="38">
        <f t="shared" si="2"/>
        <v>97</v>
      </c>
      <c r="I25" s="39">
        <f t="shared" si="3"/>
        <v>97.459274469541413</v>
      </c>
      <c r="J25" s="40">
        <f t="shared" si="7"/>
        <v>2</v>
      </c>
      <c r="K25" s="43">
        <f>VLOOKUP(J25,Data!$Z$3:$AA$122,2)</f>
        <v>0.67345391044500003</v>
      </c>
      <c r="L25" s="41">
        <f t="shared" si="4"/>
        <v>0.4592744695414126</v>
      </c>
      <c r="M25" s="43">
        <f>VLOOKUP(H25,Data!$P$3:$X$122,9)</f>
        <v>0.21958738198644329</v>
      </c>
      <c r="N25" s="43">
        <f t="shared" si="8"/>
        <v>0.90406783889526554</v>
      </c>
      <c r="O25" s="43">
        <f t="shared" si="9"/>
        <v>0.6088480214115769</v>
      </c>
      <c r="P25" s="30">
        <f t="shared" si="10"/>
        <v>12502.972051615714</v>
      </c>
      <c r="Q25" s="31">
        <f t="shared" si="12"/>
        <v>369185.47005448519</v>
      </c>
    </row>
    <row r="26" spans="1:17" x14ac:dyDescent="0.25">
      <c r="A26" s="6">
        <f t="shared" si="11"/>
        <v>43982</v>
      </c>
      <c r="B26" s="30">
        <f>IFERROR(VLOOKUP(A26, Data!$L$3:$N$123, 3),1)*Pension</f>
        <v>23565.132675000001</v>
      </c>
      <c r="C26" s="37">
        <f t="shared" si="0"/>
        <v>1.9192334017796031</v>
      </c>
      <c r="D26" s="37">
        <f>IFERROR(VLOOKUP(A26,Data!$I$3:$J$1442,2),0)</f>
        <v>7.5460034999999995E-2</v>
      </c>
      <c r="E26" s="37">
        <f t="shared" si="1"/>
        <v>7.5260034999999989E-2</v>
      </c>
      <c r="F26" s="37">
        <f t="shared" si="5"/>
        <v>0.86550547982221182</v>
      </c>
      <c r="G26" s="30">
        <f t="shared" si="6"/>
        <v>20395.751462949956</v>
      </c>
      <c r="H26" s="38">
        <f t="shared" si="2"/>
        <v>97</v>
      </c>
      <c r="I26" s="39">
        <f t="shared" si="3"/>
        <v>97.544147843942511</v>
      </c>
      <c r="J26" s="40">
        <f t="shared" si="7"/>
        <v>2</v>
      </c>
      <c r="K26" s="43">
        <f>VLOOKUP(J26,Data!$Z$3:$AA$122,2)</f>
        <v>0.67345391044500003</v>
      </c>
      <c r="L26" s="41">
        <f t="shared" si="4"/>
        <v>0.54414784394251114</v>
      </c>
      <c r="M26" s="43">
        <f>VLOOKUP(H26,Data!$P$3:$X$122,9)</f>
        <v>0.21958738198644329</v>
      </c>
      <c r="N26" s="43">
        <f t="shared" si="8"/>
        <v>0.88737465583849107</v>
      </c>
      <c r="O26" s="43">
        <f t="shared" si="9"/>
        <v>0.59760593200421785</v>
      </c>
      <c r="P26" s="30">
        <f t="shared" si="10"/>
        <v>12188.622061942599</v>
      </c>
      <c r="Q26" s="31">
        <f t="shared" si="12"/>
        <v>381374.09211642778</v>
      </c>
    </row>
    <row r="27" spans="1:17" x14ac:dyDescent="0.25">
      <c r="A27" s="6">
        <f t="shared" si="11"/>
        <v>44012</v>
      </c>
      <c r="B27" s="30">
        <f>IFERROR(VLOOKUP(A27, Data!$L$3:$N$123, 3),1)*Pension</f>
        <v>23565.132675000001</v>
      </c>
      <c r="C27" s="37">
        <f t="shared" si="0"/>
        <v>2.001368925393566</v>
      </c>
      <c r="D27" s="37">
        <f>IFERROR(VLOOKUP(A27,Data!$I$3:$J$1442,2),0)</f>
        <v>7.5673981000000001E-2</v>
      </c>
      <c r="E27" s="37">
        <f t="shared" si="1"/>
        <v>7.5473980999999996E-2</v>
      </c>
      <c r="F27" s="37">
        <f t="shared" si="5"/>
        <v>0.8598036065855279</v>
      </c>
      <c r="G27" s="30">
        <f t="shared" si="6"/>
        <v>20261.386063631471</v>
      </c>
      <c r="H27" s="38">
        <f t="shared" si="2"/>
        <v>97</v>
      </c>
      <c r="I27" s="39">
        <f t="shared" si="3"/>
        <v>97.626283367556468</v>
      </c>
      <c r="J27" s="40">
        <f t="shared" si="7"/>
        <v>2</v>
      </c>
      <c r="K27" s="43">
        <f>VLOOKUP(J27,Data!$Z$3:$AA$122,2)</f>
        <v>0.67345391044500003</v>
      </c>
      <c r="L27" s="41">
        <f t="shared" si="4"/>
        <v>0.62628336755646785</v>
      </c>
      <c r="M27" s="43">
        <f>VLOOKUP(H27,Data!$P$3:$X$122,9)</f>
        <v>0.21958738198644329</v>
      </c>
      <c r="N27" s="43">
        <f t="shared" si="8"/>
        <v>0.87151349873203288</v>
      </c>
      <c r="O27" s="43">
        <f t="shared" si="9"/>
        <v>0.58692417372669115</v>
      </c>
      <c r="P27" s="30">
        <f t="shared" si="10"/>
        <v>11891.897273954397</v>
      </c>
      <c r="Q27" s="31">
        <f t="shared" si="12"/>
        <v>393265.98939038219</v>
      </c>
    </row>
    <row r="28" spans="1:17" x14ac:dyDescent="0.25">
      <c r="A28" s="6">
        <f t="shared" si="11"/>
        <v>44043</v>
      </c>
      <c r="B28" s="30">
        <f>IFERROR(VLOOKUP(A28, Data!$L$3:$N$123, 3),1)*Pension</f>
        <v>23565.132675000001</v>
      </c>
      <c r="C28" s="37">
        <f t="shared" si="0"/>
        <v>2.086242299794661</v>
      </c>
      <c r="D28" s="37">
        <f>IFERROR(VLOOKUP(A28,Data!$I$3:$J$1442,2),0)</f>
        <v>7.5927703999999999E-2</v>
      </c>
      <c r="E28" s="37">
        <f t="shared" si="1"/>
        <v>7.5727703999999993E-2</v>
      </c>
      <c r="F28" s="37">
        <f t="shared" si="5"/>
        <v>0.85386144619021176</v>
      </c>
      <c r="G28" s="30">
        <f t="shared" si="6"/>
        <v>20121.358265539715</v>
      </c>
      <c r="H28" s="38">
        <f t="shared" si="2"/>
        <v>97</v>
      </c>
      <c r="I28" s="39">
        <f t="shared" si="3"/>
        <v>97.711156741957566</v>
      </c>
      <c r="J28" s="40">
        <f t="shared" si="7"/>
        <v>2</v>
      </c>
      <c r="K28" s="43">
        <f>VLOOKUP(J28,Data!$Z$3:$AA$122,2)</f>
        <v>0.67345391044500003</v>
      </c>
      <c r="L28" s="41">
        <f t="shared" si="4"/>
        <v>0.7111567419575664</v>
      </c>
      <c r="M28" s="43">
        <f>VLOOKUP(H28,Data!$P$3:$X$122,9)</f>
        <v>0.21958738198644329</v>
      </c>
      <c r="N28" s="43">
        <f t="shared" si="8"/>
        <v>0.85542141609743616</v>
      </c>
      <c r="O28" s="43">
        <f t="shared" si="9"/>
        <v>0.57608689774921784</v>
      </c>
      <c r="P28" s="30">
        <f t="shared" si="10"/>
        <v>11591.650861695358</v>
      </c>
      <c r="Q28" s="31">
        <f t="shared" si="12"/>
        <v>404857.64025207754</v>
      </c>
    </row>
    <row r="29" spans="1:17" x14ac:dyDescent="0.25">
      <c r="A29" s="6">
        <f t="shared" si="11"/>
        <v>44074</v>
      </c>
      <c r="B29" s="30">
        <f>IFERROR(VLOOKUP(A29, Data!$L$3:$N$123, 3),1)*Pension</f>
        <v>23565.132675000001</v>
      </c>
      <c r="C29" s="37">
        <f t="shared" si="0"/>
        <v>2.1711156741957565</v>
      </c>
      <c r="D29" s="37">
        <f>IFERROR(VLOOKUP(A29,Data!$I$3:$J$1442,2),0)</f>
        <v>7.6161614000000002E-2</v>
      </c>
      <c r="E29" s="37">
        <f t="shared" si="1"/>
        <v>7.5961613999999997E-2</v>
      </c>
      <c r="F29" s="37">
        <f t="shared" si="5"/>
        <v>0.84796030808213596</v>
      </c>
      <c r="G29" s="30">
        <f t="shared" si="6"/>
        <v>19982.29716308941</v>
      </c>
      <c r="H29" s="38">
        <f t="shared" si="2"/>
        <v>97</v>
      </c>
      <c r="I29" s="39">
        <f t="shared" si="3"/>
        <v>97.796030116358665</v>
      </c>
      <c r="J29" s="40">
        <f t="shared" si="7"/>
        <v>2</v>
      </c>
      <c r="K29" s="43">
        <f>VLOOKUP(J29,Data!$Z$3:$AA$122,2)</f>
        <v>0.67345391044500003</v>
      </c>
      <c r="L29" s="41">
        <f t="shared" si="4"/>
        <v>0.79603011635866494</v>
      </c>
      <c r="M29" s="43">
        <f>VLOOKUP(H29,Data!$P$3:$X$122,9)</f>
        <v>0.21958738198644329</v>
      </c>
      <c r="N29" s="43">
        <f t="shared" si="8"/>
        <v>0.83962646612216763</v>
      </c>
      <c r="O29" s="43">
        <f t="shared" si="9"/>
        <v>0.56544972692309015</v>
      </c>
      <c r="P29" s="30">
        <f t="shared" si="10"/>
        <v>11298.984474164945</v>
      </c>
      <c r="Q29" s="31">
        <f t="shared" si="12"/>
        <v>416156.6247262425</v>
      </c>
    </row>
    <row r="30" spans="1:17" x14ac:dyDescent="0.25">
      <c r="A30" s="6">
        <f t="shared" si="11"/>
        <v>44104</v>
      </c>
      <c r="B30" s="30">
        <f>IFERROR(VLOOKUP(A30, Data!$L$3:$N$123, 3),1)*Pension</f>
        <v>23565.132675000001</v>
      </c>
      <c r="C30" s="37">
        <f t="shared" si="0"/>
        <v>2.2532511978097194</v>
      </c>
      <c r="D30" s="37">
        <f>IFERROR(VLOOKUP(A30,Data!$I$3:$J$1442,2),0)</f>
        <v>7.6374775000000006E-2</v>
      </c>
      <c r="E30" s="37">
        <f t="shared" si="1"/>
        <v>7.6174775E-2</v>
      </c>
      <c r="F30" s="37">
        <f t="shared" si="5"/>
        <v>0.84228157964722827</v>
      </c>
      <c r="G30" s="30">
        <f t="shared" si="6"/>
        <v>19848.477174095515</v>
      </c>
      <c r="H30" s="38">
        <f t="shared" si="2"/>
        <v>97</v>
      </c>
      <c r="I30" s="39">
        <f t="shared" si="3"/>
        <v>97.878165639972622</v>
      </c>
      <c r="J30" s="40">
        <f t="shared" si="7"/>
        <v>2</v>
      </c>
      <c r="K30" s="43">
        <f>VLOOKUP(J30,Data!$Z$3:$AA$122,2)</f>
        <v>0.67345391044500003</v>
      </c>
      <c r="L30" s="41">
        <f t="shared" si="4"/>
        <v>0.87816563997262165</v>
      </c>
      <c r="M30" s="43">
        <f>VLOOKUP(H30,Data!$P$3:$X$122,9)</f>
        <v>0.21958738198644329</v>
      </c>
      <c r="N30" s="43">
        <f t="shared" si="8"/>
        <v>0.82461877213149337</v>
      </c>
      <c r="O30" s="43">
        <f t="shared" si="9"/>
        <v>0.55534273671830858</v>
      </c>
      <c r="P30" s="30">
        <f t="shared" si="10"/>
        <v>11022.707633553084</v>
      </c>
      <c r="Q30" s="31">
        <f t="shared" si="12"/>
        <v>427179.33235979558</v>
      </c>
    </row>
    <row r="31" spans="1:17" x14ac:dyDescent="0.25">
      <c r="A31" s="6">
        <f t="shared" si="11"/>
        <v>44135</v>
      </c>
      <c r="B31" s="30">
        <f>IFERROR(VLOOKUP(A31, Data!$L$3:$N$123, 3),1)*Pension</f>
        <v>23565.132675000001</v>
      </c>
      <c r="C31" s="37">
        <f t="shared" si="0"/>
        <v>2.3381245722108144</v>
      </c>
      <c r="D31" s="37">
        <f>IFERROR(VLOOKUP(A31,Data!$I$3:$J$1442,2),0)</f>
        <v>7.6681972000000001E-2</v>
      </c>
      <c r="E31" s="37">
        <f t="shared" si="1"/>
        <v>7.6481971999999995E-2</v>
      </c>
      <c r="F31" s="37">
        <f t="shared" si="5"/>
        <v>0.83625275082829365</v>
      </c>
      <c r="G31" s="30">
        <f t="shared" si="6"/>
        <v>19706.407023102456</v>
      </c>
      <c r="H31" s="38">
        <f t="shared" si="2"/>
        <v>97</v>
      </c>
      <c r="I31" s="39">
        <f t="shared" si="3"/>
        <v>97.96303901437372</v>
      </c>
      <c r="J31" s="40">
        <f t="shared" si="7"/>
        <v>2</v>
      </c>
      <c r="K31" s="43">
        <f>VLOOKUP(J31,Data!$Z$3:$AA$122,2)</f>
        <v>0.67345391044500003</v>
      </c>
      <c r="L31" s="41">
        <f t="shared" si="4"/>
        <v>0.96303901437372019</v>
      </c>
      <c r="M31" s="43">
        <f>VLOOKUP(H31,Data!$P$3:$X$122,9)</f>
        <v>0.21958738198644329</v>
      </c>
      <c r="N31" s="43">
        <f t="shared" si="8"/>
        <v>0.80939257834047806</v>
      </c>
      <c r="O31" s="43">
        <f t="shared" si="9"/>
        <v>0.54508859696855594</v>
      </c>
      <c r="P31" s="30">
        <f t="shared" si="10"/>
        <v>10741.737755514216</v>
      </c>
      <c r="Q31" s="31">
        <f t="shared" si="12"/>
        <v>437921.07011530979</v>
      </c>
    </row>
    <row r="32" spans="1:17" x14ac:dyDescent="0.25">
      <c r="A32" s="6">
        <f t="shared" si="11"/>
        <v>44165</v>
      </c>
      <c r="B32" s="30">
        <f>IFERROR(VLOOKUP(A32, Data!$L$3:$N$123, 3),1)*Pension</f>
        <v>23565.132675000001</v>
      </c>
      <c r="C32" s="37">
        <f t="shared" si="0"/>
        <v>2.4202600958247777</v>
      </c>
      <c r="D32" s="37">
        <f>IFERROR(VLOOKUP(A32,Data!$I$3:$J$1442,2),0)</f>
        <v>7.6958768999999996E-2</v>
      </c>
      <c r="E32" s="37">
        <f t="shared" si="1"/>
        <v>7.6758768999999991E-2</v>
      </c>
      <c r="F32" s="37">
        <f t="shared" si="5"/>
        <v>0.83045944295264851</v>
      </c>
      <c r="G32" s="30">
        <f t="shared" si="6"/>
        <v>19569.886954385758</v>
      </c>
      <c r="H32" s="38">
        <f t="shared" si="2"/>
        <v>98</v>
      </c>
      <c r="I32" s="39">
        <f t="shared" si="3"/>
        <v>98.045174537987677</v>
      </c>
      <c r="J32" s="40">
        <f t="shared" si="7"/>
        <v>3</v>
      </c>
      <c r="K32" s="43">
        <f>VLOOKUP(J32,Data!$Z$3:$AA$122,2)</f>
        <v>0.54068247200076835</v>
      </c>
      <c r="L32" s="41">
        <f t="shared" si="4"/>
        <v>4.5174537987676899E-2</v>
      </c>
      <c r="M32" s="43">
        <f>VLOOKUP(H32,Data!$P$3:$X$122,9)</f>
        <v>0.23506052724670509</v>
      </c>
      <c r="N32" s="43">
        <f t="shared" si="8"/>
        <v>0.98943742918658506</v>
      </c>
      <c r="O32" s="43">
        <f t="shared" si="9"/>
        <v>0.53497147510268794</v>
      </c>
      <c r="P32" s="30">
        <f t="shared" si="10"/>
        <v>10469.331291580598</v>
      </c>
      <c r="Q32" s="31">
        <f t="shared" si="12"/>
        <v>448390.40140689036</v>
      </c>
    </row>
    <row r="33" spans="1:17" x14ac:dyDescent="0.25">
      <c r="A33" s="6">
        <f t="shared" si="11"/>
        <v>44196</v>
      </c>
      <c r="B33" s="30">
        <f>IFERROR(VLOOKUP(A33, Data!$L$3:$N$123, 3),1)*Pension</f>
        <v>24743.389308750004</v>
      </c>
      <c r="C33" s="37">
        <f t="shared" si="0"/>
        <v>2.5051334702258727</v>
      </c>
      <c r="D33" s="37">
        <f>IFERROR(VLOOKUP(A33,Data!$I$3:$J$1442,2),0)</f>
        <v>7.7223485999999994E-2</v>
      </c>
      <c r="E33" s="37">
        <f t="shared" si="1"/>
        <v>7.7023485999999988E-2</v>
      </c>
      <c r="F33" s="37">
        <f t="shared" si="5"/>
        <v>0.82451980819941995</v>
      </c>
      <c r="G33" s="30">
        <f t="shared" si="6"/>
        <v>20401.414607054132</v>
      </c>
      <c r="H33" s="38">
        <f t="shared" si="2"/>
        <v>98</v>
      </c>
      <c r="I33" s="39">
        <f t="shared" si="3"/>
        <v>98.130047912388775</v>
      </c>
      <c r="J33" s="40">
        <f t="shared" si="7"/>
        <v>3</v>
      </c>
      <c r="K33" s="43">
        <f>VLOOKUP(J33,Data!$Z$3:$AA$122,2)</f>
        <v>0.54068247200076835</v>
      </c>
      <c r="L33" s="41">
        <f t="shared" si="4"/>
        <v>0.13004791238877544</v>
      </c>
      <c r="M33" s="43">
        <f>VLOOKUP(H33,Data!$P$3:$X$122,9)</f>
        <v>0.23506052724670509</v>
      </c>
      <c r="N33" s="43">
        <f t="shared" si="8"/>
        <v>0.9698933801924432</v>
      </c>
      <c r="O33" s="43">
        <f t="shared" si="9"/>
        <v>0.52440435037963129</v>
      </c>
      <c r="P33" s="30">
        <f t="shared" si="10"/>
        <v>10698.590573837742</v>
      </c>
      <c r="Q33" s="31">
        <f t="shared" si="12"/>
        <v>459088.99198072811</v>
      </c>
    </row>
    <row r="34" spans="1:17" x14ac:dyDescent="0.25">
      <c r="A34" s="6">
        <f t="shared" si="11"/>
        <v>44227</v>
      </c>
      <c r="B34" s="30">
        <f>IFERROR(VLOOKUP(A34, Data!$L$3:$N$123, 3),1)*Pension</f>
        <v>24743.389308750004</v>
      </c>
      <c r="C34" s="37">
        <f t="shared" si="0"/>
        <v>2.5900068446269677</v>
      </c>
      <c r="D34" s="37">
        <f>IFERROR(VLOOKUP(A34,Data!$I$3:$J$1442,2),0)</f>
        <v>7.7439188000000006E-2</v>
      </c>
      <c r="E34" s="37">
        <f t="shared" si="1"/>
        <v>7.7239188E-2</v>
      </c>
      <c r="F34" s="37">
        <f t="shared" si="5"/>
        <v>0.81868979661064478</v>
      </c>
      <c r="G34" s="30">
        <f t="shared" si="6"/>
        <v>20257.160360638543</v>
      </c>
      <c r="H34" s="38">
        <f t="shared" si="2"/>
        <v>98</v>
      </c>
      <c r="I34" s="39">
        <f t="shared" si="3"/>
        <v>98.214921286789874</v>
      </c>
      <c r="J34" s="40">
        <f t="shared" si="7"/>
        <v>3</v>
      </c>
      <c r="K34" s="43">
        <f>VLOOKUP(J34,Data!$Z$3:$AA$122,2)</f>
        <v>0.54068247200076835</v>
      </c>
      <c r="L34" s="41">
        <f t="shared" si="4"/>
        <v>0.21492128678987399</v>
      </c>
      <c r="M34" s="43">
        <f>VLOOKUP(H34,Data!$P$3:$X$122,9)</f>
        <v>0.23506052724670509</v>
      </c>
      <c r="N34" s="43">
        <f t="shared" si="8"/>
        <v>0.95073537870349767</v>
      </c>
      <c r="O34" s="43">
        <f t="shared" si="9"/>
        <v>0.5140459547759938</v>
      </c>
      <c r="P34" s="30">
        <f t="shared" si="10"/>
        <v>10413.111338634855</v>
      </c>
      <c r="Q34" s="31">
        <f t="shared" si="12"/>
        <v>469502.10331936297</v>
      </c>
    </row>
    <row r="35" spans="1:17" x14ac:dyDescent="0.25">
      <c r="A35" s="6">
        <f t="shared" si="11"/>
        <v>44255</v>
      </c>
      <c r="B35" s="30">
        <f>IFERROR(VLOOKUP(A35, Data!$L$3:$N$123, 3),1)*Pension</f>
        <v>24743.389308750004</v>
      </c>
      <c r="C35" s="37">
        <f t="shared" si="0"/>
        <v>2.6666666666666665</v>
      </c>
      <c r="D35" s="37">
        <f>IFERROR(VLOOKUP(A35,Data!$I$3:$J$1442,2),0)</f>
        <v>7.7622226000000002E-2</v>
      </c>
      <c r="E35" s="37">
        <f t="shared" si="1"/>
        <v>7.7422225999999997E-2</v>
      </c>
      <c r="F35" s="37">
        <f t="shared" si="5"/>
        <v>0.81345939352561547</v>
      </c>
      <c r="G35" s="30">
        <f t="shared" si="6"/>
        <v>20127.742460863978</v>
      </c>
      <c r="H35" s="38">
        <f t="shared" si="2"/>
        <v>98</v>
      </c>
      <c r="I35" s="39">
        <f t="shared" si="3"/>
        <v>98.291581108829575</v>
      </c>
      <c r="J35" s="40">
        <f t="shared" si="7"/>
        <v>3</v>
      </c>
      <c r="K35" s="43">
        <f>VLOOKUP(J35,Data!$Z$3:$AA$122,2)</f>
        <v>0.54068247200076835</v>
      </c>
      <c r="L35" s="41">
        <f t="shared" si="4"/>
        <v>0.29158110882957544</v>
      </c>
      <c r="M35" s="43">
        <f>VLOOKUP(H35,Data!$P$3:$X$122,9)</f>
        <v>0.23506052724670509</v>
      </c>
      <c r="N35" s="43">
        <f t="shared" si="8"/>
        <v>0.93375684754856147</v>
      </c>
      <c r="O35" s="43">
        <f t="shared" si="9"/>
        <v>0.50486596058020083</v>
      </c>
      <c r="P35" s="30">
        <f t="shared" si="10"/>
        <v>10161.812031814987</v>
      </c>
      <c r="Q35" s="31">
        <f t="shared" si="12"/>
        <v>479663.91535117797</v>
      </c>
    </row>
    <row r="36" spans="1:17" x14ac:dyDescent="0.25">
      <c r="A36" s="6">
        <f t="shared" si="11"/>
        <v>44286</v>
      </c>
      <c r="B36" s="30">
        <f>IFERROR(VLOOKUP(A36, Data!$L$3:$N$123, 3),1)*Pension</f>
        <v>24743.389308750004</v>
      </c>
      <c r="C36" s="37">
        <f t="shared" si="0"/>
        <v>2.751540041067762</v>
      </c>
      <c r="D36" s="37">
        <f>IFERROR(VLOOKUP(A36,Data!$I$3:$J$1442,2),0)</f>
        <v>7.7816284999999999E-2</v>
      </c>
      <c r="E36" s="37">
        <f t="shared" si="1"/>
        <v>7.7616284999999993E-2</v>
      </c>
      <c r="F36" s="37">
        <f t="shared" si="5"/>
        <v>0.8077002104199793</v>
      </c>
      <c r="G36" s="30">
        <f t="shared" si="6"/>
        <v>19985.240751180845</v>
      </c>
      <c r="H36" s="38">
        <f t="shared" si="2"/>
        <v>98</v>
      </c>
      <c r="I36" s="39">
        <f t="shared" si="3"/>
        <v>98.37645448323066</v>
      </c>
      <c r="J36" s="40">
        <f t="shared" si="7"/>
        <v>3</v>
      </c>
      <c r="K36" s="43">
        <f>VLOOKUP(J36,Data!$Z$3:$AA$122,2)</f>
        <v>0.54068247200076835</v>
      </c>
      <c r="L36" s="41">
        <f t="shared" si="4"/>
        <v>0.37645448323065978</v>
      </c>
      <c r="M36" s="43">
        <f>VLOOKUP(H36,Data!$P$3:$X$122,9)</f>
        <v>0.23506052724670509</v>
      </c>
      <c r="N36" s="43">
        <f t="shared" si="8"/>
        <v>0.91531263972017518</v>
      </c>
      <c r="O36" s="43">
        <f t="shared" si="9"/>
        <v>0.49489350069745297</v>
      </c>
      <c r="P36" s="30">
        <f t="shared" si="10"/>
        <v>9890.5657576332833</v>
      </c>
      <c r="Q36" s="31">
        <f t="shared" si="12"/>
        <v>489554.48110881128</v>
      </c>
    </row>
    <row r="37" spans="1:17" x14ac:dyDescent="0.25">
      <c r="A37" s="6">
        <f t="shared" si="11"/>
        <v>44316</v>
      </c>
      <c r="B37" s="30">
        <f>IFERROR(VLOOKUP(A37, Data!$L$3:$N$123, 3),1)*Pension</f>
        <v>24743.389308750004</v>
      </c>
      <c r="C37" s="37">
        <f t="shared" si="0"/>
        <v>2.8336755646817249</v>
      </c>
      <c r="D37" s="37">
        <f>IFERROR(VLOOKUP(A37,Data!$I$3:$J$1442,2),0)</f>
        <v>7.8037911000000001E-2</v>
      </c>
      <c r="E37" s="37">
        <f t="shared" si="1"/>
        <v>7.7837910999999996E-2</v>
      </c>
      <c r="F37" s="37">
        <f t="shared" si="5"/>
        <v>0.80206358885743823</v>
      </c>
      <c r="G37" s="30">
        <f t="shared" si="6"/>
        <v>19845.771629472794</v>
      </c>
      <c r="H37" s="38">
        <f t="shared" si="2"/>
        <v>98</v>
      </c>
      <c r="I37" s="39">
        <f t="shared" si="3"/>
        <v>98.458590006844631</v>
      </c>
      <c r="J37" s="40">
        <f t="shared" si="7"/>
        <v>3</v>
      </c>
      <c r="K37" s="43">
        <f>VLOOKUP(J37,Data!$Z$3:$AA$122,2)</f>
        <v>0.54068247200076835</v>
      </c>
      <c r="L37" s="41">
        <f t="shared" si="4"/>
        <v>0.45859000684463069</v>
      </c>
      <c r="M37" s="43">
        <f>VLOOKUP(H37,Data!$P$3:$X$122,9)</f>
        <v>0.23506052724670509</v>
      </c>
      <c r="N37" s="43">
        <f t="shared" si="8"/>
        <v>0.89781036411518567</v>
      </c>
      <c r="O37" s="43">
        <f t="shared" si="9"/>
        <v>0.4854303270577085</v>
      </c>
      <c r="P37" s="30">
        <f t="shared" si="10"/>
        <v>9633.7394128075703</v>
      </c>
      <c r="Q37" s="31">
        <f t="shared" si="12"/>
        <v>499188.22052161884</v>
      </c>
    </row>
    <row r="38" spans="1:17" x14ac:dyDescent="0.25">
      <c r="A38" s="6">
        <f t="shared" si="11"/>
        <v>44347</v>
      </c>
      <c r="B38" s="30">
        <f>IFERROR(VLOOKUP(A38, Data!$L$3:$N$123, 3),1)*Pension</f>
        <v>24743.389308750004</v>
      </c>
      <c r="C38" s="37">
        <f t="shared" si="0"/>
        <v>2.9185489390828199</v>
      </c>
      <c r="D38" s="37">
        <f>IFERROR(VLOOKUP(A38,Data!$I$3:$J$1442,2),0)</f>
        <v>7.8253831999999995E-2</v>
      </c>
      <c r="E38" s="37">
        <f t="shared" si="1"/>
        <v>7.805383199999999E-2</v>
      </c>
      <c r="F38" s="37">
        <f t="shared" si="5"/>
        <v>0.79628037235769988</v>
      </c>
      <c r="G38" s="30">
        <f t="shared" si="6"/>
        <v>19702.675252162982</v>
      </c>
      <c r="H38" s="38">
        <f t="shared" si="2"/>
        <v>98</v>
      </c>
      <c r="I38" s="39">
        <f t="shared" si="3"/>
        <v>98.543463381245715</v>
      </c>
      <c r="J38" s="40">
        <f t="shared" si="7"/>
        <v>3</v>
      </c>
      <c r="K38" s="43">
        <f>VLOOKUP(J38,Data!$Z$3:$AA$122,2)</f>
        <v>0.54068247200076835</v>
      </c>
      <c r="L38" s="41">
        <f t="shared" si="4"/>
        <v>0.54346338124571503</v>
      </c>
      <c r="M38" s="43">
        <f>VLOOKUP(H38,Data!$P$3:$X$122,9)</f>
        <v>0.23506052724670509</v>
      </c>
      <c r="N38" s="43">
        <f t="shared" si="8"/>
        <v>0.88007619596456499</v>
      </c>
      <c r="O38" s="43">
        <f t="shared" si="9"/>
        <v>0.47584177318315363</v>
      </c>
      <c r="P38" s="30">
        <f t="shared" si="10"/>
        <v>9375.3559284410712</v>
      </c>
      <c r="Q38" s="31">
        <f t="shared" si="12"/>
        <v>508563.57645005989</v>
      </c>
    </row>
    <row r="39" spans="1:17" x14ac:dyDescent="0.25">
      <c r="A39" s="6">
        <f t="shared" si="11"/>
        <v>44377</v>
      </c>
      <c r="B39" s="30">
        <f>IFERROR(VLOOKUP(A39, Data!$L$3:$N$123, 3),1)*Pension</f>
        <v>24743.389308750004</v>
      </c>
      <c r="C39" s="37">
        <f t="shared" si="0"/>
        <v>3.0006844626967832</v>
      </c>
      <c r="D39" s="37">
        <f>IFERROR(VLOOKUP(A39,Data!$I$3:$J$1442,2),0)</f>
        <v>7.8450810999999995E-2</v>
      </c>
      <c r="E39" s="37">
        <f t="shared" si="1"/>
        <v>7.825081099999999E-2</v>
      </c>
      <c r="F39" s="37">
        <f t="shared" si="5"/>
        <v>0.79072424097544369</v>
      </c>
      <c r="G39" s="30">
        <f t="shared" si="6"/>
        <v>19565.197730321255</v>
      </c>
      <c r="H39" s="38">
        <f t="shared" si="2"/>
        <v>98</v>
      </c>
      <c r="I39" s="39">
        <f t="shared" si="3"/>
        <v>98.625598904859686</v>
      </c>
      <c r="J39" s="40">
        <f t="shared" si="7"/>
        <v>3</v>
      </c>
      <c r="K39" s="43">
        <f>VLOOKUP(J39,Data!$Z$3:$AA$122,2)</f>
        <v>0.54068247200076835</v>
      </c>
      <c r="L39" s="41">
        <f t="shared" si="4"/>
        <v>0.62559890485968594</v>
      </c>
      <c r="M39" s="43">
        <f>VLOOKUP(H39,Data!$P$3:$X$122,9)</f>
        <v>0.23506052724670509</v>
      </c>
      <c r="N39" s="43">
        <f t="shared" si="8"/>
        <v>0.86324769882956243</v>
      </c>
      <c r="O39" s="43">
        <f t="shared" si="9"/>
        <v>0.46674289975214261</v>
      </c>
      <c r="P39" s="30">
        <f t="shared" si="10"/>
        <v>9131.9171228741816</v>
      </c>
      <c r="Q39" s="31">
        <f t="shared" si="12"/>
        <v>517695.49357293407</v>
      </c>
    </row>
    <row r="40" spans="1:17" x14ac:dyDescent="0.25">
      <c r="A40" s="6">
        <f t="shared" si="11"/>
        <v>44408</v>
      </c>
      <c r="B40" s="30">
        <f>IFERROR(VLOOKUP(A40, Data!$L$3:$N$123, 3),1)*Pension</f>
        <v>24743.389308750004</v>
      </c>
      <c r="C40" s="37">
        <f t="shared" si="0"/>
        <v>3.0855578370978782</v>
      </c>
      <c r="D40" s="37">
        <f>IFERROR(VLOOKUP(A40,Data!$I$3:$J$1442,2),0)</f>
        <v>7.8632929000000004E-2</v>
      </c>
      <c r="E40" s="37">
        <f t="shared" si="1"/>
        <v>7.8432928999999998E-2</v>
      </c>
      <c r="F40" s="37">
        <f t="shared" si="5"/>
        <v>0.78504884613287818</v>
      </c>
      <c r="G40" s="30">
        <f t="shared" si="6"/>
        <v>19424.769226250784</v>
      </c>
      <c r="H40" s="38">
        <f t="shared" si="2"/>
        <v>98</v>
      </c>
      <c r="I40" s="39">
        <f t="shared" si="3"/>
        <v>98.710472279260784</v>
      </c>
      <c r="J40" s="40">
        <f t="shared" si="7"/>
        <v>3</v>
      </c>
      <c r="K40" s="43">
        <f>VLOOKUP(J40,Data!$Z$3:$AA$122,2)</f>
        <v>0.54068247200076835</v>
      </c>
      <c r="L40" s="41">
        <f t="shared" si="4"/>
        <v>0.71047227926078449</v>
      </c>
      <c r="M40" s="43">
        <f>VLOOKUP(H40,Data!$P$3:$X$122,9)</f>
        <v>0.23506052724670509</v>
      </c>
      <c r="N40" s="43">
        <f t="shared" si="8"/>
        <v>0.84619623622835971</v>
      </c>
      <c r="O40" s="43">
        <f t="shared" si="9"/>
        <v>0.45752347280169564</v>
      </c>
      <c r="P40" s="30">
        <f t="shared" si="10"/>
        <v>8887.2878747657651</v>
      </c>
      <c r="Q40" s="31">
        <f t="shared" si="12"/>
        <v>526582.78144769988</v>
      </c>
    </row>
    <row r="41" spans="1:17" x14ac:dyDescent="0.25">
      <c r="A41" s="6">
        <f t="shared" si="11"/>
        <v>44439</v>
      </c>
      <c r="B41" s="30">
        <f>IFERROR(VLOOKUP(A41, Data!$L$3:$N$123, 3),1)*Pension</f>
        <v>24743.389308750004</v>
      </c>
      <c r="C41" s="37">
        <f t="shared" si="0"/>
        <v>3.1704312114989732</v>
      </c>
      <c r="D41" s="37">
        <f>IFERROR(VLOOKUP(A41,Data!$I$3:$J$1442,2),0)</f>
        <v>7.8805304000000007E-2</v>
      </c>
      <c r="E41" s="37">
        <f t="shared" si="1"/>
        <v>7.8605304000000001E-2</v>
      </c>
      <c r="F41" s="37">
        <f t="shared" si="5"/>
        <v>0.77941416719414469</v>
      </c>
      <c r="G41" s="30">
        <f t="shared" si="6"/>
        <v>19285.348171639889</v>
      </c>
      <c r="H41" s="38">
        <f t="shared" si="2"/>
        <v>98</v>
      </c>
      <c r="I41" s="39">
        <f t="shared" si="3"/>
        <v>98.795345653661869</v>
      </c>
      <c r="J41" s="40">
        <f t="shared" si="7"/>
        <v>3</v>
      </c>
      <c r="K41" s="43">
        <f>VLOOKUP(J41,Data!$Z$3:$AA$122,2)</f>
        <v>0.54068247200076835</v>
      </c>
      <c r="L41" s="41">
        <f t="shared" si="4"/>
        <v>0.79534565366186882</v>
      </c>
      <c r="M41" s="43">
        <f>VLOOKUP(H41,Data!$P$3:$X$122,9)</f>
        <v>0.23506052724670509</v>
      </c>
      <c r="N41" s="43">
        <f t="shared" si="8"/>
        <v>0.8294815858506206</v>
      </c>
      <c r="O41" s="43">
        <f t="shared" si="9"/>
        <v>0.44848615431683109</v>
      </c>
      <c r="P41" s="30">
        <f t="shared" si="10"/>
        <v>8649.2116361599037</v>
      </c>
      <c r="Q41" s="31">
        <f t="shared" si="12"/>
        <v>535231.99308385979</v>
      </c>
    </row>
    <row r="42" spans="1:17" x14ac:dyDescent="0.25">
      <c r="A42" s="6">
        <f t="shared" si="11"/>
        <v>44469</v>
      </c>
      <c r="B42" s="30">
        <f>IFERROR(VLOOKUP(A42, Data!$L$3:$N$123, 3),1)*Pension</f>
        <v>24743.389308750004</v>
      </c>
      <c r="C42" s="37">
        <f t="shared" si="0"/>
        <v>3.2525667351129361</v>
      </c>
      <c r="D42" s="37">
        <f>IFERROR(VLOOKUP(A42,Data!$I$3:$J$1442,2),0)</f>
        <v>7.8965706999999996E-2</v>
      </c>
      <c r="E42" s="37">
        <f t="shared" si="1"/>
        <v>7.876570699999999E-2</v>
      </c>
      <c r="F42" s="37">
        <f t="shared" si="5"/>
        <v>0.77399433970959286</v>
      </c>
      <c r="G42" s="30">
        <f t="shared" si="6"/>
        <v>19151.243270203358</v>
      </c>
      <c r="H42" s="38">
        <f t="shared" si="2"/>
        <v>98</v>
      </c>
      <c r="I42" s="39">
        <f t="shared" si="3"/>
        <v>98.87748117727584</v>
      </c>
      <c r="J42" s="40">
        <f t="shared" si="7"/>
        <v>3</v>
      </c>
      <c r="K42" s="43">
        <f>VLOOKUP(J42,Data!$Z$3:$AA$122,2)</f>
        <v>0.54068247200076835</v>
      </c>
      <c r="L42" s="41">
        <f t="shared" si="4"/>
        <v>0.87748117727583974</v>
      </c>
      <c r="M42" s="43">
        <f>VLOOKUP(H42,Data!$P$3:$X$122,9)</f>
        <v>0.23506052724670509</v>
      </c>
      <c r="N42" s="43">
        <f t="shared" si="8"/>
        <v>0.81362054046042509</v>
      </c>
      <c r="O42" s="43">
        <f t="shared" si="9"/>
        <v>0.4399103650867438</v>
      </c>
      <c r="P42" s="30">
        <f t="shared" si="10"/>
        <v>8424.8304188602051</v>
      </c>
      <c r="Q42" s="31">
        <f t="shared" si="12"/>
        <v>543656.82350271998</v>
      </c>
    </row>
    <row r="43" spans="1:17" x14ac:dyDescent="0.25">
      <c r="A43" s="6">
        <f t="shared" si="11"/>
        <v>44500</v>
      </c>
      <c r="B43" s="30">
        <f>IFERROR(VLOOKUP(A43, Data!$L$3:$N$123, 3),1)*Pension</f>
        <v>24743.389308750004</v>
      </c>
      <c r="C43" s="37">
        <f t="shared" si="0"/>
        <v>3.3374401095140316</v>
      </c>
      <c r="D43" s="37">
        <f>IFERROR(VLOOKUP(A43,Data!$I$3:$J$1442,2),0)</f>
        <v>7.9185832999999997E-2</v>
      </c>
      <c r="E43" s="37">
        <f t="shared" si="1"/>
        <v>7.8985832999999991E-2</v>
      </c>
      <c r="F43" s="37">
        <f t="shared" si="5"/>
        <v>0.76827273349454428</v>
      </c>
      <c r="G43" s="30">
        <f t="shared" si="6"/>
        <v>19009.671340153047</v>
      </c>
      <c r="H43" s="38">
        <f t="shared" si="2"/>
        <v>98</v>
      </c>
      <c r="I43" s="39">
        <f t="shared" si="3"/>
        <v>98.962354551676938</v>
      </c>
      <c r="J43" s="40">
        <f t="shared" si="7"/>
        <v>3</v>
      </c>
      <c r="K43" s="43">
        <f>VLOOKUP(J43,Data!$Z$3:$AA$122,2)</f>
        <v>0.54068247200076835</v>
      </c>
      <c r="L43" s="41">
        <f t="shared" si="4"/>
        <v>0.96235455167693829</v>
      </c>
      <c r="M43" s="43">
        <f>VLOOKUP(H43,Data!$P$3:$X$122,9)</f>
        <v>0.23506052724670509</v>
      </c>
      <c r="N43" s="43">
        <f t="shared" si="8"/>
        <v>0.79754934764283447</v>
      </c>
      <c r="O43" s="43">
        <f t="shared" si="9"/>
        <v>0.43122095282612793</v>
      </c>
      <c r="P43" s="30">
        <f t="shared" si="10"/>
        <v>8197.3685882123336</v>
      </c>
      <c r="Q43" s="31">
        <f t="shared" si="12"/>
        <v>551854.19209093228</v>
      </c>
    </row>
    <row r="44" spans="1:17" x14ac:dyDescent="0.25">
      <c r="A44" s="6">
        <f t="shared" si="11"/>
        <v>44530</v>
      </c>
      <c r="B44" s="30">
        <f>IFERROR(VLOOKUP(A44, Data!$L$3:$N$123, 3),1)*Pension</f>
        <v>24743.389308750004</v>
      </c>
      <c r="C44" s="37">
        <f t="shared" si="0"/>
        <v>3.4195756331279945</v>
      </c>
      <c r="D44" s="37">
        <f>IFERROR(VLOOKUP(A44,Data!$I$3:$J$1442,2),0)</f>
        <v>7.9388462000000007E-2</v>
      </c>
      <c r="E44" s="37">
        <f t="shared" si="1"/>
        <v>7.9188462000000001E-2</v>
      </c>
      <c r="F44" s="37">
        <f t="shared" si="5"/>
        <v>0.76277594942925042</v>
      </c>
      <c r="G44" s="30">
        <f t="shared" si="6"/>
        <v>18873.662272079349</v>
      </c>
      <c r="H44" s="38">
        <f t="shared" si="2"/>
        <v>99</v>
      </c>
      <c r="I44" s="39">
        <f t="shared" si="3"/>
        <v>99.044490075290895</v>
      </c>
      <c r="J44" s="40">
        <f t="shared" si="7"/>
        <v>4</v>
      </c>
      <c r="K44" s="43">
        <f>VLOOKUP(J44,Data!$Z$3:$AA$122,2)</f>
        <v>0.42742192981346339</v>
      </c>
      <c r="L44" s="41">
        <f t="shared" si="4"/>
        <v>4.4490075290894993E-2</v>
      </c>
      <c r="M44" s="43">
        <f>VLOOKUP(H44,Data!$P$3:$X$122,9)</f>
        <v>0.25116115431367497</v>
      </c>
      <c r="N44" s="43">
        <f t="shared" si="8"/>
        <v>0.98888802057813674</v>
      </c>
      <c r="O44" s="43">
        <f t="shared" si="9"/>
        <v>0.42267242612492312</v>
      </c>
      <c r="P44" s="30">
        <f t="shared" si="10"/>
        <v>7977.3766224022074</v>
      </c>
      <c r="Q44" s="31">
        <f t="shared" si="12"/>
        <v>559831.56871333451</v>
      </c>
    </row>
    <row r="45" spans="1:17" x14ac:dyDescent="0.25">
      <c r="A45" s="6">
        <f t="shared" si="11"/>
        <v>44561</v>
      </c>
      <c r="B45" s="30">
        <f>IFERROR(VLOOKUP(A45, Data!$L$3:$N$123, 3),1)*Pension</f>
        <v>25980.558774187502</v>
      </c>
      <c r="C45" s="37">
        <f t="shared" si="0"/>
        <v>3.5044490075290895</v>
      </c>
      <c r="D45" s="37">
        <f>IFERROR(VLOOKUP(A45,Data!$I$3:$J$1442,2),0)</f>
        <v>7.9586896000000004E-2</v>
      </c>
      <c r="E45" s="37">
        <f t="shared" si="1"/>
        <v>7.9386895999999998E-2</v>
      </c>
      <c r="F45" s="37">
        <f t="shared" si="5"/>
        <v>0.7571398282740408</v>
      </c>
      <c r="G45" s="30">
        <f t="shared" si="6"/>
        <v>19670.91580875195</v>
      </c>
      <c r="H45" s="38">
        <f t="shared" si="2"/>
        <v>99</v>
      </c>
      <c r="I45" s="39">
        <f t="shared" si="3"/>
        <v>99.129363449691994</v>
      </c>
      <c r="J45" s="40">
        <f t="shared" si="7"/>
        <v>4</v>
      </c>
      <c r="K45" s="43">
        <f>VLOOKUP(J45,Data!$Z$3:$AA$122,2)</f>
        <v>0.42742192981346339</v>
      </c>
      <c r="L45" s="41">
        <f t="shared" si="4"/>
        <v>0.12936344969199354</v>
      </c>
      <c r="M45" s="43">
        <f>VLOOKUP(H45,Data!$P$3:$X$122,9)</f>
        <v>0.25116115431367497</v>
      </c>
      <c r="N45" s="43">
        <f t="shared" si="8"/>
        <v>0.96803109106685681</v>
      </c>
      <c r="O45" s="43">
        <f t="shared" si="9"/>
        <v>0.41375771706322845</v>
      </c>
      <c r="P45" s="30">
        <f t="shared" si="10"/>
        <v>8138.9932175721769</v>
      </c>
      <c r="Q45" s="31">
        <f t="shared" si="12"/>
        <v>567970.56193090673</v>
      </c>
    </row>
    <row r="46" spans="1:17" x14ac:dyDescent="0.25">
      <c r="A46" s="6">
        <f t="shared" si="11"/>
        <v>44592</v>
      </c>
      <c r="B46" s="30">
        <f>IFERROR(VLOOKUP(A46, Data!$L$3:$N$123, 3),1)*Pension</f>
        <v>25980.558774187502</v>
      </c>
      <c r="C46" s="37">
        <f t="shared" si="0"/>
        <v>3.5893223819301849</v>
      </c>
      <c r="D46" s="37">
        <f>IFERROR(VLOOKUP(A46,Data!$I$3:$J$1442,2),0)</f>
        <v>7.9762090999999993E-2</v>
      </c>
      <c r="E46" s="37">
        <f t="shared" si="1"/>
        <v>7.9562090999999988E-2</v>
      </c>
      <c r="F46" s="37">
        <f t="shared" si="5"/>
        <v>0.75158272652395686</v>
      </c>
      <c r="G46" s="30">
        <f t="shared" si="6"/>
        <v>19526.539200119754</v>
      </c>
      <c r="H46" s="38">
        <f t="shared" si="2"/>
        <v>99</v>
      </c>
      <c r="I46" s="39">
        <f t="shared" si="3"/>
        <v>99.214236824093092</v>
      </c>
      <c r="J46" s="40">
        <f t="shared" si="7"/>
        <v>4</v>
      </c>
      <c r="K46" s="43">
        <f>VLOOKUP(J46,Data!$Z$3:$AA$122,2)</f>
        <v>0.42742192981346339</v>
      </c>
      <c r="L46" s="41">
        <f t="shared" si="4"/>
        <v>0.21423682409309208</v>
      </c>
      <c r="M46" s="43">
        <f>VLOOKUP(H46,Data!$P$3:$X$122,9)</f>
        <v>0.25116115431367497</v>
      </c>
      <c r="N46" s="43">
        <f t="shared" si="8"/>
        <v>0.94761406122023673</v>
      </c>
      <c r="O46" s="43">
        <f t="shared" si="9"/>
        <v>0.40503103076512703</v>
      </c>
      <c r="P46" s="30">
        <f t="shared" si="10"/>
        <v>7908.8542995001635</v>
      </c>
      <c r="Q46" s="31">
        <f t="shared" si="12"/>
        <v>575879.41623040684</v>
      </c>
    </row>
    <row r="47" spans="1:17" x14ac:dyDescent="0.25">
      <c r="A47" s="6">
        <f t="shared" si="11"/>
        <v>44620</v>
      </c>
      <c r="B47" s="30">
        <f>IFERROR(VLOOKUP(A47, Data!$L$3:$N$123, 3),1)*Pension</f>
        <v>25980.558774187502</v>
      </c>
      <c r="C47" s="37">
        <f t="shared" si="0"/>
        <v>3.6659822039698837</v>
      </c>
      <c r="D47" s="37">
        <f>IFERROR(VLOOKUP(A47,Data!$I$3:$J$1442,2),0)</f>
        <v>7.9913364000000001E-2</v>
      </c>
      <c r="E47" s="37">
        <f t="shared" si="1"/>
        <v>7.9713363999999995E-2</v>
      </c>
      <c r="F47" s="37">
        <f t="shared" si="5"/>
        <v>0.74659846100445537</v>
      </c>
      <c r="G47" s="30">
        <f t="shared" si="6"/>
        <v>19397.045196844188</v>
      </c>
      <c r="H47" s="38">
        <f t="shared" si="2"/>
        <v>99</v>
      </c>
      <c r="I47" s="39">
        <f t="shared" si="3"/>
        <v>99.290896646132779</v>
      </c>
      <c r="J47" s="40">
        <f t="shared" si="7"/>
        <v>4</v>
      </c>
      <c r="K47" s="43">
        <f>VLOOKUP(J47,Data!$Z$3:$AA$122,2)</f>
        <v>0.42742192981346339</v>
      </c>
      <c r="L47" s="41">
        <f t="shared" si="4"/>
        <v>0.29089664613277932</v>
      </c>
      <c r="M47" s="43">
        <f>VLOOKUP(H47,Data!$P$3:$X$122,9)</f>
        <v>0.25116115431367497</v>
      </c>
      <c r="N47" s="43">
        <f t="shared" si="8"/>
        <v>0.92954325472372856</v>
      </c>
      <c r="O47" s="43">
        <f t="shared" si="9"/>
        <v>0.39730717177910385</v>
      </c>
      <c r="P47" s="30">
        <f t="shared" si="10"/>
        <v>7706.5851680296155</v>
      </c>
      <c r="Q47" s="31">
        <f t="shared" si="12"/>
        <v>583586.00139843649</v>
      </c>
    </row>
    <row r="48" spans="1:17" x14ac:dyDescent="0.25">
      <c r="A48" s="6">
        <f t="shared" si="11"/>
        <v>44651</v>
      </c>
      <c r="B48" s="30">
        <f>IFERROR(VLOOKUP(A48, Data!$L$3:$N$123, 3),1)*Pension</f>
        <v>25980.558774187502</v>
      </c>
      <c r="C48" s="37">
        <f t="shared" si="0"/>
        <v>3.7508555783709787</v>
      </c>
      <c r="D48" s="37">
        <f>IFERROR(VLOOKUP(A48,Data!$I$3:$J$1442,2),0)</f>
        <v>8.0077058000000007E-2</v>
      </c>
      <c r="E48" s="37">
        <f t="shared" si="1"/>
        <v>7.9877058000000001E-2</v>
      </c>
      <c r="F48" s="37">
        <f t="shared" si="5"/>
        <v>0.74110919076540471</v>
      </c>
      <c r="G48" s="30">
        <f t="shared" si="6"/>
        <v>19254.430888771134</v>
      </c>
      <c r="H48" s="38">
        <f t="shared" si="2"/>
        <v>99</v>
      </c>
      <c r="I48" s="39">
        <f t="shared" si="3"/>
        <v>99.375770020533878</v>
      </c>
      <c r="J48" s="40">
        <f t="shared" si="7"/>
        <v>4</v>
      </c>
      <c r="K48" s="43">
        <f>VLOOKUP(J48,Data!$Z$3:$AA$122,2)</f>
        <v>0.42742192981346339</v>
      </c>
      <c r="L48" s="41">
        <f t="shared" si="4"/>
        <v>0.37577002053387787</v>
      </c>
      <c r="M48" s="43">
        <f>VLOOKUP(H48,Data!$P$3:$X$122,9)</f>
        <v>0.25116115431367497</v>
      </c>
      <c r="N48" s="43">
        <f t="shared" si="8"/>
        <v>0.90993798320863417</v>
      </c>
      <c r="O48" s="43">
        <f t="shared" si="9"/>
        <v>0.38892744879360525</v>
      </c>
      <c r="P48" s="30">
        <f t="shared" si="10"/>
        <v>7488.5766835425466</v>
      </c>
      <c r="Q48" s="31">
        <f t="shared" si="12"/>
        <v>591074.57808197907</v>
      </c>
    </row>
    <row r="49" spans="1:17" x14ac:dyDescent="0.25">
      <c r="A49" s="6">
        <f t="shared" si="11"/>
        <v>44681</v>
      </c>
      <c r="B49" s="30">
        <f>IFERROR(VLOOKUP(A49, Data!$L$3:$N$123, 3),1)*Pension</f>
        <v>25980.558774187502</v>
      </c>
      <c r="C49" s="37">
        <f t="shared" si="0"/>
        <v>3.8329911019849416</v>
      </c>
      <c r="D49" s="37">
        <f>IFERROR(VLOOKUP(A49,Data!$I$3:$J$1442,2),0)</f>
        <v>8.0275537999999994E-2</v>
      </c>
      <c r="E49" s="37">
        <f t="shared" si="1"/>
        <v>8.0075537999999988E-2</v>
      </c>
      <c r="F49" s="37">
        <f t="shared" si="5"/>
        <v>0.7357029629665458</v>
      </c>
      <c r="G49" s="30">
        <f t="shared" si="6"/>
        <v>19113.974069696236</v>
      </c>
      <c r="H49" s="38">
        <f t="shared" si="2"/>
        <v>99</v>
      </c>
      <c r="I49" s="39">
        <f t="shared" si="3"/>
        <v>99.457905544147849</v>
      </c>
      <c r="J49" s="40">
        <f t="shared" si="7"/>
        <v>4</v>
      </c>
      <c r="K49" s="43">
        <f>VLOOKUP(J49,Data!$Z$3:$AA$122,2)</f>
        <v>0.42742192981346339</v>
      </c>
      <c r="L49" s="41">
        <f t="shared" si="4"/>
        <v>0.45790554414784879</v>
      </c>
      <c r="M49" s="43">
        <f>VLOOKUP(H49,Data!$P$3:$X$122,9)</f>
        <v>0.25116115431367497</v>
      </c>
      <c r="N49" s="43">
        <f t="shared" si="8"/>
        <v>0.89135893720966697</v>
      </c>
      <c r="O49" s="43">
        <f t="shared" si="9"/>
        <v>0.3809863570986336</v>
      </c>
      <c r="P49" s="30">
        <f t="shared" si="10"/>
        <v>7282.1633504913134</v>
      </c>
      <c r="Q49" s="31">
        <f t="shared" si="12"/>
        <v>598356.74143247039</v>
      </c>
    </row>
    <row r="50" spans="1:17" x14ac:dyDescent="0.25">
      <c r="A50" s="6">
        <f t="shared" si="11"/>
        <v>44712</v>
      </c>
      <c r="B50" s="30">
        <f>IFERROR(VLOOKUP(A50, Data!$L$3:$N$123, 3),1)*Pension</f>
        <v>25980.558774187502</v>
      </c>
      <c r="C50" s="37">
        <f t="shared" si="0"/>
        <v>3.9178644763860371</v>
      </c>
      <c r="D50" s="37">
        <f>IFERROR(VLOOKUP(A50,Data!$I$3:$J$1442,2),0)</f>
        <v>8.0471898E-2</v>
      </c>
      <c r="E50" s="37">
        <f t="shared" si="1"/>
        <v>8.0271897999999994E-2</v>
      </c>
      <c r="F50" s="37">
        <f t="shared" si="5"/>
        <v>0.73015793594810019</v>
      </c>
      <c r="G50" s="30">
        <f t="shared" si="6"/>
        <v>18969.911169339051</v>
      </c>
      <c r="H50" s="38">
        <f t="shared" si="2"/>
        <v>99</v>
      </c>
      <c r="I50" s="39">
        <f t="shared" si="3"/>
        <v>99.542778918548933</v>
      </c>
      <c r="J50" s="40">
        <f t="shared" si="7"/>
        <v>4</v>
      </c>
      <c r="K50" s="43">
        <f>VLOOKUP(J50,Data!$Z$3:$AA$122,2)</f>
        <v>0.42742192981346339</v>
      </c>
      <c r="L50" s="41">
        <f t="shared" si="4"/>
        <v>0.54277891854893312</v>
      </c>
      <c r="M50" s="43">
        <f>VLOOKUP(H50,Data!$P$3:$X$122,9)</f>
        <v>0.25116115431367497</v>
      </c>
      <c r="N50" s="43">
        <f t="shared" si="8"/>
        <v>0.87255902242077166</v>
      </c>
      <c r="O50" s="43">
        <f t="shared" si="9"/>
        <v>0.37295086123923527</v>
      </c>
      <c r="P50" s="30">
        <f t="shared" si="10"/>
        <v>7074.8447082367875</v>
      </c>
      <c r="Q50" s="31">
        <f t="shared" si="12"/>
        <v>605431.58614070714</v>
      </c>
    </row>
    <row r="51" spans="1:17" x14ac:dyDescent="0.25">
      <c r="A51" s="6">
        <f t="shared" si="11"/>
        <v>44742</v>
      </c>
      <c r="B51" s="30">
        <f>IFERROR(VLOOKUP(A51, Data!$L$3:$N$123, 3),1)*Pension</f>
        <v>25980.558774187502</v>
      </c>
      <c r="C51" s="37">
        <f t="shared" si="0"/>
        <v>4</v>
      </c>
      <c r="D51" s="37">
        <f>IFERROR(VLOOKUP(A51,Data!$I$3:$J$1442,2),0)</f>
        <v>8.0653521000000006E-2</v>
      </c>
      <c r="E51" s="37">
        <f t="shared" si="1"/>
        <v>8.0453521E-2</v>
      </c>
      <c r="F51" s="37">
        <f t="shared" si="5"/>
        <v>0.72483293584394159</v>
      </c>
      <c r="G51" s="30">
        <f t="shared" si="6"/>
        <v>18831.564691160405</v>
      </c>
      <c r="H51" s="38">
        <f t="shared" si="2"/>
        <v>99</v>
      </c>
      <c r="I51" s="39">
        <f t="shared" si="3"/>
        <v>99.624914442162904</v>
      </c>
      <c r="J51" s="40">
        <f t="shared" si="7"/>
        <v>4</v>
      </c>
      <c r="K51" s="43">
        <f>VLOOKUP(J51,Data!$Z$3:$AA$122,2)</f>
        <v>0.42742192981346339</v>
      </c>
      <c r="L51" s="41">
        <f t="shared" si="4"/>
        <v>0.62491444216290404</v>
      </c>
      <c r="M51" s="43">
        <f>VLOOKUP(H51,Data!$P$3:$X$122,9)</f>
        <v>0.25116115431367497</v>
      </c>
      <c r="N51" s="43">
        <f t="shared" si="8"/>
        <v>0.85474317726041815</v>
      </c>
      <c r="O51" s="43">
        <f t="shared" si="9"/>
        <v>0.36533597831953912</v>
      </c>
      <c r="P51" s="30">
        <f t="shared" si="10"/>
        <v>6879.8481097327767</v>
      </c>
      <c r="Q51" s="31">
        <f t="shared" si="12"/>
        <v>612311.43425043987</v>
      </c>
    </row>
    <row r="52" spans="1:17" x14ac:dyDescent="0.25">
      <c r="A52" s="6">
        <f t="shared" si="11"/>
        <v>44773</v>
      </c>
      <c r="B52" s="30">
        <f>IFERROR(VLOOKUP(A52, Data!$L$3:$N$123, 3),1)*Pension</f>
        <v>25980.558774187502</v>
      </c>
      <c r="C52" s="37">
        <f t="shared" si="0"/>
        <v>4.084873374401095</v>
      </c>
      <c r="D52" s="37">
        <f>IFERROR(VLOOKUP(A52,Data!$I$3:$J$1442,2),0)</f>
        <v>8.081961E-2</v>
      </c>
      <c r="E52" s="37">
        <f t="shared" si="1"/>
        <v>8.0619609999999994E-2</v>
      </c>
      <c r="F52" s="37">
        <f t="shared" si="5"/>
        <v>0.71941212154394329</v>
      </c>
      <c r="G52" s="30">
        <f t="shared" si="6"/>
        <v>18690.728906635341</v>
      </c>
      <c r="H52" s="38">
        <f t="shared" si="2"/>
        <v>99</v>
      </c>
      <c r="I52" s="39">
        <f t="shared" si="3"/>
        <v>99.709787816564003</v>
      </c>
      <c r="J52" s="40">
        <f t="shared" si="7"/>
        <v>4</v>
      </c>
      <c r="K52" s="43">
        <f>VLOOKUP(J52,Data!$Z$3:$AA$122,2)</f>
        <v>0.42742192981346339</v>
      </c>
      <c r="L52" s="41">
        <f t="shared" si="4"/>
        <v>0.70978781656400258</v>
      </c>
      <c r="M52" s="43">
        <f>VLOOKUP(H52,Data!$P$3:$X$122,9)</f>
        <v>0.25116115431367497</v>
      </c>
      <c r="N52" s="43">
        <f t="shared" si="8"/>
        <v>0.83671553628652351</v>
      </c>
      <c r="O52" s="43">
        <f t="shared" si="9"/>
        <v>0.35763056922449282</v>
      </c>
      <c r="P52" s="30">
        <f t="shared" si="10"/>
        <v>6684.3760181006792</v>
      </c>
      <c r="Q52" s="31">
        <f t="shared" si="12"/>
        <v>618995.81026854052</v>
      </c>
    </row>
    <row r="53" spans="1:17" x14ac:dyDescent="0.25">
      <c r="A53" s="6">
        <f t="shared" si="11"/>
        <v>44804</v>
      </c>
      <c r="B53" s="30">
        <f>IFERROR(VLOOKUP(A53, Data!$L$3:$N$123, 3),1)*Pension</f>
        <v>25980.558774187502</v>
      </c>
      <c r="C53" s="37">
        <f t="shared" si="0"/>
        <v>4.16974674880219</v>
      </c>
      <c r="D53" s="37">
        <f>IFERROR(VLOOKUP(A53,Data!$I$3:$J$1442,2),0)</f>
        <v>8.0978942999999998E-2</v>
      </c>
      <c r="E53" s="37">
        <f t="shared" si="1"/>
        <v>8.0778942999999992E-2</v>
      </c>
      <c r="F53" s="37">
        <f t="shared" si="5"/>
        <v>0.71403183204094833</v>
      </c>
      <c r="G53" s="30">
        <f t="shared" si="6"/>
        <v>18550.945978980639</v>
      </c>
      <c r="H53" s="38">
        <f t="shared" si="2"/>
        <v>99</v>
      </c>
      <c r="I53" s="39">
        <f t="shared" si="3"/>
        <v>99.794661190965087</v>
      </c>
      <c r="J53" s="40">
        <f t="shared" si="7"/>
        <v>4</v>
      </c>
      <c r="K53" s="43">
        <f>VLOOKUP(J53,Data!$Z$3:$AA$122,2)</f>
        <v>0.42742192981346339</v>
      </c>
      <c r="L53" s="41">
        <f t="shared" si="4"/>
        <v>0.79466119096508692</v>
      </c>
      <c r="M53" s="43">
        <f>VLOOKUP(H53,Data!$P$3:$X$122,9)</f>
        <v>0.25116115431367497</v>
      </c>
      <c r="N53" s="43">
        <f t="shared" si="8"/>
        <v>0.81906812161654363</v>
      </c>
      <c r="O53" s="43">
        <f t="shared" si="9"/>
        <v>0.35008767719003159</v>
      </c>
      <c r="P53" s="30">
        <f t="shared" si="10"/>
        <v>6494.4575874590882</v>
      </c>
      <c r="Q53" s="31">
        <f t="shared" si="12"/>
        <v>625490.26785599964</v>
      </c>
    </row>
    <row r="54" spans="1:17" x14ac:dyDescent="0.25">
      <c r="A54" s="6">
        <f t="shared" si="11"/>
        <v>44834</v>
      </c>
      <c r="B54" s="30">
        <f>IFERROR(VLOOKUP(A54, Data!$L$3:$N$123, 3),1)*Pension</f>
        <v>25980.558774187502</v>
      </c>
      <c r="C54" s="37">
        <f t="shared" si="0"/>
        <v>4.2518822724161529</v>
      </c>
      <c r="D54" s="37">
        <f>IFERROR(VLOOKUP(A54,Data!$I$3:$J$1442,2),0)</f>
        <v>8.1128531000000004E-2</v>
      </c>
      <c r="E54" s="37">
        <f t="shared" si="1"/>
        <v>8.0928530999999998E-2</v>
      </c>
      <c r="F54" s="37">
        <f t="shared" si="5"/>
        <v>0.70885904082051776</v>
      </c>
      <c r="G54" s="30">
        <f t="shared" si="6"/>
        <v>18416.55397265164</v>
      </c>
      <c r="H54" s="38">
        <f t="shared" si="2"/>
        <v>99</v>
      </c>
      <c r="I54" s="39">
        <f t="shared" si="3"/>
        <v>99.876796714579058</v>
      </c>
      <c r="J54" s="40">
        <f t="shared" si="7"/>
        <v>4</v>
      </c>
      <c r="K54" s="43">
        <f>VLOOKUP(J54,Data!$Z$3:$AA$122,2)</f>
        <v>0.42742192981346339</v>
      </c>
      <c r="L54" s="41">
        <f t="shared" si="4"/>
        <v>0.87679671457905783</v>
      </c>
      <c r="M54" s="43">
        <f>VLOOKUP(H54,Data!$P$3:$X$122,9)</f>
        <v>0.25116115431367497</v>
      </c>
      <c r="N54" s="43">
        <f t="shared" si="8"/>
        <v>0.80234444968657181</v>
      </c>
      <c r="O54" s="43">
        <f t="shared" si="9"/>
        <v>0.3429396130601558</v>
      </c>
      <c r="P54" s="30">
        <f t="shared" si="10"/>
        <v>6315.7658932826289</v>
      </c>
      <c r="Q54" s="31">
        <f t="shared" si="12"/>
        <v>631806.03374928224</v>
      </c>
    </row>
    <row r="55" spans="1:17" x14ac:dyDescent="0.25">
      <c r="A55" s="6">
        <f t="shared" si="11"/>
        <v>44865</v>
      </c>
      <c r="B55" s="30">
        <f>IFERROR(VLOOKUP(A55, Data!$L$3:$N$123, 3),1)*Pension</f>
        <v>25980.558774187502</v>
      </c>
      <c r="C55" s="37">
        <f t="shared" si="0"/>
        <v>4.3367556468172488</v>
      </c>
      <c r="D55" s="37">
        <f>IFERROR(VLOOKUP(A55,Data!$I$3:$J$1442,2),0)</f>
        <v>8.1319691E-2</v>
      </c>
      <c r="E55" s="37">
        <f t="shared" si="1"/>
        <v>8.1119690999999994E-2</v>
      </c>
      <c r="F55" s="37">
        <f t="shared" si="5"/>
        <v>0.70342341019567045</v>
      </c>
      <c r="G55" s="30">
        <f t="shared" si="6"/>
        <v>18275.333251728021</v>
      </c>
      <c r="H55" s="38">
        <f t="shared" si="2"/>
        <v>99</v>
      </c>
      <c r="I55" s="39">
        <f t="shared" si="3"/>
        <v>99.961670088980156</v>
      </c>
      <c r="J55" s="40">
        <f t="shared" si="7"/>
        <v>4</v>
      </c>
      <c r="K55" s="43">
        <f>VLOOKUP(J55,Data!$Z$3:$AA$122,2)</f>
        <v>0.42742192981346339</v>
      </c>
      <c r="L55" s="41">
        <f t="shared" si="4"/>
        <v>0.96167008898015638</v>
      </c>
      <c r="M55" s="43">
        <f>VLOOKUP(H55,Data!$P$3:$X$122,9)</f>
        <v>0.25116115431367497</v>
      </c>
      <c r="N55" s="43">
        <f t="shared" si="8"/>
        <v>0.78542196576256185</v>
      </c>
      <c r="O55" s="43">
        <f t="shared" si="9"/>
        <v>0.33570657232411816</v>
      </c>
      <c r="P55" s="30">
        <f t="shared" si="10"/>
        <v>6135.1494840185942</v>
      </c>
      <c r="Q55" s="31">
        <f t="shared" si="12"/>
        <v>637941.18323330081</v>
      </c>
    </row>
    <row r="56" spans="1:17" x14ac:dyDescent="0.25">
      <c r="A56" s="6">
        <f t="shared" si="11"/>
        <v>44895</v>
      </c>
      <c r="B56" s="30">
        <f>IFERROR(VLOOKUP(A56, Data!$L$3:$N$123, 3),1)*Pension</f>
        <v>25980.558774187502</v>
      </c>
      <c r="C56" s="37">
        <f t="shared" si="0"/>
        <v>4.4188911704312117</v>
      </c>
      <c r="D56" s="37">
        <f>IFERROR(VLOOKUP(A56,Data!$I$3:$J$1442,2),0)</f>
        <v>8.1497696999999994E-2</v>
      </c>
      <c r="E56" s="37">
        <f t="shared" si="1"/>
        <v>8.1297696999999988E-2</v>
      </c>
      <c r="F56" s="37">
        <f t="shared" si="5"/>
        <v>0.69820279899271631</v>
      </c>
      <c r="G56" s="30">
        <f t="shared" si="6"/>
        <v>18139.69885553249</v>
      </c>
      <c r="H56" s="38">
        <f t="shared" si="2"/>
        <v>100</v>
      </c>
      <c r="I56" s="39">
        <f t="shared" si="3"/>
        <v>100.04380561259411</v>
      </c>
      <c r="J56" s="40">
        <f t="shared" si="7"/>
        <v>5</v>
      </c>
      <c r="K56" s="43">
        <f>VLOOKUP(J56,Data!$Z$3:$AA$122,2)</f>
        <v>0.33249023693610374</v>
      </c>
      <c r="L56" s="41">
        <f t="shared" si="4"/>
        <v>4.3805612594113086E-2</v>
      </c>
      <c r="M56" s="43">
        <f>VLOOKUP(H56,Data!$P$3:$X$122,9)</f>
        <v>0.26787290922924811</v>
      </c>
      <c r="N56" s="43">
        <f t="shared" si="8"/>
        <v>0.98833424194047437</v>
      </c>
      <c r="O56" s="43">
        <f t="shared" si="9"/>
        <v>0.32861148627485282</v>
      </c>
      <c r="P56" s="30">
        <f t="shared" si="10"/>
        <v>5960.9134014947776</v>
      </c>
      <c r="Q56" s="31">
        <f t="shared" si="12"/>
        <v>643902.09663479554</v>
      </c>
    </row>
    <row r="57" spans="1:17" x14ac:dyDescent="0.25">
      <c r="A57" s="6">
        <f t="shared" si="11"/>
        <v>44926</v>
      </c>
      <c r="B57" s="30">
        <f>IFERROR(VLOOKUP(A57, Data!$L$3:$N$123, 3),1)*Pension</f>
        <v>27279.586712896878</v>
      </c>
      <c r="C57" s="37">
        <f t="shared" si="0"/>
        <v>4.5037645448323067</v>
      </c>
      <c r="D57" s="37">
        <f>IFERROR(VLOOKUP(A57,Data!$I$3:$J$1442,2),0)</f>
        <v>8.1673958000000005E-2</v>
      </c>
      <c r="E57" s="37">
        <f t="shared" si="1"/>
        <v>8.1473957999999999E-2</v>
      </c>
      <c r="F57" s="37">
        <f t="shared" si="5"/>
        <v>0.69285154510562297</v>
      </c>
      <c r="G57" s="30">
        <f t="shared" si="6"/>
        <v>18900.703803873424</v>
      </c>
      <c r="H57" s="38">
        <f t="shared" si="2"/>
        <v>100</v>
      </c>
      <c r="I57" s="39">
        <f t="shared" si="3"/>
        <v>100.12867898699521</v>
      </c>
      <c r="J57" s="40">
        <f t="shared" si="7"/>
        <v>5</v>
      </c>
      <c r="K57" s="43">
        <f>VLOOKUP(J57,Data!$Z$3:$AA$122,2)</f>
        <v>0.33249023693610374</v>
      </c>
      <c r="L57" s="41">
        <f t="shared" si="4"/>
        <v>0.12867898699521163</v>
      </c>
      <c r="M57" s="43">
        <f>VLOOKUP(H57,Data!$P$3:$X$122,9)</f>
        <v>0.26787290922924811</v>
      </c>
      <c r="N57" s="43">
        <f t="shared" si="8"/>
        <v>0.96611769511013867</v>
      </c>
      <c r="O57" s="43">
        <f t="shared" si="9"/>
        <v>0.32122470135533243</v>
      </c>
      <c r="P57" s="30">
        <f t="shared" si="10"/>
        <v>6071.3729348048364</v>
      </c>
      <c r="Q57" s="31">
        <f t="shared" si="12"/>
        <v>649973.46956960042</v>
      </c>
    </row>
    <row r="58" spans="1:17" x14ac:dyDescent="0.25">
      <c r="A58" s="6">
        <f t="shared" si="11"/>
        <v>44957</v>
      </c>
      <c r="B58" s="30">
        <f>IFERROR(VLOOKUP(A58, Data!$L$3:$N$123, 3),1)*Pension</f>
        <v>27279.586712896878</v>
      </c>
      <c r="C58" s="37">
        <f t="shared" si="0"/>
        <v>4.5886379192334017</v>
      </c>
      <c r="D58" s="37">
        <f>IFERROR(VLOOKUP(A58,Data!$I$3:$J$1442,2),0)</f>
        <v>8.1831430999999996E-2</v>
      </c>
      <c r="E58" s="37">
        <f t="shared" si="1"/>
        <v>8.163143099999999E-2</v>
      </c>
      <c r="F58" s="37">
        <f t="shared" si="5"/>
        <v>0.68758000886076431</v>
      </c>
      <c r="G58" s="30">
        <f t="shared" si="6"/>
        <v>18756.898473771624</v>
      </c>
      <c r="H58" s="38">
        <f t="shared" si="2"/>
        <v>100</v>
      </c>
      <c r="I58" s="39">
        <f t="shared" si="3"/>
        <v>100.21355236139631</v>
      </c>
      <c r="J58" s="40">
        <f t="shared" si="7"/>
        <v>5</v>
      </c>
      <c r="K58" s="43">
        <f>VLOOKUP(J58,Data!$Z$3:$AA$122,2)</f>
        <v>0.33249023693610374</v>
      </c>
      <c r="L58" s="41">
        <f t="shared" si="4"/>
        <v>0.21355236139631018</v>
      </c>
      <c r="M58" s="43">
        <f>VLOOKUP(H58,Data!$P$3:$X$122,9)</f>
        <v>0.26787290922924811</v>
      </c>
      <c r="N58" s="43">
        <f t="shared" si="8"/>
        <v>0.94440054912227045</v>
      </c>
      <c r="O58" s="43">
        <f t="shared" si="9"/>
        <v>0.31400396234025019</v>
      </c>
      <c r="P58" s="30">
        <f t="shared" si="10"/>
        <v>5889.7404419780814</v>
      </c>
      <c r="Q58" s="31">
        <f t="shared" si="12"/>
        <v>655863.21001157851</v>
      </c>
    </row>
    <row r="59" spans="1:17" x14ac:dyDescent="0.25">
      <c r="A59" s="6">
        <f t="shared" si="11"/>
        <v>44985</v>
      </c>
      <c r="B59" s="30">
        <f>IFERROR(VLOOKUP(A59, Data!$L$3:$N$123, 3),1)*Pension</f>
        <v>27279.586712896878</v>
      </c>
      <c r="C59" s="37">
        <f t="shared" si="0"/>
        <v>4.6652977412731005</v>
      </c>
      <c r="D59" s="37">
        <f>IFERROR(VLOOKUP(A59,Data!$I$3:$J$1442,2),0)</f>
        <v>8.1968741999999997E-2</v>
      </c>
      <c r="E59" s="37">
        <f t="shared" si="1"/>
        <v>8.1768741999999991E-2</v>
      </c>
      <c r="F59" s="37">
        <f t="shared" si="5"/>
        <v>0.68285309707207897</v>
      </c>
      <c r="G59" s="30">
        <f t="shared" si="6"/>
        <v>18627.950273747967</v>
      </c>
      <c r="H59" s="38">
        <f t="shared" si="2"/>
        <v>100</v>
      </c>
      <c r="I59" s="39">
        <f t="shared" si="3"/>
        <v>100.290212183436</v>
      </c>
      <c r="J59" s="40">
        <f t="shared" si="7"/>
        <v>5</v>
      </c>
      <c r="K59" s="43">
        <f>VLOOKUP(J59,Data!$Z$3:$AA$122,2)</f>
        <v>0.33249023693610374</v>
      </c>
      <c r="L59" s="41">
        <f t="shared" si="4"/>
        <v>0.29021218343599742</v>
      </c>
      <c r="M59" s="43">
        <f>VLOOKUP(H59,Data!$P$3:$X$122,9)</f>
        <v>0.26787290922924811</v>
      </c>
      <c r="N59" s="43">
        <f t="shared" si="8"/>
        <v>0.92520496533419871</v>
      </c>
      <c r="O59" s="43">
        <f t="shared" si="9"/>
        <v>0.30762161813842737</v>
      </c>
      <c r="P59" s="30">
        <f t="shared" si="10"/>
        <v>5730.3602058125107</v>
      </c>
      <c r="Q59" s="31">
        <f t="shared" si="12"/>
        <v>661593.57021739101</v>
      </c>
    </row>
    <row r="60" spans="1:17" x14ac:dyDescent="0.25">
      <c r="A60" s="6">
        <f t="shared" si="11"/>
        <v>45016</v>
      </c>
      <c r="B60" s="30">
        <f>IFERROR(VLOOKUP(A60, Data!$L$3:$N$123, 3),1)*Pension</f>
        <v>27279.586712896878</v>
      </c>
      <c r="C60" s="37">
        <f t="shared" si="0"/>
        <v>4.7501711156741955</v>
      </c>
      <c r="D60" s="37">
        <f>IFERROR(VLOOKUP(A60,Data!$I$3:$J$1442,2),0)</f>
        <v>8.2118313999999998E-2</v>
      </c>
      <c r="E60" s="37">
        <f t="shared" si="1"/>
        <v>8.1918313999999992E-2</v>
      </c>
      <c r="F60" s="37">
        <f t="shared" si="5"/>
        <v>0.67764887477163616</v>
      </c>
      <c r="G60" s="30">
        <f t="shared" si="6"/>
        <v>18485.981240229845</v>
      </c>
      <c r="H60" s="38">
        <f t="shared" si="2"/>
        <v>100</v>
      </c>
      <c r="I60" s="39">
        <f t="shared" si="3"/>
        <v>100.3750855578371</v>
      </c>
      <c r="J60" s="40">
        <f t="shared" si="7"/>
        <v>5</v>
      </c>
      <c r="K60" s="43">
        <f>VLOOKUP(J60,Data!$Z$3:$AA$122,2)</f>
        <v>0.33249023693610374</v>
      </c>
      <c r="L60" s="41">
        <f t="shared" si="4"/>
        <v>0.37508555783709596</v>
      </c>
      <c r="M60" s="43">
        <f>VLOOKUP(H60,Data!$P$3:$X$122,9)</f>
        <v>0.26787290922924811</v>
      </c>
      <c r="N60" s="43">
        <f t="shared" si="8"/>
        <v>0.90440748755011491</v>
      </c>
      <c r="O60" s="43">
        <f t="shared" si="9"/>
        <v>0.30070665982232403</v>
      </c>
      <c r="P60" s="30">
        <f t="shared" si="10"/>
        <v>5558.8576722876596</v>
      </c>
      <c r="Q60" s="31">
        <f t="shared" si="12"/>
        <v>667152.42788967863</v>
      </c>
    </row>
    <row r="61" spans="1:17" x14ac:dyDescent="0.25">
      <c r="A61" s="6">
        <f t="shared" si="11"/>
        <v>45046</v>
      </c>
      <c r="B61" s="30">
        <f>IFERROR(VLOOKUP(A61, Data!$L$3:$N$123, 3),1)*Pension</f>
        <v>27279.586712896878</v>
      </c>
      <c r="C61" s="37">
        <f t="shared" si="0"/>
        <v>4.8323066392881584</v>
      </c>
      <c r="D61" s="37">
        <f>IFERROR(VLOOKUP(A61,Data!$I$3:$J$1442,2),0)</f>
        <v>8.2295514E-2</v>
      </c>
      <c r="E61" s="37">
        <f t="shared" si="1"/>
        <v>8.2095513999999994E-2</v>
      </c>
      <c r="F61" s="37">
        <f t="shared" si="5"/>
        <v>0.67252856178115084</v>
      </c>
      <c r="G61" s="30">
        <f t="shared" si="6"/>
        <v>18346.301218008728</v>
      </c>
      <c r="H61" s="38">
        <f t="shared" si="2"/>
        <v>100</v>
      </c>
      <c r="I61" s="39">
        <f t="shared" si="3"/>
        <v>100.45722108145107</v>
      </c>
      <c r="J61" s="40">
        <f t="shared" si="7"/>
        <v>5</v>
      </c>
      <c r="K61" s="43">
        <f>VLOOKUP(J61,Data!$Z$3:$AA$122,2)</f>
        <v>0.33249023693610374</v>
      </c>
      <c r="L61" s="41">
        <f t="shared" si="4"/>
        <v>0.45722108145106688</v>
      </c>
      <c r="M61" s="43">
        <f>VLOOKUP(H61,Data!$P$3:$X$122,9)</f>
        <v>0.26787290922924811</v>
      </c>
      <c r="N61" s="43">
        <f t="shared" si="8"/>
        <v>0.88472612844640142</v>
      </c>
      <c r="O61" s="43">
        <f t="shared" si="9"/>
        <v>0.29416280007070578</v>
      </c>
      <c r="P61" s="30">
        <f t="shared" si="10"/>
        <v>5396.7993372300471</v>
      </c>
      <c r="Q61" s="31">
        <f t="shared" si="12"/>
        <v>672549.22722690867</v>
      </c>
    </row>
    <row r="62" spans="1:17" x14ac:dyDescent="0.25">
      <c r="A62" s="6">
        <f t="shared" si="11"/>
        <v>45077</v>
      </c>
      <c r="B62" s="30">
        <f>IFERROR(VLOOKUP(A62, Data!$L$3:$N$123, 3),1)*Pension</f>
        <v>27279.586712896878</v>
      </c>
      <c r="C62" s="37">
        <f t="shared" si="0"/>
        <v>4.9171800136892543</v>
      </c>
      <c r="D62" s="37">
        <f>IFERROR(VLOOKUP(A62,Data!$I$3:$J$1442,2),0)</f>
        <v>8.2472404999999999E-2</v>
      </c>
      <c r="E62" s="37">
        <f t="shared" si="1"/>
        <v>8.2272404999999993E-2</v>
      </c>
      <c r="F62" s="37">
        <f t="shared" si="5"/>
        <v>0.66727820201955379</v>
      </c>
      <c r="G62" s="30">
        <f t="shared" si="6"/>
        <v>18203.073573618338</v>
      </c>
      <c r="H62" s="38">
        <f t="shared" si="2"/>
        <v>100</v>
      </c>
      <c r="I62" s="39">
        <f t="shared" si="3"/>
        <v>100.54209445585215</v>
      </c>
      <c r="J62" s="40">
        <f t="shared" si="7"/>
        <v>5</v>
      </c>
      <c r="K62" s="43">
        <f>VLOOKUP(J62,Data!$Z$3:$AA$122,2)</f>
        <v>0.33249023693610374</v>
      </c>
      <c r="L62" s="41">
        <f t="shared" si="4"/>
        <v>0.54209445585215121</v>
      </c>
      <c r="M62" s="43">
        <f>VLOOKUP(H62,Data!$P$3:$X$122,9)</f>
        <v>0.26787290922924811</v>
      </c>
      <c r="N62" s="43">
        <f t="shared" si="8"/>
        <v>0.86483856548383875</v>
      </c>
      <c r="O62" s="43">
        <f t="shared" si="9"/>
        <v>0.2875503795492016</v>
      </c>
      <c r="P62" s="30">
        <f t="shared" si="10"/>
        <v>5234.3007150559943</v>
      </c>
      <c r="Q62" s="31">
        <f t="shared" si="12"/>
        <v>677783.52794196468</v>
      </c>
    </row>
    <row r="63" spans="1:17" x14ac:dyDescent="0.25">
      <c r="A63" s="6">
        <f t="shared" si="11"/>
        <v>45107</v>
      </c>
      <c r="B63" s="30">
        <f>IFERROR(VLOOKUP(A63, Data!$L$3:$N$123, 3),1)*Pension</f>
        <v>27279.586712896878</v>
      </c>
      <c r="C63" s="37">
        <f t="shared" si="0"/>
        <v>4.9993155373032172</v>
      </c>
      <c r="D63" s="37">
        <f>IFERROR(VLOOKUP(A63,Data!$I$3:$J$1442,2),0)</f>
        <v>8.2637572000000006E-2</v>
      </c>
      <c r="E63" s="37">
        <f t="shared" si="1"/>
        <v>8.2437572000000001E-2</v>
      </c>
      <c r="F63" s="37">
        <f t="shared" si="5"/>
        <v>0.66223722947479735</v>
      </c>
      <c r="G63" s="30">
        <f t="shared" si="6"/>
        <v>18065.557925966325</v>
      </c>
      <c r="H63" s="38">
        <f t="shared" si="2"/>
        <v>100</v>
      </c>
      <c r="I63" s="39">
        <f t="shared" si="3"/>
        <v>100.62422997946612</v>
      </c>
      <c r="J63" s="40">
        <f t="shared" si="7"/>
        <v>5</v>
      </c>
      <c r="K63" s="43">
        <f>VLOOKUP(J63,Data!$Z$3:$AA$122,2)</f>
        <v>0.33249023693610374</v>
      </c>
      <c r="L63" s="41">
        <f t="shared" si="4"/>
        <v>0.62422997946612213</v>
      </c>
      <c r="M63" s="43">
        <f>VLOOKUP(H63,Data!$P$3:$X$122,9)</f>
        <v>0.26787290922924811</v>
      </c>
      <c r="N63" s="43">
        <f t="shared" si="8"/>
        <v>0.84601828965868453</v>
      </c>
      <c r="O63" s="43">
        <f t="shared" si="9"/>
        <v>0.28129282158089325</v>
      </c>
      <c r="P63" s="30">
        <f t="shared" si="10"/>
        <v>5081.7117624281373</v>
      </c>
      <c r="Q63" s="31">
        <f t="shared" si="12"/>
        <v>682865.23970439285</v>
      </c>
    </row>
    <row r="64" spans="1:17" x14ac:dyDescent="0.25">
      <c r="A64" s="6">
        <f t="shared" si="11"/>
        <v>45138</v>
      </c>
      <c r="B64" s="30">
        <f>IFERROR(VLOOKUP(A64, Data!$L$3:$N$123, 3),1)*Pension</f>
        <v>27279.586712896878</v>
      </c>
      <c r="C64" s="37">
        <f t="shared" si="0"/>
        <v>5.0841889117043122</v>
      </c>
      <c r="D64" s="37">
        <f>IFERROR(VLOOKUP(A64,Data!$I$3:$J$1442,2),0)</f>
        <v>8.2793725999999998E-2</v>
      </c>
      <c r="E64" s="37">
        <f t="shared" si="1"/>
        <v>8.2593725999999992E-2</v>
      </c>
      <c r="F64" s="37">
        <f t="shared" si="5"/>
        <v>0.65709800187546563</v>
      </c>
      <c r="G64" s="30">
        <f t="shared" si="6"/>
        <v>17925.36192103304</v>
      </c>
      <c r="H64" s="38">
        <f t="shared" si="2"/>
        <v>100</v>
      </c>
      <c r="I64" s="39">
        <f t="shared" si="3"/>
        <v>100.70910335386722</v>
      </c>
      <c r="J64" s="40">
        <f t="shared" si="7"/>
        <v>5</v>
      </c>
      <c r="K64" s="43">
        <f>VLOOKUP(J64,Data!$Z$3:$AA$122,2)</f>
        <v>0.33249023693610374</v>
      </c>
      <c r="L64" s="41">
        <f t="shared" si="4"/>
        <v>0.70910335386722068</v>
      </c>
      <c r="M64" s="43">
        <f>VLOOKUP(H64,Data!$P$3:$X$122,9)</f>
        <v>0.26787290922924811</v>
      </c>
      <c r="N64" s="43">
        <f t="shared" si="8"/>
        <v>0.82700083164304428</v>
      </c>
      <c r="O64" s="43">
        <f t="shared" si="9"/>
        <v>0.27496970245935065</v>
      </c>
      <c r="P64" s="30">
        <f t="shared" si="10"/>
        <v>4928.9314339026296</v>
      </c>
      <c r="Q64" s="31">
        <f t="shared" si="12"/>
        <v>687794.17113829544</v>
      </c>
    </row>
    <row r="65" spans="1:17" x14ac:dyDescent="0.25">
      <c r="A65" s="6">
        <f t="shared" si="11"/>
        <v>45169</v>
      </c>
      <c r="B65" s="30">
        <f>IFERROR(VLOOKUP(A65, Data!$L$3:$N$123, 3),1)*Pension</f>
        <v>27279.586712896878</v>
      </c>
      <c r="C65" s="37">
        <f t="shared" si="0"/>
        <v>5.1690622861054072</v>
      </c>
      <c r="D65" s="37">
        <f>IFERROR(VLOOKUP(A65,Data!$I$3:$J$1442,2),0)</f>
        <v>8.2944754999999995E-2</v>
      </c>
      <c r="E65" s="37">
        <f t="shared" si="1"/>
        <v>8.2744754999999989E-2</v>
      </c>
      <c r="F65" s="37">
        <f t="shared" si="5"/>
        <v>0.65199864684839703</v>
      </c>
      <c r="G65" s="30">
        <f t="shared" si="6"/>
        <v>17786.253623392276</v>
      </c>
      <c r="H65" s="38">
        <f t="shared" si="2"/>
        <v>100</v>
      </c>
      <c r="I65" s="39">
        <f t="shared" si="3"/>
        <v>100.79397672826831</v>
      </c>
      <c r="J65" s="40">
        <f t="shared" si="7"/>
        <v>5</v>
      </c>
      <c r="K65" s="43">
        <f>VLOOKUP(J65,Data!$Z$3:$AA$122,2)</f>
        <v>0.33249023693610374</v>
      </c>
      <c r="L65" s="41">
        <f t="shared" si="4"/>
        <v>0.79397672826830501</v>
      </c>
      <c r="M65" s="43">
        <f>VLOOKUP(H65,Data!$P$3:$X$122,9)</f>
        <v>0.26787290922924811</v>
      </c>
      <c r="N65" s="43">
        <f t="shared" si="8"/>
        <v>0.80841086285996555</v>
      </c>
      <c r="O65" s="43">
        <f t="shared" si="9"/>
        <v>0.26878871933403004</v>
      </c>
      <c r="P65" s="30">
        <f t="shared" si="10"/>
        <v>4780.7443331818613</v>
      </c>
      <c r="Q65" s="31">
        <f t="shared" si="12"/>
        <v>692574.91547147732</v>
      </c>
    </row>
    <row r="66" spans="1:17" x14ac:dyDescent="0.25">
      <c r="A66" s="6">
        <f t="shared" si="11"/>
        <v>45199</v>
      </c>
      <c r="B66" s="30">
        <f>IFERROR(VLOOKUP(A66, Data!$L$3:$N$123, 3),1)*Pension</f>
        <v>27279.586712896878</v>
      </c>
      <c r="C66" s="37">
        <f t="shared" si="0"/>
        <v>5.2511978097193701</v>
      </c>
      <c r="D66" s="37">
        <f>IFERROR(VLOOKUP(A66,Data!$I$3:$J$1442,2),0)</f>
        <v>8.3087590000000003E-2</v>
      </c>
      <c r="E66" s="37">
        <f t="shared" si="1"/>
        <v>8.2887589999999997E-2</v>
      </c>
      <c r="F66" s="37">
        <f t="shared" si="5"/>
        <v>0.64709696242784087</v>
      </c>
      <c r="G66" s="30">
        <f t="shared" si="6"/>
        <v>17652.537698202457</v>
      </c>
      <c r="H66" s="38">
        <f t="shared" si="2"/>
        <v>100</v>
      </c>
      <c r="I66" s="39">
        <f t="shared" si="3"/>
        <v>100.87611225188228</v>
      </c>
      <c r="J66" s="40">
        <f t="shared" si="7"/>
        <v>5</v>
      </c>
      <c r="K66" s="43">
        <f>VLOOKUP(J66,Data!$Z$3:$AA$122,2)</f>
        <v>0.33249023693610374</v>
      </c>
      <c r="L66" s="41">
        <f t="shared" si="4"/>
        <v>0.87611225188227593</v>
      </c>
      <c r="M66" s="43">
        <f>VLOOKUP(H66,Data!$P$3:$X$122,9)</f>
        <v>0.26787290922924811</v>
      </c>
      <c r="N66" s="43">
        <f t="shared" si="8"/>
        <v>0.79081854444784239</v>
      </c>
      <c r="O66" s="43">
        <f t="shared" si="9"/>
        <v>0.2629394452169278</v>
      </c>
      <c r="P66" s="30">
        <f t="shared" si="10"/>
        <v>4641.5484690362582</v>
      </c>
      <c r="Q66" s="31">
        <f t="shared" si="12"/>
        <v>697216.46394051355</v>
      </c>
    </row>
    <row r="67" spans="1:17" x14ac:dyDescent="0.25">
      <c r="A67" s="6">
        <f t="shared" si="11"/>
        <v>45230</v>
      </c>
      <c r="B67" s="30">
        <f>IFERROR(VLOOKUP(A67, Data!$L$3:$N$123, 3),1)*Pension</f>
        <v>27279.586712896878</v>
      </c>
      <c r="C67" s="37">
        <f t="shared" ref="C67:C130" si="13">(A67-EffDate)/365.25</f>
        <v>5.3360711841204651</v>
      </c>
      <c r="D67" s="37">
        <f>IFERROR(VLOOKUP(A67,Data!$I$3:$J$1442,2),0)</f>
        <v>8.3269603999999997E-2</v>
      </c>
      <c r="E67" s="37">
        <f t="shared" ref="E67:E130" si="14">D67-Fees</f>
        <v>8.3069603999999991E-2</v>
      </c>
      <c r="F67" s="37">
        <f t="shared" si="5"/>
        <v>0.64193686568608821</v>
      </c>
      <c r="G67" s="30">
        <f t="shared" si="6"/>
        <v>17511.772391688879</v>
      </c>
      <c r="H67" s="38">
        <f t="shared" ref="H67:H130" si="15">IF(OR(A67 = DATE(YEAR(A67), MONTH(Date_of_Birth), DAY(Date_of_Birth)),AND(A67 = DATE(YEAR(A67), MONTH(Date_of_Birth), DAY(Date_of_Birth)-1), AND(MONTH(Date_of_Birth)=2, DAY(Date_of_Birth) = 29))), ROUND((A67-Date_of_Birth)/365.25,0),ROUNDDOWN((A67-Date_of_Birth)/365.25,0))</f>
        <v>100</v>
      </c>
      <c r="I67" s="39">
        <f t="shared" ref="I67:I130" si="16">IF(OR(A67 = DATE(YEAR(A67), MONTH(Date_of_Birth), DAY(Date_of_Birth)),AND(A67 = DATE(YEAR(A67), MONTH(Date_of_Birth), DAY(Date_of_Birth)-1), AND(MONTH(Date_of_Birth)=2, DAY(Date_of_Birth) = 29))), ROUND((A67-Date_of_Birth)/365.25,0),(A67-Date_of_Birth)/365.25)</f>
        <v>100.96098562628337</v>
      </c>
      <c r="J67" s="40">
        <f t="shared" ref="J67:J130" si="17">H67-StartAge</f>
        <v>5</v>
      </c>
      <c r="K67" s="43">
        <f>VLOOKUP(J67,Data!$Z$3:$AA$122,2)</f>
        <v>0.33249023693610374</v>
      </c>
      <c r="L67" s="41">
        <f t="shared" ref="L67:L130" si="18">IF(A67&lt;=NextBirth,(A67-EffDate)/365.25,(I67-H67))</f>
        <v>0.96098562628337447</v>
      </c>
      <c r="M67" s="43">
        <f>VLOOKUP(H67,Data!$P$3:$X$122,9)</f>
        <v>0.26787290922924811</v>
      </c>
      <c r="N67" s="43">
        <f t="shared" si="8"/>
        <v>0.77304190929602545</v>
      </c>
      <c r="O67" s="43">
        <f t="shared" si="9"/>
        <v>0.2570288875833735</v>
      </c>
      <c r="P67" s="30">
        <f t="shared" si="10"/>
        <v>4501.0313774490241</v>
      </c>
      <c r="Q67" s="31">
        <f t="shared" si="12"/>
        <v>701717.4953179626</v>
      </c>
    </row>
    <row r="68" spans="1:17" x14ac:dyDescent="0.25">
      <c r="A68" s="6">
        <f t="shared" si="11"/>
        <v>45260</v>
      </c>
      <c r="B68" s="30">
        <f>IFERROR(VLOOKUP(A68, Data!$L$3:$N$123, 3),1)*Pension</f>
        <v>27279.586712896878</v>
      </c>
      <c r="C68" s="37">
        <f t="shared" si="13"/>
        <v>5.4182067077344289</v>
      </c>
      <c r="D68" s="37">
        <f>IFERROR(VLOOKUP(A68,Data!$I$3:$J$1442,2),0)</f>
        <v>8.3440320999999998E-2</v>
      </c>
      <c r="E68" s="37">
        <f t="shared" si="14"/>
        <v>8.3240320999999992E-2</v>
      </c>
      <c r="F68" s="37">
        <f t="shared" ref="F68:F131" si="19">EXP(-E68*C68)</f>
        <v>0.63698239217075547</v>
      </c>
      <c r="G68" s="30">
        <f t="shared" ref="G68:G131" si="20">B68*F68</f>
        <v>17376.61640181061</v>
      </c>
      <c r="H68" s="38">
        <f t="shared" si="15"/>
        <v>101</v>
      </c>
      <c r="I68" s="39">
        <f t="shared" si="16"/>
        <v>101.04312114989733</v>
      </c>
      <c r="J68" s="40">
        <f t="shared" si="17"/>
        <v>6</v>
      </c>
      <c r="K68" s="43">
        <f>VLOOKUP(J68,Data!$Z$3:$AA$122,2)</f>
        <v>0.25435669370730402</v>
      </c>
      <c r="L68" s="41">
        <f t="shared" si="18"/>
        <v>4.3121149897331179E-2</v>
      </c>
      <c r="M68" s="43">
        <f>VLOOKUP(H68,Data!$P$3:$X$122,9)</f>
        <v>0.28517189225851347</v>
      </c>
      <c r="N68" s="43">
        <f t="shared" ref="N68:N131" si="21">IF(M68=0, 0, EXP(-L68*M68))</f>
        <v>0.98777835849035189</v>
      </c>
      <c r="O68" s="43">
        <f t="shared" ref="O68:O131" si="22">K68*N68</f>
        <v>0.25124803738123397</v>
      </c>
      <c r="P68" s="30">
        <f t="shared" ref="P68:P131" si="23">G68*O68</f>
        <v>4365.8407672814756</v>
      </c>
      <c r="Q68" s="31">
        <f t="shared" si="12"/>
        <v>706083.33608524408</v>
      </c>
    </row>
    <row r="69" spans="1:17" x14ac:dyDescent="0.25">
      <c r="A69" s="6">
        <f t="shared" ref="A69:A132" si="24">EOMONTH(A68,1)</f>
        <v>45291</v>
      </c>
      <c r="B69" s="30">
        <f>IFERROR(VLOOKUP(A69, Data!$L$3:$N$123, 3),1)*Pension</f>
        <v>28643.566048541717</v>
      </c>
      <c r="C69" s="37">
        <f t="shared" si="13"/>
        <v>5.5030800821355239</v>
      </c>
      <c r="D69" s="37">
        <f>IFERROR(VLOOKUP(A69,Data!$I$3:$J$1442,2),0)</f>
        <v>8.3610561E-2</v>
      </c>
      <c r="E69" s="37">
        <f t="shared" si="14"/>
        <v>8.3410560999999994E-2</v>
      </c>
      <c r="F69" s="37">
        <f t="shared" si="19"/>
        <v>0.63190576821418509</v>
      </c>
      <c r="G69" s="30">
        <f t="shared" si="20"/>
        <v>18100.034608297505</v>
      </c>
      <c r="H69" s="38">
        <f t="shared" si="15"/>
        <v>101</v>
      </c>
      <c r="I69" s="39">
        <f t="shared" si="16"/>
        <v>101.12799452429843</v>
      </c>
      <c r="J69" s="40">
        <f t="shared" si="17"/>
        <v>6</v>
      </c>
      <c r="K69" s="43">
        <f>VLOOKUP(J69,Data!$Z$3:$AA$122,2)</f>
        <v>0.25435669370730402</v>
      </c>
      <c r="L69" s="41">
        <f t="shared" si="18"/>
        <v>0.12799452429842972</v>
      </c>
      <c r="M69" s="43">
        <f>VLOOKUP(H69,Data!$P$3:$X$122,9)</f>
        <v>0.28517189225851347</v>
      </c>
      <c r="N69" s="43">
        <f t="shared" si="21"/>
        <v>0.96415766899878008</v>
      </c>
      <c r="O69" s="43">
        <f t="shared" si="22"/>
        <v>0.24523995689907091</v>
      </c>
      <c r="P69" s="30">
        <f t="shared" si="23"/>
        <v>4438.8517072105715</v>
      </c>
      <c r="Q69" s="31">
        <f t="shared" ref="Q69:Q132" si="25">Q68+P69</f>
        <v>710522.18779245461</v>
      </c>
    </row>
    <row r="70" spans="1:17" x14ac:dyDescent="0.25">
      <c r="A70" s="6">
        <f t="shared" si="24"/>
        <v>45322</v>
      </c>
      <c r="B70" s="30">
        <f>IFERROR(VLOOKUP(A70, Data!$L$3:$N$123, 3),1)*Pension</f>
        <v>28643.566048541717</v>
      </c>
      <c r="C70" s="37">
        <f t="shared" si="13"/>
        <v>5.5879534565366189</v>
      </c>
      <c r="D70" s="37">
        <f>IFERROR(VLOOKUP(A70,Data!$I$3:$J$1442,2),0)</f>
        <v>8.3763982000000001E-2</v>
      </c>
      <c r="E70" s="37">
        <f t="shared" si="14"/>
        <v>8.3563981999999995E-2</v>
      </c>
      <c r="F70" s="37">
        <f t="shared" si="19"/>
        <v>0.62691040577587698</v>
      </c>
      <c r="G70" s="30">
        <f t="shared" si="20"/>
        <v>17956.949614359422</v>
      </c>
      <c r="H70" s="38">
        <f t="shared" si="15"/>
        <v>101</v>
      </c>
      <c r="I70" s="39">
        <f t="shared" si="16"/>
        <v>101.21286789869951</v>
      </c>
      <c r="J70" s="40">
        <f t="shared" si="17"/>
        <v>6</v>
      </c>
      <c r="K70" s="43">
        <f>VLOOKUP(J70,Data!$Z$3:$AA$122,2)</f>
        <v>0.25435669370730402</v>
      </c>
      <c r="L70" s="41">
        <f t="shared" si="18"/>
        <v>0.21286789869951406</v>
      </c>
      <c r="M70" s="43">
        <f>VLOOKUP(H70,Data!$P$3:$X$122,9)</f>
        <v>0.28517189225851347</v>
      </c>
      <c r="N70" s="43">
        <f t="shared" si="21"/>
        <v>0.9411018197542792</v>
      </c>
      <c r="O70" s="43">
        <f t="shared" si="22"/>
        <v>0.23937554731462563</v>
      </c>
      <c r="P70" s="30">
        <f t="shared" si="23"/>
        <v>4298.4546420384422</v>
      </c>
      <c r="Q70" s="31">
        <f t="shared" si="25"/>
        <v>714820.64243449306</v>
      </c>
    </row>
    <row r="71" spans="1:17" x14ac:dyDescent="0.25">
      <c r="A71" s="6">
        <f t="shared" si="24"/>
        <v>45351</v>
      </c>
      <c r="B71" s="30">
        <f>IFERROR(VLOOKUP(A71, Data!$L$3:$N$123, 3),1)*Pension</f>
        <v>28643.566048541717</v>
      </c>
      <c r="C71" s="37">
        <f t="shared" si="13"/>
        <v>5.6673511293634498</v>
      </c>
      <c r="D71" s="37">
        <f>IFERROR(VLOOKUP(A71,Data!$I$3:$J$1442,2),0)</f>
        <v>8.3903347000000003E-2</v>
      </c>
      <c r="E71" s="37">
        <f t="shared" si="14"/>
        <v>8.3703346999999997E-2</v>
      </c>
      <c r="F71" s="37">
        <f t="shared" si="19"/>
        <v>0.62227307319797087</v>
      </c>
      <c r="G71" s="30">
        <f t="shared" si="20"/>
        <v>17824.119872375115</v>
      </c>
      <c r="H71" s="38">
        <f t="shared" si="15"/>
        <v>101</v>
      </c>
      <c r="I71" s="39">
        <f t="shared" si="16"/>
        <v>101.29226557152636</v>
      </c>
      <c r="J71" s="40">
        <f t="shared" si="17"/>
        <v>6</v>
      </c>
      <c r="K71" s="43">
        <f>VLOOKUP(J71,Data!$Z$3:$AA$122,2)</f>
        <v>0.25435669370730402</v>
      </c>
      <c r="L71" s="41">
        <f t="shared" si="18"/>
        <v>0.29226557152635735</v>
      </c>
      <c r="M71" s="43">
        <f>VLOOKUP(H71,Data!$P$3:$X$122,9)</f>
        <v>0.28517189225851347</v>
      </c>
      <c r="N71" s="43">
        <f t="shared" si="21"/>
        <v>0.92003282882138437</v>
      </c>
      <c r="O71" s="43">
        <f t="shared" si="22"/>
        <v>0.23401650844118532</v>
      </c>
      <c r="P71" s="30">
        <f t="shared" si="23"/>
        <v>4171.1382985703704</v>
      </c>
      <c r="Q71" s="31">
        <f t="shared" si="25"/>
        <v>718991.78073306347</v>
      </c>
    </row>
    <row r="72" spans="1:17" x14ac:dyDescent="0.25">
      <c r="A72" s="6">
        <f t="shared" si="24"/>
        <v>45382</v>
      </c>
      <c r="B72" s="30">
        <f>IFERROR(VLOOKUP(A72, Data!$L$3:$N$123, 3),1)*Pension</f>
        <v>28643.566048541717</v>
      </c>
      <c r="C72" s="37">
        <f t="shared" si="13"/>
        <v>5.7522245037645447</v>
      </c>
      <c r="D72" s="37">
        <f>IFERROR(VLOOKUP(A72,Data!$I$3:$J$1442,2),0)</f>
        <v>8.4050240999999998E-2</v>
      </c>
      <c r="E72" s="37">
        <f t="shared" si="14"/>
        <v>8.3850240999999992E-2</v>
      </c>
      <c r="F72" s="37">
        <f t="shared" si="19"/>
        <v>0.61734613789617587</v>
      </c>
      <c r="G72" s="30">
        <f t="shared" si="20"/>
        <v>17682.994875641256</v>
      </c>
      <c r="H72" s="38">
        <f t="shared" si="15"/>
        <v>101</v>
      </c>
      <c r="I72" s="39">
        <f t="shared" si="16"/>
        <v>101.37713894592744</v>
      </c>
      <c r="J72" s="40">
        <f t="shared" si="17"/>
        <v>6</v>
      </c>
      <c r="K72" s="43">
        <f>VLOOKUP(J72,Data!$Z$3:$AA$122,2)</f>
        <v>0.25435669370730402</v>
      </c>
      <c r="L72" s="41">
        <f t="shared" si="18"/>
        <v>0.37713894592744168</v>
      </c>
      <c r="M72" s="43">
        <f>VLOOKUP(H72,Data!$P$3:$X$122,9)</f>
        <v>0.28517189225851347</v>
      </c>
      <c r="N72" s="43">
        <f t="shared" si="21"/>
        <v>0.89803213445017749</v>
      </c>
      <c r="O72" s="43">
        <f t="shared" si="22"/>
        <v>0.22842048456166025</v>
      </c>
      <c r="P72" s="30">
        <f t="shared" si="23"/>
        <v>4039.158257995331</v>
      </c>
      <c r="Q72" s="31">
        <f t="shared" si="25"/>
        <v>723030.93899105885</v>
      </c>
    </row>
    <row r="73" spans="1:17" x14ac:dyDescent="0.25">
      <c r="A73" s="6">
        <f t="shared" si="24"/>
        <v>45412</v>
      </c>
      <c r="B73" s="30">
        <f>IFERROR(VLOOKUP(A73, Data!$L$3:$N$123, 3),1)*Pension</f>
        <v>28643.566048541717</v>
      </c>
      <c r="C73" s="37">
        <f t="shared" si="13"/>
        <v>5.8343600273785077</v>
      </c>
      <c r="D73" s="37">
        <f>IFERROR(VLOOKUP(A73,Data!$I$3:$J$1442,2),0)</f>
        <v>8.4218342000000002E-2</v>
      </c>
      <c r="E73" s="37">
        <f t="shared" si="14"/>
        <v>8.4018341999999996E-2</v>
      </c>
      <c r="F73" s="37">
        <f t="shared" si="19"/>
        <v>0.61250801181689984</v>
      </c>
      <c r="G73" s="30">
        <f t="shared" si="20"/>
        <v>17544.41369173834</v>
      </c>
      <c r="H73" s="38">
        <f t="shared" si="15"/>
        <v>101</v>
      </c>
      <c r="I73" s="39">
        <f t="shared" si="16"/>
        <v>101.45927446954141</v>
      </c>
      <c r="J73" s="40">
        <f t="shared" si="17"/>
        <v>6</v>
      </c>
      <c r="K73" s="43">
        <f>VLOOKUP(J73,Data!$Z$3:$AA$122,2)</f>
        <v>0.25435669370730402</v>
      </c>
      <c r="L73" s="41">
        <f t="shared" si="18"/>
        <v>0.4592744695414126</v>
      </c>
      <c r="M73" s="43">
        <f>VLOOKUP(H73,Data!$P$3:$X$122,9)</f>
        <v>0.28517189225851347</v>
      </c>
      <c r="N73" s="43">
        <f t="shared" si="21"/>
        <v>0.87724218810042842</v>
      </c>
      <c r="O73" s="43">
        <f t="shared" si="22"/>
        <v>0.22313242254578586</v>
      </c>
      <c r="P73" s="30">
        <f t="shared" si="23"/>
        <v>3914.7275291830301</v>
      </c>
      <c r="Q73" s="31">
        <f t="shared" si="25"/>
        <v>726945.66652024188</v>
      </c>
    </row>
    <row r="74" spans="1:17" x14ac:dyDescent="0.25">
      <c r="A74" s="6">
        <f t="shared" si="24"/>
        <v>45443</v>
      </c>
      <c r="B74" s="30">
        <f>IFERROR(VLOOKUP(A74, Data!$L$3:$N$123, 3),1)*Pension</f>
        <v>28643.566048541717</v>
      </c>
      <c r="C74" s="37">
        <f t="shared" si="13"/>
        <v>5.9192334017796027</v>
      </c>
      <c r="D74" s="37">
        <f>IFERROR(VLOOKUP(A74,Data!$I$3:$J$1442,2),0)</f>
        <v>8.4387147999999995E-2</v>
      </c>
      <c r="E74" s="37">
        <f t="shared" si="14"/>
        <v>8.4187147999999989E-2</v>
      </c>
      <c r="F74" s="37">
        <f t="shared" si="19"/>
        <v>0.60754843506582701</v>
      </c>
      <c r="G74" s="30">
        <f t="shared" si="20"/>
        <v>17402.353727496175</v>
      </c>
      <c r="H74" s="38">
        <f t="shared" si="15"/>
        <v>101</v>
      </c>
      <c r="I74" s="39">
        <f t="shared" si="16"/>
        <v>101.54414784394251</v>
      </c>
      <c r="J74" s="40">
        <f t="shared" si="17"/>
        <v>6</v>
      </c>
      <c r="K74" s="43">
        <f>VLOOKUP(J74,Data!$Z$3:$AA$122,2)</f>
        <v>0.25435669370730402</v>
      </c>
      <c r="L74" s="41">
        <f t="shared" si="18"/>
        <v>0.54414784394251114</v>
      </c>
      <c r="M74" s="43">
        <f>VLOOKUP(H74,Data!$P$3:$X$122,9)</f>
        <v>0.28517189225851347</v>
      </c>
      <c r="N74" s="43">
        <f t="shared" si="21"/>
        <v>0.85626474396438179</v>
      </c>
      <c r="O74" s="43">
        <f t="shared" si="22"/>
        <v>0.21779666921291135</v>
      </c>
      <c r="P74" s="30">
        <f t="shared" si="23"/>
        <v>3790.1746783135591</v>
      </c>
      <c r="Q74" s="31">
        <f t="shared" si="25"/>
        <v>730735.84119855543</v>
      </c>
    </row>
    <row r="75" spans="1:17" x14ac:dyDescent="0.25">
      <c r="A75" s="6">
        <f t="shared" si="24"/>
        <v>45473</v>
      </c>
      <c r="B75" s="30">
        <f>IFERROR(VLOOKUP(A75, Data!$L$3:$N$123, 3),1)*Pension</f>
        <v>28643.566048541717</v>
      </c>
      <c r="C75" s="37">
        <f t="shared" si="13"/>
        <v>6.0013689253935665</v>
      </c>
      <c r="D75" s="37">
        <f>IFERROR(VLOOKUP(A75,Data!$I$3:$J$1442,2),0)</f>
        <v>8.4545597E-2</v>
      </c>
      <c r="E75" s="37">
        <f t="shared" si="14"/>
        <v>8.4345596999999994E-2</v>
      </c>
      <c r="F75" s="37">
        <f t="shared" si="19"/>
        <v>0.60278840670034228</v>
      </c>
      <c r="G75" s="30">
        <f t="shared" si="20"/>
        <v>17266.00954061648</v>
      </c>
      <c r="H75" s="38">
        <f t="shared" si="15"/>
        <v>101</v>
      </c>
      <c r="I75" s="39">
        <f t="shared" si="16"/>
        <v>101.62628336755647</v>
      </c>
      <c r="J75" s="40">
        <f t="shared" si="17"/>
        <v>6</v>
      </c>
      <c r="K75" s="43">
        <f>VLOOKUP(J75,Data!$Z$3:$AA$122,2)</f>
        <v>0.25435669370730402</v>
      </c>
      <c r="L75" s="41">
        <f t="shared" si="18"/>
        <v>0.62628336755646785</v>
      </c>
      <c r="M75" s="43">
        <f>VLOOKUP(H75,Data!$P$3:$X$122,9)</f>
        <v>0.28517189225851347</v>
      </c>
      <c r="N75" s="43">
        <f t="shared" si="21"/>
        <v>0.83644173607269068</v>
      </c>
      <c r="O75" s="43">
        <f t="shared" si="22"/>
        <v>0.212754554466247</v>
      </c>
      <c r="P75" s="30">
        <f t="shared" si="23"/>
        <v>3673.4221672238291</v>
      </c>
      <c r="Q75" s="31">
        <f t="shared" si="25"/>
        <v>734409.2633657793</v>
      </c>
    </row>
    <row r="76" spans="1:17" x14ac:dyDescent="0.25">
      <c r="A76" s="6">
        <f t="shared" si="24"/>
        <v>45504</v>
      </c>
      <c r="B76" s="30">
        <f>IFERROR(VLOOKUP(A76, Data!$L$3:$N$123, 3),1)*Pension</f>
        <v>28643.566048541717</v>
      </c>
      <c r="C76" s="37">
        <f t="shared" si="13"/>
        <v>6.0862422997946615</v>
      </c>
      <c r="D76" s="37">
        <f>IFERROR(VLOOKUP(A76,Data!$I$3:$J$1442,2),0)</f>
        <v>8.4693960999999998E-2</v>
      </c>
      <c r="E76" s="37">
        <f t="shared" si="14"/>
        <v>8.4493960999999992E-2</v>
      </c>
      <c r="F76" s="37">
        <f t="shared" si="19"/>
        <v>0.59794845791998419</v>
      </c>
      <c r="G76" s="30">
        <f t="shared" si="20"/>
        <v>17127.376148054736</v>
      </c>
      <c r="H76" s="38">
        <f t="shared" si="15"/>
        <v>101</v>
      </c>
      <c r="I76" s="39">
        <f t="shared" si="16"/>
        <v>101.71115674195757</v>
      </c>
      <c r="J76" s="40">
        <f t="shared" si="17"/>
        <v>6</v>
      </c>
      <c r="K76" s="43">
        <f>VLOOKUP(J76,Data!$Z$3:$AA$122,2)</f>
        <v>0.25435669370730402</v>
      </c>
      <c r="L76" s="41">
        <f t="shared" si="18"/>
        <v>0.7111567419575664</v>
      </c>
      <c r="M76" s="43">
        <f>VLOOKUP(H76,Data!$P$3:$X$122,9)</f>
        <v>0.28517189225851347</v>
      </c>
      <c r="N76" s="43">
        <f t="shared" si="21"/>
        <v>0.81643995089918275</v>
      </c>
      <c r="O76" s="43">
        <f t="shared" si="22"/>
        <v>0.20766696652126976</v>
      </c>
      <c r="P76" s="30">
        <f t="shared" si="23"/>
        <v>3556.790249135277</v>
      </c>
      <c r="Q76" s="31">
        <f t="shared" si="25"/>
        <v>737966.05361491453</v>
      </c>
    </row>
    <row r="77" spans="1:17" x14ac:dyDescent="0.25">
      <c r="A77" s="6">
        <f t="shared" si="24"/>
        <v>45535</v>
      </c>
      <c r="B77" s="30">
        <f>IFERROR(VLOOKUP(A77, Data!$L$3:$N$123, 3),1)*Pension</f>
        <v>28643.566048541717</v>
      </c>
      <c r="C77" s="37">
        <f t="shared" si="13"/>
        <v>6.1711156741957565</v>
      </c>
      <c r="D77" s="37">
        <f>IFERROR(VLOOKUP(A77,Data!$I$3:$J$1442,2),0)</f>
        <v>8.4838246000000006E-2</v>
      </c>
      <c r="E77" s="37">
        <f t="shared" si="14"/>
        <v>8.4638246E-2</v>
      </c>
      <c r="F77" s="37">
        <f t="shared" si="19"/>
        <v>0.59314736306737081</v>
      </c>
      <c r="G77" s="30">
        <f t="shared" si="20"/>
        <v>16989.855670538589</v>
      </c>
      <c r="H77" s="38">
        <f t="shared" si="15"/>
        <v>101</v>
      </c>
      <c r="I77" s="39">
        <f t="shared" si="16"/>
        <v>101.79603011635866</v>
      </c>
      <c r="J77" s="40">
        <f t="shared" si="17"/>
        <v>6</v>
      </c>
      <c r="K77" s="43">
        <f>VLOOKUP(J77,Data!$Z$3:$AA$122,2)</f>
        <v>0.25435669370730402</v>
      </c>
      <c r="L77" s="41">
        <f t="shared" si="18"/>
        <v>0.79603011635866494</v>
      </c>
      <c r="M77" s="43">
        <f>VLOOKUP(H77,Data!$P$3:$X$122,9)</f>
        <v>0.28517189225851347</v>
      </c>
      <c r="N77" s="43">
        <f t="shared" si="21"/>
        <v>0.79691646731307009</v>
      </c>
      <c r="O77" s="43">
        <f t="shared" si="22"/>
        <v>0.20270103778665732</v>
      </c>
      <c r="P77" s="30">
        <f t="shared" si="23"/>
        <v>3443.8613762636969</v>
      </c>
      <c r="Q77" s="31">
        <f t="shared" si="25"/>
        <v>741409.9149911782</v>
      </c>
    </row>
    <row r="78" spans="1:17" x14ac:dyDescent="0.25">
      <c r="A78" s="6">
        <f t="shared" si="24"/>
        <v>45565</v>
      </c>
      <c r="B78" s="30">
        <f>IFERROR(VLOOKUP(A78, Data!$L$3:$N$123, 3),1)*Pension</f>
        <v>28643.566048541717</v>
      </c>
      <c r="C78" s="37">
        <f t="shared" si="13"/>
        <v>6.2532511978097194</v>
      </c>
      <c r="D78" s="37">
        <f>IFERROR(VLOOKUP(A78,Data!$I$3:$J$1442,2),0)</f>
        <v>8.4975046999999998E-2</v>
      </c>
      <c r="E78" s="37">
        <f t="shared" si="14"/>
        <v>8.4775046999999992E-2</v>
      </c>
      <c r="F78" s="37">
        <f t="shared" si="19"/>
        <v>0.58853453895133701</v>
      </c>
      <c r="G78" s="30">
        <f t="shared" si="20"/>
        <v>16857.727938300668</v>
      </c>
      <c r="H78" s="38">
        <f t="shared" si="15"/>
        <v>101</v>
      </c>
      <c r="I78" s="39">
        <f t="shared" si="16"/>
        <v>101.87816563997262</v>
      </c>
      <c r="J78" s="40">
        <f t="shared" si="17"/>
        <v>6</v>
      </c>
      <c r="K78" s="43">
        <f>VLOOKUP(J78,Data!$Z$3:$AA$122,2)</f>
        <v>0.25435669370730402</v>
      </c>
      <c r="L78" s="41">
        <f t="shared" si="18"/>
        <v>0.87816563997262165</v>
      </c>
      <c r="M78" s="43">
        <f>VLOOKUP(H78,Data!$P$3:$X$122,9)</f>
        <v>0.28517189225851347</v>
      </c>
      <c r="N78" s="43">
        <f t="shared" si="21"/>
        <v>0.77846740523044089</v>
      </c>
      <c r="O78" s="43">
        <f t="shared" si="22"/>
        <v>0.19800839535331896</v>
      </c>
      <c r="P78" s="30">
        <f t="shared" si="23"/>
        <v>3337.9716583657291</v>
      </c>
      <c r="Q78" s="31">
        <f t="shared" si="25"/>
        <v>744747.88664954389</v>
      </c>
    </row>
    <row r="79" spans="1:17" x14ac:dyDescent="0.25">
      <c r="A79" s="6">
        <f t="shared" si="24"/>
        <v>45596</v>
      </c>
      <c r="B79" s="30">
        <f>IFERROR(VLOOKUP(A79, Data!$L$3:$N$123, 3),1)*Pension</f>
        <v>28643.566048541717</v>
      </c>
      <c r="C79" s="37">
        <f t="shared" si="13"/>
        <v>6.3381245722108144</v>
      </c>
      <c r="D79" s="37">
        <f>IFERROR(VLOOKUP(A79,Data!$I$3:$J$1442,2),0)</f>
        <v>8.5139256999999996E-2</v>
      </c>
      <c r="E79" s="37">
        <f t="shared" si="14"/>
        <v>8.493925699999999E-2</v>
      </c>
      <c r="F79" s="37">
        <f t="shared" si="19"/>
        <v>0.58370731662925734</v>
      </c>
      <c r="G79" s="30">
        <f t="shared" si="20"/>
        <v>16719.459076887186</v>
      </c>
      <c r="H79" s="38">
        <f t="shared" si="15"/>
        <v>101</v>
      </c>
      <c r="I79" s="39">
        <f t="shared" si="16"/>
        <v>101.96303901437372</v>
      </c>
      <c r="J79" s="40">
        <f t="shared" si="17"/>
        <v>6</v>
      </c>
      <c r="K79" s="43">
        <f>VLOOKUP(J79,Data!$Z$3:$AA$122,2)</f>
        <v>0.25435669370730402</v>
      </c>
      <c r="L79" s="41">
        <f t="shared" si="18"/>
        <v>0.96303901437372019</v>
      </c>
      <c r="M79" s="43">
        <f>VLOOKUP(H79,Data!$P$3:$X$122,9)</f>
        <v>0.28517189225851347</v>
      </c>
      <c r="N79" s="43">
        <f t="shared" si="21"/>
        <v>0.75985195703783148</v>
      </c>
      <c r="O79" s="43">
        <f t="shared" si="22"/>
        <v>0.19327343149916723</v>
      </c>
      <c r="P79" s="30">
        <f t="shared" si="23"/>
        <v>3231.4272285998854</v>
      </c>
      <c r="Q79" s="31">
        <f t="shared" si="25"/>
        <v>747979.31387814379</v>
      </c>
    </row>
    <row r="80" spans="1:17" x14ac:dyDescent="0.25">
      <c r="A80" s="6">
        <f t="shared" si="24"/>
        <v>45626</v>
      </c>
      <c r="B80" s="30">
        <f>IFERROR(VLOOKUP(A80, Data!$L$3:$N$123, 3),1)*Pension</f>
        <v>28643.566048541717</v>
      </c>
      <c r="C80" s="37">
        <f t="shared" si="13"/>
        <v>6.4202600958247773</v>
      </c>
      <c r="D80" s="37">
        <f>IFERROR(VLOOKUP(A80,Data!$I$3:$J$1442,2),0)</f>
        <v>8.5294038000000003E-2</v>
      </c>
      <c r="E80" s="37">
        <f t="shared" si="14"/>
        <v>8.5094037999999997E-2</v>
      </c>
      <c r="F80" s="37">
        <f t="shared" si="19"/>
        <v>0.57907350573082683</v>
      </c>
      <c r="G80" s="30">
        <f t="shared" si="20"/>
        <v>16586.73020836154</v>
      </c>
      <c r="H80" s="38">
        <f t="shared" si="15"/>
        <v>102</v>
      </c>
      <c r="I80" s="39">
        <f t="shared" si="16"/>
        <v>102.04517453798768</v>
      </c>
      <c r="J80" s="40">
        <f t="shared" si="17"/>
        <v>7</v>
      </c>
      <c r="K80" s="43">
        <f>VLOOKUP(J80,Data!$Z$3:$AA$122,2)</f>
        <v>0.19124698264811629</v>
      </c>
      <c r="L80" s="41">
        <f t="shared" si="18"/>
        <v>4.5174537987676899E-2</v>
      </c>
      <c r="M80" s="43">
        <f>VLOOKUP(H80,Data!$P$3:$X$122,9)</f>
        <v>0.30303127099900501</v>
      </c>
      <c r="N80" s="43">
        <f t="shared" si="21"/>
        <v>0.98640397467603613</v>
      </c>
      <c r="O80" s="43">
        <f t="shared" si="22"/>
        <v>0.18864678382890082</v>
      </c>
      <c r="P80" s="30">
        <f t="shared" si="23"/>
        <v>3129.0333080450782</v>
      </c>
      <c r="Q80" s="31">
        <f t="shared" si="25"/>
        <v>751108.34718618891</v>
      </c>
    </row>
    <row r="81" spans="1:17" x14ac:dyDescent="0.25">
      <c r="A81" s="6">
        <f t="shared" si="24"/>
        <v>45657</v>
      </c>
      <c r="B81" s="30">
        <f>IFERROR(VLOOKUP(A81, Data!$L$3:$N$123, 3),1)*Pension</f>
        <v>30075.744350968809</v>
      </c>
      <c r="C81" s="37">
        <f t="shared" si="13"/>
        <v>6.5051334702258723</v>
      </c>
      <c r="D81" s="37">
        <f>IFERROR(VLOOKUP(A81,Data!$I$3:$J$1442,2),0)</f>
        <v>8.5449206999999999E-2</v>
      </c>
      <c r="E81" s="37">
        <f t="shared" si="14"/>
        <v>8.5249206999999994E-2</v>
      </c>
      <c r="F81" s="37">
        <f t="shared" si="19"/>
        <v>0.57432636174800722</v>
      </c>
      <c r="G81" s="30">
        <f t="shared" si="20"/>
        <v>17273.292829955099</v>
      </c>
      <c r="H81" s="38">
        <f t="shared" si="15"/>
        <v>102</v>
      </c>
      <c r="I81" s="39">
        <f t="shared" si="16"/>
        <v>102.13004791238878</v>
      </c>
      <c r="J81" s="40">
        <f t="shared" si="17"/>
        <v>7</v>
      </c>
      <c r="K81" s="43">
        <f>VLOOKUP(J81,Data!$Z$3:$AA$122,2)</f>
        <v>0.19124698264811629</v>
      </c>
      <c r="L81" s="41">
        <f t="shared" si="18"/>
        <v>0.13004791238877544</v>
      </c>
      <c r="M81" s="43">
        <f>VLOOKUP(H81,Data!$P$3:$X$122,9)</f>
        <v>0.30303127099900501</v>
      </c>
      <c r="N81" s="43">
        <f t="shared" si="21"/>
        <v>0.96135783328653845</v>
      </c>
      <c r="O81" s="43">
        <f t="shared" si="22"/>
        <v>0.18385678486118129</v>
      </c>
      <c r="P81" s="30">
        <f t="shared" si="23"/>
        <v>3175.81208368124</v>
      </c>
      <c r="Q81" s="31">
        <f t="shared" si="25"/>
        <v>754284.15926987014</v>
      </c>
    </row>
    <row r="82" spans="1:17" x14ac:dyDescent="0.25">
      <c r="A82" s="6">
        <f t="shared" si="24"/>
        <v>45688</v>
      </c>
      <c r="B82" s="30">
        <f>IFERROR(VLOOKUP(A82, Data!$L$3:$N$123, 3),1)*Pension</f>
        <v>30075.744350968809</v>
      </c>
      <c r="C82" s="37">
        <f t="shared" si="13"/>
        <v>6.5900068446269682</v>
      </c>
      <c r="D82" s="37">
        <f>IFERROR(VLOOKUP(A82,Data!$I$3:$J$1442,2),0)</f>
        <v>8.5590847999999997E-2</v>
      </c>
      <c r="E82" s="37">
        <f t="shared" si="14"/>
        <v>8.5390847999999991E-2</v>
      </c>
      <c r="F82" s="37">
        <f t="shared" si="19"/>
        <v>0.56965391296749335</v>
      </c>
      <c r="G82" s="30">
        <f t="shared" si="20"/>
        <v>17132.765454939366</v>
      </c>
      <c r="H82" s="38">
        <f t="shared" si="15"/>
        <v>102</v>
      </c>
      <c r="I82" s="39">
        <f t="shared" si="16"/>
        <v>102.21492128678987</v>
      </c>
      <c r="J82" s="40">
        <f t="shared" si="17"/>
        <v>7</v>
      </c>
      <c r="K82" s="43">
        <f>VLOOKUP(J82,Data!$Z$3:$AA$122,2)</f>
        <v>0.19124698264811629</v>
      </c>
      <c r="L82" s="41">
        <f t="shared" si="18"/>
        <v>0.21492128678987399</v>
      </c>
      <c r="M82" s="43">
        <f>VLOOKUP(H82,Data!$P$3:$X$122,9)</f>
        <v>0.30303127099900501</v>
      </c>
      <c r="N82" s="43">
        <f t="shared" si="21"/>
        <v>0.93694764756490878</v>
      </c>
      <c r="O82" s="43">
        <f t="shared" si="22"/>
        <v>0.17918841049603948</v>
      </c>
      <c r="P82" s="30">
        <f t="shared" si="23"/>
        <v>3069.9930092720397</v>
      </c>
      <c r="Q82" s="31">
        <f t="shared" si="25"/>
        <v>757354.15227914217</v>
      </c>
    </row>
    <row r="83" spans="1:17" x14ac:dyDescent="0.25">
      <c r="A83" s="6">
        <f t="shared" si="24"/>
        <v>45716</v>
      </c>
      <c r="B83" s="30">
        <f>IFERROR(VLOOKUP(A83, Data!$L$3:$N$123, 3),1)*Pension</f>
        <v>30075.744350968809</v>
      </c>
      <c r="C83" s="37">
        <f t="shared" si="13"/>
        <v>6.666666666666667</v>
      </c>
      <c r="D83" s="37">
        <f>IFERROR(VLOOKUP(A83,Data!$I$3:$J$1442,2),0)</f>
        <v>8.5715683000000001E-2</v>
      </c>
      <c r="E83" s="37">
        <f t="shared" si="14"/>
        <v>8.5515682999999995E-2</v>
      </c>
      <c r="F83" s="37">
        <f t="shared" si="19"/>
        <v>0.5654663142207208</v>
      </c>
      <c r="G83" s="30">
        <f t="shared" si="20"/>
        <v>17006.820305586996</v>
      </c>
      <c r="H83" s="38">
        <f t="shared" si="15"/>
        <v>102</v>
      </c>
      <c r="I83" s="39">
        <f t="shared" si="16"/>
        <v>102.29158110882958</v>
      </c>
      <c r="J83" s="40">
        <f t="shared" si="17"/>
        <v>7</v>
      </c>
      <c r="K83" s="43">
        <f>VLOOKUP(J83,Data!$Z$3:$AA$122,2)</f>
        <v>0.19124698264811629</v>
      </c>
      <c r="L83" s="41">
        <f t="shared" si="18"/>
        <v>0.29158110882957544</v>
      </c>
      <c r="M83" s="43">
        <f>VLOOKUP(H83,Data!$P$3:$X$122,9)</f>
        <v>0.30303127099900501</v>
      </c>
      <c r="N83" s="43">
        <f t="shared" si="21"/>
        <v>0.91543291540498684</v>
      </c>
      <c r="O83" s="43">
        <f t="shared" si="22"/>
        <v>0.17507378288797204</v>
      </c>
      <c r="P83" s="30">
        <f t="shared" si="23"/>
        <v>2977.4483657950923</v>
      </c>
      <c r="Q83" s="31">
        <f t="shared" si="25"/>
        <v>760331.60064493725</v>
      </c>
    </row>
    <row r="84" spans="1:17" x14ac:dyDescent="0.25">
      <c r="A84" s="6">
        <f t="shared" si="24"/>
        <v>45747</v>
      </c>
      <c r="B84" s="30">
        <f>IFERROR(VLOOKUP(A84, Data!$L$3:$N$123, 3),1)*Pension</f>
        <v>30075.744350968809</v>
      </c>
      <c r="C84" s="37">
        <f t="shared" si="13"/>
        <v>6.751540041067762</v>
      </c>
      <c r="D84" s="37">
        <f>IFERROR(VLOOKUP(A84,Data!$I$3:$J$1442,2),0)</f>
        <v>8.5852067000000004E-2</v>
      </c>
      <c r="E84" s="37">
        <f t="shared" si="14"/>
        <v>8.5652066999999998E-2</v>
      </c>
      <c r="F84" s="37">
        <f t="shared" si="19"/>
        <v>0.56086033596634344</v>
      </c>
      <c r="G84" s="30">
        <f t="shared" si="20"/>
        <v>16868.292081122221</v>
      </c>
      <c r="H84" s="38">
        <f t="shared" si="15"/>
        <v>102</v>
      </c>
      <c r="I84" s="39">
        <f t="shared" si="16"/>
        <v>102.37645448323066</v>
      </c>
      <c r="J84" s="40">
        <f t="shared" si="17"/>
        <v>7</v>
      </c>
      <c r="K84" s="43">
        <f>VLOOKUP(J84,Data!$Z$3:$AA$122,2)</f>
        <v>0.19124698264811629</v>
      </c>
      <c r="L84" s="41">
        <f t="shared" si="18"/>
        <v>0.37645448323065978</v>
      </c>
      <c r="M84" s="43">
        <f>VLOOKUP(H84,Data!$P$3:$X$122,9)</f>
        <v>0.30303127099900501</v>
      </c>
      <c r="N84" s="43">
        <f t="shared" si="21"/>
        <v>0.89218882594421622</v>
      </c>
      <c r="O84" s="43">
        <f t="shared" si="22"/>
        <v>0.17062842091419678</v>
      </c>
      <c r="P84" s="30">
        <f t="shared" si="23"/>
        <v>2878.2100413213348</v>
      </c>
      <c r="Q84" s="31">
        <f t="shared" si="25"/>
        <v>763209.8106862586</v>
      </c>
    </row>
    <row r="85" spans="1:17" x14ac:dyDescent="0.25">
      <c r="A85" s="6">
        <f t="shared" si="24"/>
        <v>45777</v>
      </c>
      <c r="B85" s="30">
        <f>IFERROR(VLOOKUP(A85, Data!$L$3:$N$123, 3),1)*Pension</f>
        <v>30075.744350968809</v>
      </c>
      <c r="C85" s="37">
        <f t="shared" si="13"/>
        <v>6.8336755646817249</v>
      </c>
      <c r="D85" s="37">
        <f>IFERROR(VLOOKUP(A85,Data!$I$3:$J$1442,2),0)</f>
        <v>8.6001332E-2</v>
      </c>
      <c r="E85" s="37">
        <f t="shared" si="14"/>
        <v>8.5801331999999994E-2</v>
      </c>
      <c r="F85" s="37">
        <f t="shared" si="19"/>
        <v>0.55636069341285466</v>
      </c>
      <c r="G85" s="30">
        <f t="shared" si="20"/>
        <v>16732.961982012752</v>
      </c>
      <c r="H85" s="38">
        <f t="shared" si="15"/>
        <v>102</v>
      </c>
      <c r="I85" s="39">
        <f t="shared" si="16"/>
        <v>102.45859000684463</v>
      </c>
      <c r="J85" s="40">
        <f t="shared" si="17"/>
        <v>7</v>
      </c>
      <c r="K85" s="43">
        <f>VLOOKUP(J85,Data!$Z$3:$AA$122,2)</f>
        <v>0.19124698264811629</v>
      </c>
      <c r="L85" s="41">
        <f t="shared" si="18"/>
        <v>0.45859000684463069</v>
      </c>
      <c r="M85" s="43">
        <f>VLOOKUP(H85,Data!$P$3:$X$122,9)</f>
        <v>0.30303127099900501</v>
      </c>
      <c r="N85" s="43">
        <f t="shared" si="21"/>
        <v>0.87025664842995365</v>
      </c>
      <c r="O85" s="43">
        <f t="shared" si="22"/>
        <v>0.16643395814169118</v>
      </c>
      <c r="P85" s="30">
        <f t="shared" si="23"/>
        <v>2784.9330941008202</v>
      </c>
      <c r="Q85" s="31">
        <f t="shared" si="25"/>
        <v>765994.74378035939</v>
      </c>
    </row>
    <row r="86" spans="1:17" x14ac:dyDescent="0.25">
      <c r="A86" s="6">
        <f t="shared" si="24"/>
        <v>45808</v>
      </c>
      <c r="B86" s="30">
        <f>IFERROR(VLOOKUP(A86, Data!$L$3:$N$123, 3),1)*Pension</f>
        <v>30075.744350968809</v>
      </c>
      <c r="C86" s="37">
        <f t="shared" si="13"/>
        <v>6.9185489390828199</v>
      </c>
      <c r="D86" s="37">
        <f>IFERROR(VLOOKUP(A86,Data!$I$3:$J$1442,2),0)</f>
        <v>8.6151850000000002E-2</v>
      </c>
      <c r="E86" s="37">
        <f t="shared" si="14"/>
        <v>8.5951849999999996E-2</v>
      </c>
      <c r="F86" s="37">
        <f t="shared" si="19"/>
        <v>0.55174898103764025</v>
      </c>
      <c r="G86" s="30">
        <f t="shared" si="20"/>
        <v>16594.261299595604</v>
      </c>
      <c r="H86" s="38">
        <f t="shared" si="15"/>
        <v>102</v>
      </c>
      <c r="I86" s="39">
        <f t="shared" si="16"/>
        <v>102.54346338124572</v>
      </c>
      <c r="J86" s="40">
        <f t="shared" si="17"/>
        <v>7</v>
      </c>
      <c r="K86" s="43">
        <f>VLOOKUP(J86,Data!$Z$3:$AA$122,2)</f>
        <v>0.19124698264811629</v>
      </c>
      <c r="L86" s="41">
        <f t="shared" si="18"/>
        <v>0.54346338124571503</v>
      </c>
      <c r="M86" s="43">
        <f>VLOOKUP(H86,Data!$P$3:$X$122,9)</f>
        <v>0.30303127099900501</v>
      </c>
      <c r="N86" s="43">
        <f t="shared" si="21"/>
        <v>0.84815964596310733</v>
      </c>
      <c r="O86" s="43">
        <f t="shared" si="22"/>
        <v>0.16220797309433885</v>
      </c>
      <c r="P86" s="30">
        <f t="shared" si="23"/>
        <v>2691.7214904052321</v>
      </c>
      <c r="Q86" s="31">
        <f t="shared" si="25"/>
        <v>768686.46527076466</v>
      </c>
    </row>
    <row r="87" spans="1:17" x14ac:dyDescent="0.25">
      <c r="A87" s="6">
        <f t="shared" si="24"/>
        <v>45838</v>
      </c>
      <c r="B87" s="30">
        <f>IFERROR(VLOOKUP(A87, Data!$L$3:$N$123, 3),1)*Pension</f>
        <v>30075.744350968809</v>
      </c>
      <c r="C87" s="37">
        <f t="shared" si="13"/>
        <v>7.0006844626967828</v>
      </c>
      <c r="D87" s="37">
        <f>IFERROR(VLOOKUP(A87,Data!$I$3:$J$1442,2),0)</f>
        <v>8.6293630999999996E-2</v>
      </c>
      <c r="E87" s="37">
        <f t="shared" si="14"/>
        <v>8.609363099999999E-2</v>
      </c>
      <c r="F87" s="37">
        <f t="shared" si="19"/>
        <v>0.54732399194315484</v>
      </c>
      <c r="G87" s="30">
        <f t="shared" si="20"/>
        <v>16461.176458834037</v>
      </c>
      <c r="H87" s="38">
        <f t="shared" si="15"/>
        <v>102</v>
      </c>
      <c r="I87" s="39">
        <f t="shared" si="16"/>
        <v>102.62559890485969</v>
      </c>
      <c r="J87" s="40">
        <f t="shared" si="17"/>
        <v>7</v>
      </c>
      <c r="K87" s="43">
        <f>VLOOKUP(J87,Data!$Z$3:$AA$122,2)</f>
        <v>0.19124698264811629</v>
      </c>
      <c r="L87" s="41">
        <f t="shared" si="18"/>
        <v>0.62559890485968594</v>
      </c>
      <c r="M87" s="43">
        <f>VLOOKUP(H87,Data!$P$3:$X$122,9)</f>
        <v>0.30303127099900501</v>
      </c>
      <c r="N87" s="43">
        <f t="shared" si="21"/>
        <v>0.82730981308607021</v>
      </c>
      <c r="O87" s="43">
        <f t="shared" si="22"/>
        <v>0.15822050546788799</v>
      </c>
      <c r="P87" s="30">
        <f t="shared" si="23"/>
        <v>2604.49565991282</v>
      </c>
      <c r="Q87" s="31">
        <f t="shared" si="25"/>
        <v>771290.96093067748</v>
      </c>
    </row>
    <row r="88" spans="1:17" x14ac:dyDescent="0.25">
      <c r="A88" s="6">
        <f t="shared" si="24"/>
        <v>45869</v>
      </c>
      <c r="B88" s="30">
        <f>IFERROR(VLOOKUP(A88, Data!$L$3:$N$123, 3),1)*Pension</f>
        <v>30075.744350968809</v>
      </c>
      <c r="C88" s="37">
        <f t="shared" si="13"/>
        <v>7.0855578370978778</v>
      </c>
      <c r="D88" s="37">
        <f>IFERROR(VLOOKUP(A88,Data!$I$3:$J$1442,2),0)</f>
        <v>8.6424592999999994E-2</v>
      </c>
      <c r="E88" s="37">
        <f t="shared" si="14"/>
        <v>8.6224592999999988E-2</v>
      </c>
      <c r="F88" s="37">
        <f t="shared" si="19"/>
        <v>0.54283528875944287</v>
      </c>
      <c r="G88" s="30">
        <f t="shared" si="20"/>
        <v>16326.175369413337</v>
      </c>
      <c r="H88" s="38">
        <f t="shared" si="15"/>
        <v>102</v>
      </c>
      <c r="I88" s="39">
        <f t="shared" si="16"/>
        <v>102.71047227926078</v>
      </c>
      <c r="J88" s="40">
        <f t="shared" si="17"/>
        <v>7</v>
      </c>
      <c r="K88" s="43">
        <f>VLOOKUP(J88,Data!$Z$3:$AA$122,2)</f>
        <v>0.19124698264811629</v>
      </c>
      <c r="L88" s="41">
        <f t="shared" si="18"/>
        <v>0.71047227926078449</v>
      </c>
      <c r="M88" s="43">
        <f>VLOOKUP(H88,Data!$P$3:$X$122,9)</f>
        <v>0.30303127099900501</v>
      </c>
      <c r="N88" s="43">
        <f t="shared" si="21"/>
        <v>0.80630328930530581</v>
      </c>
      <c r="O88" s="43">
        <f t="shared" si="22"/>
        <v>0.1542030711788909</v>
      </c>
      <c r="P88" s="30">
        <f t="shared" si="23"/>
        <v>2517.5463825687002</v>
      </c>
      <c r="Q88" s="31">
        <f t="shared" si="25"/>
        <v>773808.50731324614</v>
      </c>
    </row>
    <row r="89" spans="1:17" x14ac:dyDescent="0.25">
      <c r="A89" s="6">
        <f t="shared" si="24"/>
        <v>45900</v>
      </c>
      <c r="B89" s="30">
        <f>IFERROR(VLOOKUP(A89, Data!$L$3:$N$123, 3),1)*Pension</f>
        <v>30075.744350968809</v>
      </c>
      <c r="C89" s="37">
        <f t="shared" si="13"/>
        <v>7.1704312114989737</v>
      </c>
      <c r="D89" s="37">
        <f>IFERROR(VLOOKUP(A89,Data!$I$3:$J$1442,2),0)</f>
        <v>8.6552456E-2</v>
      </c>
      <c r="E89" s="37">
        <f t="shared" si="14"/>
        <v>8.6352455999999994E-2</v>
      </c>
      <c r="F89" s="37">
        <f t="shared" si="19"/>
        <v>0.53838339328638196</v>
      </c>
      <c r="G89" s="30">
        <f t="shared" si="20"/>
        <v>16192.281299288321</v>
      </c>
      <c r="H89" s="38">
        <f t="shared" si="15"/>
        <v>102</v>
      </c>
      <c r="I89" s="39">
        <f t="shared" si="16"/>
        <v>102.79534565366187</v>
      </c>
      <c r="J89" s="40">
        <f t="shared" si="17"/>
        <v>7</v>
      </c>
      <c r="K89" s="43">
        <f>VLOOKUP(J89,Data!$Z$3:$AA$122,2)</f>
        <v>0.19124698264811629</v>
      </c>
      <c r="L89" s="41">
        <f t="shared" si="18"/>
        <v>0.79534565366186882</v>
      </c>
      <c r="M89" s="43">
        <f>VLOOKUP(H89,Data!$P$3:$X$122,9)</f>
        <v>0.30303127099900501</v>
      </c>
      <c r="N89" s="43">
        <f t="shared" si="21"/>
        <v>0.78583014979531252</v>
      </c>
      <c r="O89" s="43">
        <f t="shared" si="22"/>
        <v>0.15028764502227077</v>
      </c>
      <c r="P89" s="30">
        <f t="shared" si="23"/>
        <v>2433.4998240081964</v>
      </c>
      <c r="Q89" s="31">
        <f t="shared" si="25"/>
        <v>776242.00713725435</v>
      </c>
    </row>
    <row r="90" spans="1:17" x14ac:dyDescent="0.25">
      <c r="A90" s="6">
        <f t="shared" si="24"/>
        <v>45930</v>
      </c>
      <c r="B90" s="30">
        <f>IFERROR(VLOOKUP(A90, Data!$L$3:$N$123, 3),1)*Pension</f>
        <v>30075.744350968809</v>
      </c>
      <c r="C90" s="37">
        <f t="shared" si="13"/>
        <v>7.2525667351129366</v>
      </c>
      <c r="D90" s="37">
        <f>IFERROR(VLOOKUP(A90,Data!$I$3:$J$1442,2),0)</f>
        <v>8.6674076000000003E-2</v>
      </c>
      <c r="E90" s="37">
        <f t="shared" si="14"/>
        <v>8.6474075999999997E-2</v>
      </c>
      <c r="F90" s="37">
        <f t="shared" si="19"/>
        <v>0.53410704193550584</v>
      </c>
      <c r="G90" s="30">
        <f t="shared" si="20"/>
        <v>16063.666849304451</v>
      </c>
      <c r="H90" s="38">
        <f t="shared" si="15"/>
        <v>102</v>
      </c>
      <c r="I90" s="39">
        <f t="shared" si="16"/>
        <v>102.87748117727584</v>
      </c>
      <c r="J90" s="40">
        <f t="shared" si="17"/>
        <v>7</v>
      </c>
      <c r="K90" s="43">
        <f>VLOOKUP(J90,Data!$Z$3:$AA$122,2)</f>
        <v>0.19124698264811629</v>
      </c>
      <c r="L90" s="41">
        <f t="shared" si="18"/>
        <v>0.87748117727583974</v>
      </c>
      <c r="M90" s="43">
        <f>VLOOKUP(H90,Data!$P$3:$X$122,9)</f>
        <v>0.30303127099900501</v>
      </c>
      <c r="N90" s="43">
        <f t="shared" si="21"/>
        <v>0.76651252796438418</v>
      </c>
      <c r="O90" s="43">
        <f t="shared" si="22"/>
        <v>0.14659320813516832</v>
      </c>
      <c r="P90" s="30">
        <f t="shared" si="23"/>
        <v>2354.8244578540907</v>
      </c>
      <c r="Q90" s="31">
        <f t="shared" si="25"/>
        <v>778596.83159510838</v>
      </c>
    </row>
    <row r="91" spans="1:17" x14ac:dyDescent="0.25">
      <c r="A91" s="6">
        <f t="shared" si="24"/>
        <v>45961</v>
      </c>
      <c r="B91" s="30">
        <f>IFERROR(VLOOKUP(A91, Data!$L$3:$N$123, 3),1)*Pension</f>
        <v>30075.744350968809</v>
      </c>
      <c r="C91" s="37">
        <f t="shared" si="13"/>
        <v>7.3374401095140316</v>
      </c>
      <c r="D91" s="37">
        <f>IFERROR(VLOOKUP(A91,Data!$I$3:$J$1442,2),0)</f>
        <v>8.6818533000000003E-2</v>
      </c>
      <c r="E91" s="37">
        <f t="shared" si="14"/>
        <v>8.6618532999999998E-2</v>
      </c>
      <c r="F91" s="37">
        <f t="shared" si="19"/>
        <v>0.52963970883002198</v>
      </c>
      <c r="G91" s="30">
        <f t="shared" si="20"/>
        <v>15929.308480893298</v>
      </c>
      <c r="H91" s="38">
        <f t="shared" si="15"/>
        <v>102</v>
      </c>
      <c r="I91" s="39">
        <f t="shared" si="16"/>
        <v>102.96235455167694</v>
      </c>
      <c r="J91" s="40">
        <f t="shared" si="17"/>
        <v>7</v>
      </c>
      <c r="K91" s="43">
        <f>VLOOKUP(J91,Data!$Z$3:$AA$122,2)</f>
        <v>0.19124698264811629</v>
      </c>
      <c r="L91" s="41">
        <f t="shared" si="18"/>
        <v>0.96235455167693829</v>
      </c>
      <c r="M91" s="43">
        <f>VLOOKUP(H91,Data!$P$3:$X$122,9)</f>
        <v>0.30303127099900501</v>
      </c>
      <c r="N91" s="43">
        <f t="shared" si="21"/>
        <v>0.74704973011979681</v>
      </c>
      <c r="O91" s="43">
        <f t="shared" si="22"/>
        <v>0.14287100677350073</v>
      </c>
      <c r="P91" s="30">
        <f t="shared" si="23"/>
        <v>2275.8363398708889</v>
      </c>
      <c r="Q91" s="31">
        <f t="shared" si="25"/>
        <v>780872.66793497931</v>
      </c>
    </row>
    <row r="92" spans="1:17" x14ac:dyDescent="0.25">
      <c r="A92" s="6">
        <f t="shared" si="24"/>
        <v>45991</v>
      </c>
      <c r="B92" s="30">
        <f>IFERROR(VLOOKUP(A92, Data!$L$3:$N$123, 3),1)*Pension</f>
        <v>30075.744350968809</v>
      </c>
      <c r="C92" s="37">
        <f t="shared" si="13"/>
        <v>7.4195756331279945</v>
      </c>
      <c r="D92" s="37">
        <f>IFERROR(VLOOKUP(A92,Data!$I$3:$J$1442,2),0)</f>
        <v>8.6955185000000004E-2</v>
      </c>
      <c r="E92" s="37">
        <f t="shared" si="14"/>
        <v>8.6755184999999999E-2</v>
      </c>
      <c r="F92" s="37">
        <f t="shared" si="19"/>
        <v>0.52535205684060404</v>
      </c>
      <c r="G92" s="30">
        <f t="shared" si="20"/>
        <v>15800.354155793642</v>
      </c>
      <c r="H92" s="38">
        <f t="shared" si="15"/>
        <v>103</v>
      </c>
      <c r="I92" s="39">
        <f t="shared" si="16"/>
        <v>103.04449007529089</v>
      </c>
      <c r="J92" s="40">
        <f t="shared" si="17"/>
        <v>8</v>
      </c>
      <c r="K92" s="43">
        <f>VLOOKUP(J92,Data!$Z$3:$AA$122,2)</f>
        <v>0.14125043145631513</v>
      </c>
      <c r="L92" s="41">
        <f t="shared" si="18"/>
        <v>4.4490075290894993E-2</v>
      </c>
      <c r="M92" s="43">
        <f>VLOOKUP(H92,Data!$P$3:$X$122,9)</f>
        <v>0.32141674150141819</v>
      </c>
      <c r="N92" s="43">
        <f t="shared" si="21"/>
        <v>0.98580190228206255</v>
      </c>
      <c r="O92" s="43">
        <f t="shared" si="22"/>
        <v>0.13924494402779755</v>
      </c>
      <c r="P92" s="30">
        <f t="shared" si="23"/>
        <v>2200.1194300428642</v>
      </c>
      <c r="Q92" s="31">
        <f t="shared" si="25"/>
        <v>783072.78736502223</v>
      </c>
    </row>
    <row r="93" spans="1:17" x14ac:dyDescent="0.25">
      <c r="A93" s="6">
        <f t="shared" si="24"/>
        <v>46022</v>
      </c>
      <c r="B93" s="30">
        <f>IFERROR(VLOOKUP(A93, Data!$L$3:$N$123, 3),1)*Pension</f>
        <v>31579.531568517246</v>
      </c>
      <c r="C93" s="37">
        <f t="shared" si="13"/>
        <v>7.5044490075290895</v>
      </c>
      <c r="D93" s="37">
        <f>IFERROR(VLOOKUP(A93,Data!$I$3:$J$1442,2),0)</f>
        <v>8.7092315000000003E-2</v>
      </c>
      <c r="E93" s="37">
        <f t="shared" si="14"/>
        <v>8.6892314999999998E-2</v>
      </c>
      <c r="F93" s="37">
        <f t="shared" si="19"/>
        <v>0.52096159859132307</v>
      </c>
      <c r="G93" s="30">
        <f t="shared" si="20"/>
        <v>16451.723248699898</v>
      </c>
      <c r="H93" s="38">
        <f t="shared" si="15"/>
        <v>103</v>
      </c>
      <c r="I93" s="39">
        <f t="shared" si="16"/>
        <v>103.12936344969199</v>
      </c>
      <c r="J93" s="40">
        <f t="shared" si="17"/>
        <v>8</v>
      </c>
      <c r="K93" s="43">
        <f>VLOOKUP(J93,Data!$Z$3:$AA$122,2)</f>
        <v>0.14125043145631513</v>
      </c>
      <c r="L93" s="41">
        <f t="shared" si="18"/>
        <v>0.12936344969199354</v>
      </c>
      <c r="M93" s="43">
        <f>VLOOKUP(H93,Data!$P$3:$X$122,9)</f>
        <v>0.32141674150141819</v>
      </c>
      <c r="N93" s="43">
        <f t="shared" si="21"/>
        <v>0.95927299482733297</v>
      </c>
      <c r="O93" s="43">
        <f t="shared" si="22"/>
        <v>0.13549772440375235</v>
      </c>
      <c r="P93" s="30">
        <f t="shared" si="23"/>
        <v>2229.1710627191442</v>
      </c>
      <c r="Q93" s="31">
        <f t="shared" si="25"/>
        <v>785301.95842774143</v>
      </c>
    </row>
    <row r="94" spans="1:17" x14ac:dyDescent="0.25">
      <c r="A94" s="6">
        <f t="shared" si="24"/>
        <v>46053</v>
      </c>
      <c r="B94" s="30">
        <f>IFERROR(VLOOKUP(A94, Data!$L$3:$N$123, 3),1)*Pension</f>
        <v>31579.531568517246</v>
      </c>
      <c r="C94" s="37">
        <f t="shared" si="13"/>
        <v>7.5893223819301845</v>
      </c>
      <c r="D94" s="37">
        <f>IFERROR(VLOOKUP(A94,Data!$I$3:$J$1442,2),0)</f>
        <v>8.7212964000000004E-2</v>
      </c>
      <c r="E94" s="37">
        <f t="shared" si="14"/>
        <v>8.7012963999999998E-2</v>
      </c>
      <c r="F94" s="37">
        <f t="shared" si="19"/>
        <v>0.51666042668007739</v>
      </c>
      <c r="G94" s="30">
        <f t="shared" si="20"/>
        <v>16315.894254547095</v>
      </c>
      <c r="H94" s="38">
        <f t="shared" si="15"/>
        <v>103</v>
      </c>
      <c r="I94" s="39">
        <f t="shared" si="16"/>
        <v>103.21423682409309</v>
      </c>
      <c r="J94" s="40">
        <f t="shared" si="17"/>
        <v>8</v>
      </c>
      <c r="K94" s="43">
        <f>VLOOKUP(J94,Data!$Z$3:$AA$122,2)</f>
        <v>0.14125043145631513</v>
      </c>
      <c r="L94" s="41">
        <f t="shared" si="18"/>
        <v>0.21423682409309208</v>
      </c>
      <c r="M94" s="43">
        <f>VLOOKUP(H94,Data!$P$3:$X$122,9)</f>
        <v>0.32141674150141819</v>
      </c>
      <c r="N94" s="43">
        <f t="shared" si="21"/>
        <v>0.93345800659827372</v>
      </c>
      <c r="O94" s="43">
        <f t="shared" si="22"/>
        <v>0.13185134617835803</v>
      </c>
      <c r="P94" s="30">
        <f t="shared" si="23"/>
        <v>2151.2726215657717</v>
      </c>
      <c r="Q94" s="31">
        <f t="shared" si="25"/>
        <v>787453.23104930716</v>
      </c>
    </row>
    <row r="95" spans="1:17" x14ac:dyDescent="0.25">
      <c r="A95" s="6">
        <f t="shared" si="24"/>
        <v>46081</v>
      </c>
      <c r="B95" s="30">
        <f>IFERROR(VLOOKUP(A95, Data!$L$3:$N$123, 3),1)*Pension</f>
        <v>31579.531568517246</v>
      </c>
      <c r="C95" s="37">
        <f t="shared" si="13"/>
        <v>7.6659822039698833</v>
      </c>
      <c r="D95" s="37">
        <f>IFERROR(VLOOKUP(A95,Data!$I$3:$J$1442,2),0)</f>
        <v>8.7319643000000002E-2</v>
      </c>
      <c r="E95" s="37">
        <f t="shared" si="14"/>
        <v>8.7119642999999997E-2</v>
      </c>
      <c r="F95" s="37">
        <f t="shared" si="19"/>
        <v>0.51280602057475078</v>
      </c>
      <c r="G95" s="30">
        <f t="shared" si="20"/>
        <v>16194.173915266047</v>
      </c>
      <c r="H95" s="38">
        <f t="shared" si="15"/>
        <v>103</v>
      </c>
      <c r="I95" s="39">
        <f t="shared" si="16"/>
        <v>103.29089664613278</v>
      </c>
      <c r="J95" s="40">
        <f t="shared" si="17"/>
        <v>8</v>
      </c>
      <c r="K95" s="43">
        <f>VLOOKUP(J95,Data!$Z$3:$AA$122,2)</f>
        <v>0.14125043145631513</v>
      </c>
      <c r="L95" s="41">
        <f t="shared" si="18"/>
        <v>0.29089664613277932</v>
      </c>
      <c r="M95" s="43">
        <f>VLOOKUP(H95,Data!$P$3:$X$122,9)</f>
        <v>0.32141674150141819</v>
      </c>
      <c r="N95" s="43">
        <f t="shared" si="21"/>
        <v>0.91073888070270792</v>
      </c>
      <c r="O95" s="43">
        <f t="shared" si="22"/>
        <v>0.12864225984329902</v>
      </c>
      <c r="P95" s="30">
        <f t="shared" si="23"/>
        <v>2083.2551287552296</v>
      </c>
      <c r="Q95" s="31">
        <f t="shared" si="25"/>
        <v>789536.48617806239</v>
      </c>
    </row>
    <row r="96" spans="1:17" x14ac:dyDescent="0.25">
      <c r="A96" s="6">
        <f t="shared" si="24"/>
        <v>46112</v>
      </c>
      <c r="B96" s="30">
        <f>IFERROR(VLOOKUP(A96, Data!$L$3:$N$123, 3),1)*Pension</f>
        <v>31579.531568517246</v>
      </c>
      <c r="C96" s="37">
        <f t="shared" si="13"/>
        <v>7.7508555783709792</v>
      </c>
      <c r="D96" s="37">
        <f>IFERROR(VLOOKUP(A96,Data!$I$3:$J$1442,2),0)</f>
        <v>8.7436497000000002E-2</v>
      </c>
      <c r="E96" s="37">
        <f t="shared" si="14"/>
        <v>8.7236496999999996E-2</v>
      </c>
      <c r="F96" s="37">
        <f t="shared" si="19"/>
        <v>0.50856741839034147</v>
      </c>
      <c r="G96" s="30">
        <f t="shared" si="20"/>
        <v>16060.320843777106</v>
      </c>
      <c r="H96" s="38">
        <f t="shared" si="15"/>
        <v>103</v>
      </c>
      <c r="I96" s="39">
        <f t="shared" si="16"/>
        <v>103.37577002053388</v>
      </c>
      <c r="J96" s="40">
        <f t="shared" si="17"/>
        <v>8</v>
      </c>
      <c r="K96" s="43">
        <f>VLOOKUP(J96,Data!$Z$3:$AA$122,2)</f>
        <v>0.14125043145631513</v>
      </c>
      <c r="L96" s="41">
        <f t="shared" si="18"/>
        <v>0.37577002053387787</v>
      </c>
      <c r="M96" s="43">
        <f>VLOOKUP(H96,Data!$P$3:$X$122,9)</f>
        <v>0.32141674150141819</v>
      </c>
      <c r="N96" s="43">
        <f t="shared" si="21"/>
        <v>0.88622999364775767</v>
      </c>
      <c r="O96" s="43">
        <f t="shared" si="22"/>
        <v>0.12518036897227319</v>
      </c>
      <c r="P96" s="30">
        <f t="shared" si="23"/>
        <v>2010.4368890371081</v>
      </c>
      <c r="Q96" s="31">
        <f t="shared" si="25"/>
        <v>791546.92306709953</v>
      </c>
    </row>
    <row r="97" spans="1:17" x14ac:dyDescent="0.25">
      <c r="A97" s="6">
        <f t="shared" si="24"/>
        <v>46142</v>
      </c>
      <c r="B97" s="30">
        <f>IFERROR(VLOOKUP(A97, Data!$L$3:$N$123, 3),1)*Pension</f>
        <v>31579.531568517246</v>
      </c>
      <c r="C97" s="37">
        <f t="shared" si="13"/>
        <v>7.8329911019849421</v>
      </c>
      <c r="D97" s="37">
        <f>IFERROR(VLOOKUP(A97,Data!$I$3:$J$1442,2),0)</f>
        <v>8.7563933999999996E-2</v>
      </c>
      <c r="E97" s="37">
        <f t="shared" si="14"/>
        <v>8.736393399999999E-2</v>
      </c>
      <c r="F97" s="37">
        <f t="shared" si="19"/>
        <v>0.50443266460694369</v>
      </c>
      <c r="G97" s="30">
        <f t="shared" si="20"/>
        <v>15929.747256146251</v>
      </c>
      <c r="H97" s="38">
        <f t="shared" si="15"/>
        <v>103</v>
      </c>
      <c r="I97" s="39">
        <f t="shared" si="16"/>
        <v>103.45790554414785</v>
      </c>
      <c r="J97" s="40">
        <f t="shared" si="17"/>
        <v>8</v>
      </c>
      <c r="K97" s="43">
        <f>VLOOKUP(J97,Data!$Z$3:$AA$122,2)</f>
        <v>0.14125043145631513</v>
      </c>
      <c r="L97" s="41">
        <f t="shared" si="18"/>
        <v>0.45790554414784879</v>
      </c>
      <c r="M97" s="43">
        <f>VLOOKUP(H97,Data!$P$3:$X$122,9)</f>
        <v>0.32141674150141819</v>
      </c>
      <c r="N97" s="43">
        <f t="shared" si="21"/>
        <v>0.86313988636164862</v>
      </c>
      <c r="O97" s="43">
        <f t="shared" si="22"/>
        <v>0.12191888135573768</v>
      </c>
      <c r="P97" s="30">
        <f t="shared" si="23"/>
        <v>1942.1369657489827</v>
      </c>
      <c r="Q97" s="31">
        <f t="shared" si="25"/>
        <v>793489.0600328485</v>
      </c>
    </row>
    <row r="98" spans="1:17" x14ac:dyDescent="0.25">
      <c r="A98" s="6">
        <f t="shared" si="24"/>
        <v>46173</v>
      </c>
      <c r="B98" s="30">
        <f>IFERROR(VLOOKUP(A98, Data!$L$3:$N$123, 3),1)*Pension</f>
        <v>31579.531568517246</v>
      </c>
      <c r="C98" s="37">
        <f t="shared" si="13"/>
        <v>7.9178644763860371</v>
      </c>
      <c r="D98" s="37">
        <f>IFERROR(VLOOKUP(A98,Data!$I$3:$J$1442,2),0)</f>
        <v>8.7692840999999994E-2</v>
      </c>
      <c r="E98" s="37">
        <f t="shared" si="14"/>
        <v>8.7492840999999988E-2</v>
      </c>
      <c r="F98" s="37">
        <f t="shared" si="19"/>
        <v>0.500195399605038</v>
      </c>
      <c r="G98" s="30">
        <f t="shared" si="20"/>
        <v>15795.936412254398</v>
      </c>
      <c r="H98" s="38">
        <f t="shared" si="15"/>
        <v>103</v>
      </c>
      <c r="I98" s="39">
        <f t="shared" si="16"/>
        <v>103.54277891854893</v>
      </c>
      <c r="J98" s="40">
        <f t="shared" si="17"/>
        <v>8</v>
      </c>
      <c r="K98" s="43">
        <f>VLOOKUP(J98,Data!$Z$3:$AA$122,2)</f>
        <v>0.14125043145631513</v>
      </c>
      <c r="L98" s="41">
        <f t="shared" si="18"/>
        <v>0.54277891854893312</v>
      </c>
      <c r="M98" s="43">
        <f>VLOOKUP(H98,Data!$P$3:$X$122,9)</f>
        <v>0.32141674150141819</v>
      </c>
      <c r="N98" s="43">
        <f t="shared" si="21"/>
        <v>0.83991193547946563</v>
      </c>
      <c r="O98" s="43">
        <f t="shared" si="22"/>
        <v>0.11863792327178324</v>
      </c>
      <c r="P98" s="30">
        <f t="shared" si="23"/>
        <v>1873.9970920830042</v>
      </c>
      <c r="Q98" s="31">
        <f t="shared" si="25"/>
        <v>795363.05712493148</v>
      </c>
    </row>
    <row r="99" spans="1:17" x14ac:dyDescent="0.25">
      <c r="A99" s="6">
        <f t="shared" si="24"/>
        <v>46203</v>
      </c>
      <c r="B99" s="30">
        <f>IFERROR(VLOOKUP(A99, Data!$L$3:$N$123, 3),1)*Pension</f>
        <v>31579.531568517246</v>
      </c>
      <c r="C99" s="37">
        <f t="shared" si="13"/>
        <v>8</v>
      </c>
      <c r="D99" s="37">
        <f>IFERROR(VLOOKUP(A99,Data!$I$3:$J$1442,2),0)</f>
        <v>8.7814551000000005E-2</v>
      </c>
      <c r="E99" s="37">
        <f t="shared" si="14"/>
        <v>8.7614550999999999E-2</v>
      </c>
      <c r="F99" s="37">
        <f t="shared" si="19"/>
        <v>0.49613043749972013</v>
      </c>
      <c r="G99" s="30">
        <f t="shared" si="20"/>
        <v>15667.566813124684</v>
      </c>
      <c r="H99" s="38">
        <f t="shared" si="15"/>
        <v>103</v>
      </c>
      <c r="I99" s="39">
        <f t="shared" si="16"/>
        <v>103.6249144421629</v>
      </c>
      <c r="J99" s="40">
        <f t="shared" si="17"/>
        <v>8</v>
      </c>
      <c r="K99" s="43">
        <f>VLOOKUP(J99,Data!$Z$3:$AA$122,2)</f>
        <v>0.14125043145631513</v>
      </c>
      <c r="L99" s="41">
        <f t="shared" si="18"/>
        <v>0.62491444216290404</v>
      </c>
      <c r="M99" s="43">
        <f>VLOOKUP(H99,Data!$P$3:$X$122,9)</f>
        <v>0.32141674150141819</v>
      </c>
      <c r="N99" s="43">
        <f t="shared" si="21"/>
        <v>0.8180286130461103</v>
      </c>
      <c r="O99" s="43">
        <f t="shared" si="22"/>
        <v>0.11554689453637414</v>
      </c>
      <c r="P99" s="30">
        <f t="shared" si="23"/>
        <v>1810.3386901977133</v>
      </c>
      <c r="Q99" s="31">
        <f t="shared" si="25"/>
        <v>797173.39581512916</v>
      </c>
    </row>
    <row r="100" spans="1:17" x14ac:dyDescent="0.25">
      <c r="A100" s="6">
        <f t="shared" si="24"/>
        <v>46234</v>
      </c>
      <c r="B100" s="30">
        <f>IFERROR(VLOOKUP(A100, Data!$L$3:$N$123, 3),1)*Pension</f>
        <v>31579.531568517246</v>
      </c>
      <c r="C100" s="37">
        <f t="shared" si="13"/>
        <v>8.084873374401095</v>
      </c>
      <c r="D100" s="37">
        <f>IFERROR(VLOOKUP(A100,Data!$I$3:$J$1442,2),0)</f>
        <v>8.7924779999999994E-2</v>
      </c>
      <c r="E100" s="37">
        <f t="shared" si="14"/>
        <v>8.7724779999999988E-2</v>
      </c>
      <c r="F100" s="37">
        <f t="shared" si="19"/>
        <v>0.49201614986622993</v>
      </c>
      <c r="G100" s="30">
        <f t="shared" si="20"/>
        <v>15537.63953692092</v>
      </c>
      <c r="H100" s="38">
        <f t="shared" si="15"/>
        <v>103</v>
      </c>
      <c r="I100" s="39">
        <f t="shared" si="16"/>
        <v>103.709787816564</v>
      </c>
      <c r="J100" s="40">
        <f t="shared" si="17"/>
        <v>8</v>
      </c>
      <c r="K100" s="43">
        <f>VLOOKUP(J100,Data!$Z$3:$AA$122,2)</f>
        <v>0.14125043145631513</v>
      </c>
      <c r="L100" s="41">
        <f t="shared" si="18"/>
        <v>0.70978781656400258</v>
      </c>
      <c r="M100" s="43">
        <f>VLOOKUP(H100,Data!$P$3:$X$122,9)</f>
        <v>0.32141674150141819</v>
      </c>
      <c r="N100" s="43">
        <f t="shared" si="21"/>
        <v>0.79601465129519067</v>
      </c>
      <c r="O100" s="43">
        <f t="shared" si="22"/>
        <v>0.11243741294099392</v>
      </c>
      <c r="P100" s="30">
        <f t="shared" si="23"/>
        <v>1747.011992741091</v>
      </c>
      <c r="Q100" s="31">
        <f t="shared" si="25"/>
        <v>798920.4078078703</v>
      </c>
    </row>
    <row r="101" spans="1:17" x14ac:dyDescent="0.25">
      <c r="A101" s="6">
        <f t="shared" si="24"/>
        <v>46265</v>
      </c>
      <c r="B101" s="30">
        <f>IFERROR(VLOOKUP(A101, Data!$L$3:$N$123, 3),1)*Pension</f>
        <v>31579.531568517246</v>
      </c>
      <c r="C101" s="37">
        <f t="shared" si="13"/>
        <v>8.16974674880219</v>
      </c>
      <c r="D101" s="37">
        <f>IFERROR(VLOOKUP(A101,Data!$I$3:$J$1442,2),0)</f>
        <v>8.8032719999999995E-2</v>
      </c>
      <c r="E101" s="37">
        <f t="shared" si="14"/>
        <v>8.7832719999999989E-2</v>
      </c>
      <c r="F101" s="37">
        <f t="shared" si="19"/>
        <v>0.48793597590187165</v>
      </c>
      <c r="G101" s="30">
        <f t="shared" si="20"/>
        <v>15408.789554408426</v>
      </c>
      <c r="H101" s="38">
        <f t="shared" si="15"/>
        <v>103</v>
      </c>
      <c r="I101" s="39">
        <f t="shared" si="16"/>
        <v>103.79466119096509</v>
      </c>
      <c r="J101" s="40">
        <f t="shared" si="17"/>
        <v>8</v>
      </c>
      <c r="K101" s="43">
        <f>VLOOKUP(J101,Data!$Z$3:$AA$122,2)</f>
        <v>0.14125043145631513</v>
      </c>
      <c r="L101" s="41">
        <f t="shared" si="18"/>
        <v>0.79466119096508692</v>
      </c>
      <c r="M101" s="43">
        <f>VLOOKUP(H101,Data!$P$3:$X$122,9)</f>
        <v>0.32141674150141819</v>
      </c>
      <c r="N101" s="43">
        <f t="shared" si="21"/>
        <v>0.77459310710063178</v>
      </c>
      <c r="O101" s="43">
        <f t="shared" si="22"/>
        <v>0.10941161058105196</v>
      </c>
      <c r="P101" s="30">
        <f t="shared" si="23"/>
        <v>1685.9004822523159</v>
      </c>
      <c r="Q101" s="31">
        <f t="shared" si="25"/>
        <v>800606.30829012266</v>
      </c>
    </row>
    <row r="102" spans="1:17" x14ac:dyDescent="0.25">
      <c r="A102" s="6">
        <f t="shared" si="24"/>
        <v>46295</v>
      </c>
      <c r="B102" s="30">
        <f>IFERROR(VLOOKUP(A102, Data!$L$3:$N$123, 3),1)*Pension</f>
        <v>31579.531568517246</v>
      </c>
      <c r="C102" s="37">
        <f t="shared" si="13"/>
        <v>8.2518822724161538</v>
      </c>
      <c r="D102" s="37">
        <f>IFERROR(VLOOKUP(A102,Data!$I$3:$J$1442,2),0)</f>
        <v>8.8135593999999998E-2</v>
      </c>
      <c r="E102" s="37">
        <f t="shared" si="14"/>
        <v>8.7935593999999992E-2</v>
      </c>
      <c r="F102" s="37">
        <f t="shared" si="19"/>
        <v>0.48401752258008351</v>
      </c>
      <c r="G102" s="30">
        <f t="shared" si="20"/>
        <v>15285.046634033257</v>
      </c>
      <c r="H102" s="38">
        <f t="shared" si="15"/>
        <v>103</v>
      </c>
      <c r="I102" s="39">
        <f t="shared" si="16"/>
        <v>103.87679671457906</v>
      </c>
      <c r="J102" s="40">
        <f t="shared" si="17"/>
        <v>8</v>
      </c>
      <c r="K102" s="43">
        <f>VLOOKUP(J102,Data!$Z$3:$AA$122,2)</f>
        <v>0.14125043145631513</v>
      </c>
      <c r="L102" s="41">
        <f t="shared" si="18"/>
        <v>0.87679671457905783</v>
      </c>
      <c r="M102" s="43">
        <f>VLOOKUP(H102,Data!$P$3:$X$122,9)</f>
        <v>0.32141674150141819</v>
      </c>
      <c r="N102" s="43">
        <f t="shared" si="21"/>
        <v>0.75441162139801299</v>
      </c>
      <c r="O102" s="43">
        <f t="shared" si="22"/>
        <v>0.1065609670181276</v>
      </c>
      <c r="P102" s="30">
        <f t="shared" si="23"/>
        <v>1628.7893502397603</v>
      </c>
      <c r="Q102" s="31">
        <f t="shared" si="25"/>
        <v>802235.09764036245</v>
      </c>
    </row>
    <row r="103" spans="1:17" x14ac:dyDescent="0.25">
      <c r="A103" s="6">
        <f t="shared" si="24"/>
        <v>46326</v>
      </c>
      <c r="B103" s="30">
        <f>IFERROR(VLOOKUP(A103, Data!$L$3:$N$123, 3),1)*Pension</f>
        <v>31579.531568517246</v>
      </c>
      <c r="C103" s="37">
        <f t="shared" si="13"/>
        <v>8.3367556468172488</v>
      </c>
      <c r="D103" s="37">
        <f>IFERROR(VLOOKUP(A103,Data!$I$3:$J$1442,2),0)</f>
        <v>8.8255455999999996E-2</v>
      </c>
      <c r="E103" s="37">
        <f t="shared" si="14"/>
        <v>8.805545599999999E-2</v>
      </c>
      <c r="F103" s="37">
        <f t="shared" si="19"/>
        <v>0.47993873432899398</v>
      </c>
      <c r="G103" s="30">
        <f t="shared" si="20"/>
        <v>15156.240411696677</v>
      </c>
      <c r="H103" s="38">
        <f t="shared" si="15"/>
        <v>103</v>
      </c>
      <c r="I103" s="39">
        <f t="shared" si="16"/>
        <v>103.96167008898016</v>
      </c>
      <c r="J103" s="40">
        <f t="shared" si="17"/>
        <v>8</v>
      </c>
      <c r="K103" s="43">
        <f>VLOOKUP(J103,Data!$Z$3:$AA$122,2)</f>
        <v>0.14125043145631513</v>
      </c>
      <c r="L103" s="41">
        <f t="shared" si="18"/>
        <v>0.96167008898015638</v>
      </c>
      <c r="M103" s="43">
        <f>VLOOKUP(H103,Data!$P$3:$X$122,9)</f>
        <v>0.32141674150141819</v>
      </c>
      <c r="N103" s="43">
        <f t="shared" si="21"/>
        <v>0.73410965602291067</v>
      </c>
      <c r="O103" s="43">
        <f t="shared" si="22"/>
        <v>0.10369330564948323</v>
      </c>
      <c r="P103" s="30">
        <f t="shared" si="23"/>
        <v>1571.600669507113</v>
      </c>
      <c r="Q103" s="31">
        <f t="shared" si="25"/>
        <v>803806.69830986962</v>
      </c>
    </row>
    <row r="104" spans="1:17" x14ac:dyDescent="0.25">
      <c r="A104" s="6">
        <f t="shared" si="24"/>
        <v>46356</v>
      </c>
      <c r="B104" s="30">
        <f>IFERROR(VLOOKUP(A104, Data!$L$3:$N$123, 3),1)*Pension</f>
        <v>31579.531568517246</v>
      </c>
      <c r="C104" s="37">
        <f t="shared" si="13"/>
        <v>8.4188911704312108</v>
      </c>
      <c r="D104" s="37">
        <f>IFERROR(VLOOKUP(A104,Data!$I$3:$J$1442,2),0)</f>
        <v>8.8369151000000007E-2</v>
      </c>
      <c r="E104" s="37">
        <f t="shared" si="14"/>
        <v>8.8169151000000001E-2</v>
      </c>
      <c r="F104" s="37">
        <f t="shared" si="19"/>
        <v>0.4760242470543245</v>
      </c>
      <c r="G104" s="30">
        <f t="shared" si="20"/>
        <v>15032.622737231693</v>
      </c>
      <c r="H104" s="38">
        <f t="shared" si="15"/>
        <v>104</v>
      </c>
      <c r="I104" s="39">
        <f t="shared" si="16"/>
        <v>104.04380561259411</v>
      </c>
      <c r="J104" s="40">
        <f t="shared" si="17"/>
        <v>9</v>
      </c>
      <c r="K104" s="43">
        <f>VLOOKUP(J104,Data!$Z$3:$AA$122,2)</f>
        <v>0.1024236541080347</v>
      </c>
      <c r="L104" s="41">
        <f t="shared" si="18"/>
        <v>4.3805612594113086E-2</v>
      </c>
      <c r="M104" s="43">
        <f>VLOOKUP(H104,Data!$P$3:$X$122,9)</f>
        <v>0.34029132004536172</v>
      </c>
      <c r="N104" s="43">
        <f t="shared" si="21"/>
        <v>0.98520388465195585</v>
      </c>
      <c r="O104" s="43">
        <f t="shared" si="22"/>
        <v>0.10090818190748403</v>
      </c>
      <c r="P104" s="30">
        <f t="shared" si="23"/>
        <v>1516.9146297151563</v>
      </c>
      <c r="Q104" s="31">
        <f t="shared" si="25"/>
        <v>805323.61293958477</v>
      </c>
    </row>
    <row r="105" spans="1:17" x14ac:dyDescent="0.25">
      <c r="A105" s="6">
        <f t="shared" si="24"/>
        <v>46387</v>
      </c>
      <c r="B105" s="30">
        <f>IFERROR(VLOOKUP(A105, Data!$L$3:$N$123, 3),1)*Pension</f>
        <v>33158.50814694311</v>
      </c>
      <c r="C105" s="37">
        <f t="shared" si="13"/>
        <v>8.5037645448323058</v>
      </c>
      <c r="D105" s="37">
        <f>IFERROR(VLOOKUP(A105,Data!$I$3:$J$1442,2),0)</f>
        <v>8.8483766000000005E-2</v>
      </c>
      <c r="E105" s="37">
        <f t="shared" si="14"/>
        <v>8.8283766E-2</v>
      </c>
      <c r="F105" s="37">
        <f t="shared" si="19"/>
        <v>0.47201507318378644</v>
      </c>
      <c r="G105" s="30">
        <f t="shared" si="20"/>
        <v>15651.31564964453</v>
      </c>
      <c r="H105" s="38">
        <f t="shared" si="15"/>
        <v>104</v>
      </c>
      <c r="I105" s="39">
        <f t="shared" si="16"/>
        <v>104.12867898699521</v>
      </c>
      <c r="J105" s="40">
        <f t="shared" si="17"/>
        <v>9</v>
      </c>
      <c r="K105" s="43">
        <f>VLOOKUP(J105,Data!$Z$3:$AA$122,2)</f>
        <v>0.1024236541080347</v>
      </c>
      <c r="L105" s="41">
        <f t="shared" si="18"/>
        <v>0.12867898699521163</v>
      </c>
      <c r="M105" s="43">
        <f>VLOOKUP(H105,Data!$P$3:$X$122,9)</f>
        <v>0.34029132004536172</v>
      </c>
      <c r="N105" s="43">
        <f t="shared" si="21"/>
        <v>0.95715652553878561</v>
      </c>
      <c r="O105" s="43">
        <f t="shared" si="22"/>
        <v>9.8035468899032849E-2</v>
      </c>
      <c r="P105" s="30">
        <f t="shared" si="23"/>
        <v>1534.3840685996724</v>
      </c>
      <c r="Q105" s="31">
        <f t="shared" si="25"/>
        <v>806857.99700818444</v>
      </c>
    </row>
    <row r="106" spans="1:17" x14ac:dyDescent="0.25">
      <c r="A106" s="6">
        <f t="shared" si="24"/>
        <v>46418</v>
      </c>
      <c r="B106" s="30">
        <f>IFERROR(VLOOKUP(A106, Data!$L$3:$N$123, 3),1)*Pension</f>
        <v>33158.50814694311</v>
      </c>
      <c r="C106" s="37">
        <f t="shared" si="13"/>
        <v>8.5886379192334026</v>
      </c>
      <c r="D106" s="37">
        <f>IFERROR(VLOOKUP(A106,Data!$I$3:$J$1442,2),0)</f>
        <v>8.8588014000000007E-2</v>
      </c>
      <c r="E106" s="37">
        <f t="shared" si="14"/>
        <v>8.8388014000000001E-2</v>
      </c>
      <c r="F106" s="37">
        <f t="shared" si="19"/>
        <v>0.46807223408175042</v>
      </c>
      <c r="G106" s="30">
        <f t="shared" si="20"/>
        <v>15520.576987157583</v>
      </c>
      <c r="H106" s="38">
        <f t="shared" si="15"/>
        <v>104</v>
      </c>
      <c r="I106" s="39">
        <f t="shared" si="16"/>
        <v>104.21355236139631</v>
      </c>
      <c r="J106" s="40">
        <f t="shared" si="17"/>
        <v>9</v>
      </c>
      <c r="K106" s="43">
        <f>VLOOKUP(J106,Data!$Z$3:$AA$122,2)</f>
        <v>0.1024236541080347</v>
      </c>
      <c r="L106" s="41">
        <f t="shared" si="18"/>
        <v>0.21355236139631018</v>
      </c>
      <c r="M106" s="43">
        <f>VLOOKUP(H106,Data!$P$3:$X$122,9)</f>
        <v>0.34029132004536172</v>
      </c>
      <c r="N106" s="43">
        <f t="shared" si="21"/>
        <v>0.92990763501214657</v>
      </c>
      <c r="O106" s="43">
        <f t="shared" si="22"/>
        <v>9.5244537960904679E-2</v>
      </c>
      <c r="P106" s="30">
        <f t="shared" si="23"/>
        <v>1478.250184028474</v>
      </c>
      <c r="Q106" s="31">
        <f t="shared" si="25"/>
        <v>808336.24719221296</v>
      </c>
    </row>
    <row r="107" spans="1:17" x14ac:dyDescent="0.25">
      <c r="A107" s="6">
        <f t="shared" si="24"/>
        <v>46446</v>
      </c>
      <c r="B107" s="30">
        <f>IFERROR(VLOOKUP(A107, Data!$L$3:$N$123, 3),1)*Pension</f>
        <v>33158.50814694311</v>
      </c>
      <c r="C107" s="37">
        <f t="shared" si="13"/>
        <v>8.6652977412731005</v>
      </c>
      <c r="D107" s="37">
        <f>IFERROR(VLOOKUP(A107,Data!$I$3:$J$1442,2),0)</f>
        <v>8.8680417999999997E-2</v>
      </c>
      <c r="E107" s="37">
        <f t="shared" si="14"/>
        <v>8.8480417999999991E-2</v>
      </c>
      <c r="F107" s="37">
        <f t="shared" si="19"/>
        <v>0.46453927721923022</v>
      </c>
      <c r="G107" s="30">
        <f t="shared" si="20"/>
        <v>15403.429408248909</v>
      </c>
      <c r="H107" s="38">
        <f t="shared" si="15"/>
        <v>104</v>
      </c>
      <c r="I107" s="39">
        <f t="shared" si="16"/>
        <v>104.290212183436</v>
      </c>
      <c r="J107" s="40">
        <f t="shared" si="17"/>
        <v>9</v>
      </c>
      <c r="K107" s="43">
        <f>VLOOKUP(J107,Data!$Z$3:$AA$122,2)</f>
        <v>0.1024236541080347</v>
      </c>
      <c r="L107" s="41">
        <f t="shared" si="18"/>
        <v>0.29021218343599742</v>
      </c>
      <c r="M107" s="43">
        <f>VLOOKUP(H107,Data!$P$3:$X$122,9)</f>
        <v>0.34029132004536172</v>
      </c>
      <c r="N107" s="43">
        <f t="shared" si="21"/>
        <v>0.905963113816593</v>
      </c>
      <c r="O107" s="43">
        <f t="shared" si="22"/>
        <v>9.2792052604188796E-2</v>
      </c>
      <c r="P107" s="30">
        <f t="shared" si="23"/>
        <v>1429.3158319351414</v>
      </c>
      <c r="Q107" s="31">
        <f t="shared" si="25"/>
        <v>809765.56302414811</v>
      </c>
    </row>
    <row r="108" spans="1:17" x14ac:dyDescent="0.25">
      <c r="A108" s="6">
        <f t="shared" si="24"/>
        <v>46477</v>
      </c>
      <c r="B108" s="30">
        <f>IFERROR(VLOOKUP(A108, Data!$L$3:$N$123, 3),1)*Pension</f>
        <v>33158.50814694311</v>
      </c>
      <c r="C108" s="37">
        <f t="shared" si="13"/>
        <v>8.7501711156741955</v>
      </c>
      <c r="D108" s="37">
        <f>IFERROR(VLOOKUP(A108,Data!$I$3:$J$1442,2),0)</f>
        <v>8.8782072000000004E-2</v>
      </c>
      <c r="E108" s="37">
        <f t="shared" si="14"/>
        <v>8.8582071999999998E-2</v>
      </c>
      <c r="F108" s="37">
        <f t="shared" si="19"/>
        <v>0.46065389510990096</v>
      </c>
      <c r="G108" s="30">
        <f t="shared" si="20"/>
        <v>15274.595933922728</v>
      </c>
      <c r="H108" s="38">
        <f t="shared" si="15"/>
        <v>104</v>
      </c>
      <c r="I108" s="39">
        <f t="shared" si="16"/>
        <v>104.3750855578371</v>
      </c>
      <c r="J108" s="40">
        <f t="shared" si="17"/>
        <v>9</v>
      </c>
      <c r="K108" s="43">
        <f>VLOOKUP(J108,Data!$Z$3:$AA$122,2)</f>
        <v>0.1024236541080347</v>
      </c>
      <c r="L108" s="41">
        <f t="shared" si="18"/>
        <v>0.37508555783709596</v>
      </c>
      <c r="M108" s="43">
        <f>VLOOKUP(H108,Data!$P$3:$X$122,9)</f>
        <v>0.34029132004536172</v>
      </c>
      <c r="N108" s="43">
        <f t="shared" si="21"/>
        <v>0.88017162720925324</v>
      </c>
      <c r="O108" s="43">
        <f t="shared" si="22"/>
        <v>9.0150394300986619E-2</v>
      </c>
      <c r="P108" s="30">
        <f t="shared" si="23"/>
        <v>1377.0108462313808</v>
      </c>
      <c r="Q108" s="31">
        <f t="shared" si="25"/>
        <v>811142.57387037948</v>
      </c>
    </row>
    <row r="109" spans="1:17" x14ac:dyDescent="0.25">
      <c r="A109" s="6">
        <f t="shared" si="24"/>
        <v>46507</v>
      </c>
      <c r="B109" s="30">
        <f>IFERROR(VLOOKUP(A109, Data!$L$3:$N$123, 3),1)*Pension</f>
        <v>33158.50814694311</v>
      </c>
      <c r="C109" s="37">
        <f t="shared" si="13"/>
        <v>8.8323066392881593</v>
      </c>
      <c r="D109" s="37">
        <f>IFERROR(VLOOKUP(A109,Data!$I$3:$J$1442,2),0)</f>
        <v>8.8895768999999999E-2</v>
      </c>
      <c r="E109" s="37">
        <f t="shared" si="14"/>
        <v>8.8695768999999994E-2</v>
      </c>
      <c r="F109" s="37">
        <f t="shared" si="19"/>
        <v>0.45685545487731927</v>
      </c>
      <c r="G109" s="30">
        <f t="shared" si="20"/>
        <v>15148.645322524992</v>
      </c>
      <c r="H109" s="38">
        <f t="shared" si="15"/>
        <v>104</v>
      </c>
      <c r="I109" s="39">
        <f t="shared" si="16"/>
        <v>104.45722108145107</v>
      </c>
      <c r="J109" s="40">
        <f t="shared" si="17"/>
        <v>9</v>
      </c>
      <c r="K109" s="43">
        <f>VLOOKUP(J109,Data!$Z$3:$AA$122,2)</f>
        <v>0.1024236541080347</v>
      </c>
      <c r="L109" s="41">
        <f t="shared" si="18"/>
        <v>0.45722108145106688</v>
      </c>
      <c r="M109" s="43">
        <f>VLOOKUP(H109,Data!$P$3:$X$122,9)</f>
        <v>0.34029132004536172</v>
      </c>
      <c r="N109" s="43">
        <f t="shared" si="21"/>
        <v>0.85591144066496705</v>
      </c>
      <c r="O109" s="43">
        <f t="shared" si="22"/>
        <v>8.7665577345778248E-2</v>
      </c>
      <c r="P109" s="30">
        <f t="shared" si="23"/>
        <v>1328.0147382055766</v>
      </c>
      <c r="Q109" s="31">
        <f t="shared" si="25"/>
        <v>812470.58860858507</v>
      </c>
    </row>
    <row r="110" spans="1:17" x14ac:dyDescent="0.25">
      <c r="A110" s="6">
        <f t="shared" si="24"/>
        <v>46538</v>
      </c>
      <c r="B110" s="30">
        <f>IFERROR(VLOOKUP(A110, Data!$L$3:$N$123, 3),1)*Pension</f>
        <v>33158.50814694311</v>
      </c>
      <c r="C110" s="37">
        <f t="shared" si="13"/>
        <v>8.9171800136892543</v>
      </c>
      <c r="D110" s="37">
        <f>IFERROR(VLOOKUP(A110,Data!$I$3:$J$1442,2),0)</f>
        <v>8.9011057000000005E-2</v>
      </c>
      <c r="E110" s="37">
        <f t="shared" si="14"/>
        <v>8.8811056999999999E-2</v>
      </c>
      <c r="F110" s="37">
        <f t="shared" si="19"/>
        <v>0.45296329536100066</v>
      </c>
      <c r="G110" s="30">
        <f t="shared" si="20"/>
        <v>15019.587119493939</v>
      </c>
      <c r="H110" s="38">
        <f t="shared" si="15"/>
        <v>104</v>
      </c>
      <c r="I110" s="39">
        <f t="shared" si="16"/>
        <v>104.54209445585215</v>
      </c>
      <c r="J110" s="40">
        <f t="shared" si="17"/>
        <v>9</v>
      </c>
      <c r="K110" s="43">
        <f>VLOOKUP(J110,Data!$Z$3:$AA$122,2)</f>
        <v>0.1024236541080347</v>
      </c>
      <c r="L110" s="41">
        <f t="shared" si="18"/>
        <v>0.54209445585215121</v>
      </c>
      <c r="M110" s="43">
        <f>VLOOKUP(H110,Data!$P$3:$X$122,9)</f>
        <v>0.34029132004536172</v>
      </c>
      <c r="N110" s="43">
        <f t="shared" si="21"/>
        <v>0.83154485429703162</v>
      </c>
      <c r="O110" s="43">
        <f t="shared" si="22"/>
        <v>8.5169862531835269E-2</v>
      </c>
      <c r="P110" s="30">
        <f t="shared" si="23"/>
        <v>1279.2161702522224</v>
      </c>
      <c r="Q110" s="31">
        <f t="shared" si="25"/>
        <v>813749.80477883725</v>
      </c>
    </row>
    <row r="111" spans="1:17" x14ac:dyDescent="0.25">
      <c r="A111" s="6">
        <f t="shared" si="24"/>
        <v>46568</v>
      </c>
      <c r="B111" s="30">
        <f>IFERROR(VLOOKUP(A111, Data!$L$3:$N$123, 3),1)*Pension</f>
        <v>33158.50814694311</v>
      </c>
      <c r="C111" s="37">
        <f t="shared" si="13"/>
        <v>8.9993155373032163</v>
      </c>
      <c r="D111" s="37">
        <f>IFERROR(VLOOKUP(A111,Data!$I$3:$J$1442,2),0)</f>
        <v>8.9120280999999996E-2</v>
      </c>
      <c r="E111" s="37">
        <f t="shared" si="14"/>
        <v>8.892028099999999E-2</v>
      </c>
      <c r="F111" s="37">
        <f t="shared" si="19"/>
        <v>0.44922937402851443</v>
      </c>
      <c r="G111" s="30">
        <f t="shared" si="20"/>
        <v>14895.775858570649</v>
      </c>
      <c r="H111" s="38">
        <f t="shared" si="15"/>
        <v>104</v>
      </c>
      <c r="I111" s="39">
        <f t="shared" si="16"/>
        <v>104.62422997946612</v>
      </c>
      <c r="J111" s="40">
        <f t="shared" si="17"/>
        <v>9</v>
      </c>
      <c r="K111" s="43">
        <f>VLOOKUP(J111,Data!$Z$3:$AA$122,2)</f>
        <v>0.1024236541080347</v>
      </c>
      <c r="L111" s="41">
        <f t="shared" si="18"/>
        <v>0.62422997946612213</v>
      </c>
      <c r="M111" s="43">
        <f>VLOOKUP(H111,Data!$P$3:$X$122,9)</f>
        <v>0.34029132004536172</v>
      </c>
      <c r="N111" s="43">
        <f t="shared" si="21"/>
        <v>0.80862496837756515</v>
      </c>
      <c r="O111" s="43">
        <f t="shared" si="22"/>
        <v>8.2822324064224226E-2</v>
      </c>
      <c r="P111" s="30">
        <f t="shared" si="23"/>
        <v>1233.7027753465861</v>
      </c>
      <c r="Q111" s="31">
        <f t="shared" si="25"/>
        <v>814983.50755418383</v>
      </c>
    </row>
    <row r="112" spans="1:17" x14ac:dyDescent="0.25">
      <c r="A112" s="6">
        <f t="shared" si="24"/>
        <v>46599</v>
      </c>
      <c r="B112" s="30">
        <f>IFERROR(VLOOKUP(A112, Data!$L$3:$N$123, 3),1)*Pension</f>
        <v>33158.50814694311</v>
      </c>
      <c r="C112" s="37">
        <f t="shared" si="13"/>
        <v>9.0841889117043113</v>
      </c>
      <c r="D112" s="37">
        <f>IFERROR(VLOOKUP(A112,Data!$I$3:$J$1442,2),0)</f>
        <v>8.9222922999999996E-2</v>
      </c>
      <c r="E112" s="37">
        <f t="shared" si="14"/>
        <v>8.902292299999999E-2</v>
      </c>
      <c r="F112" s="37">
        <f t="shared" si="19"/>
        <v>0.44543629006686269</v>
      </c>
      <c r="G112" s="30">
        <f t="shared" si="20"/>
        <v>14770.002853126181</v>
      </c>
      <c r="H112" s="38">
        <f t="shared" si="15"/>
        <v>104</v>
      </c>
      <c r="I112" s="39">
        <f t="shared" si="16"/>
        <v>104.70910335386722</v>
      </c>
      <c r="J112" s="40">
        <f t="shared" si="17"/>
        <v>9</v>
      </c>
      <c r="K112" s="43">
        <f>VLOOKUP(J112,Data!$Z$3:$AA$122,2)</f>
        <v>0.1024236541080347</v>
      </c>
      <c r="L112" s="41">
        <f t="shared" si="18"/>
        <v>0.70910335386722068</v>
      </c>
      <c r="M112" s="43">
        <f>VLOOKUP(H112,Data!$P$3:$X$122,9)</f>
        <v>0.34029132004536172</v>
      </c>
      <c r="N112" s="43">
        <f t="shared" si="21"/>
        <v>0.78560456089716457</v>
      </c>
      <c r="O112" s="43">
        <f t="shared" si="22"/>
        <v>8.0464489811025663E-2</v>
      </c>
      <c r="P112" s="30">
        <f t="shared" si="23"/>
        <v>1188.4607440841917</v>
      </c>
      <c r="Q112" s="31">
        <f t="shared" si="25"/>
        <v>816171.96829826804</v>
      </c>
    </row>
    <row r="113" spans="1:17" x14ac:dyDescent="0.25">
      <c r="A113" s="6">
        <f t="shared" si="24"/>
        <v>46630</v>
      </c>
      <c r="B113" s="30">
        <f>IFERROR(VLOOKUP(A113, Data!$L$3:$N$123, 3),1)*Pension</f>
        <v>33158.50814694311</v>
      </c>
      <c r="C113" s="37">
        <f t="shared" si="13"/>
        <v>9.1690622861054081</v>
      </c>
      <c r="D113" s="37">
        <f>IFERROR(VLOOKUP(A113,Data!$I$3:$J$1442,2),0)</f>
        <v>8.9323665999999996E-2</v>
      </c>
      <c r="E113" s="37">
        <f t="shared" si="14"/>
        <v>8.912366599999999E-2</v>
      </c>
      <c r="F113" s="37">
        <f t="shared" si="19"/>
        <v>0.4416752282415064</v>
      </c>
      <c r="G113" s="30">
        <f t="shared" si="20"/>
        <v>14645.291653948947</v>
      </c>
      <c r="H113" s="38">
        <f t="shared" si="15"/>
        <v>104</v>
      </c>
      <c r="I113" s="39">
        <f t="shared" si="16"/>
        <v>104.79397672826831</v>
      </c>
      <c r="J113" s="40">
        <f t="shared" si="17"/>
        <v>9</v>
      </c>
      <c r="K113" s="43">
        <f>VLOOKUP(J113,Data!$Z$3:$AA$122,2)</f>
        <v>0.1024236541080347</v>
      </c>
      <c r="L113" s="41">
        <f t="shared" si="18"/>
        <v>0.79397672826830501</v>
      </c>
      <c r="M113" s="43">
        <f>VLOOKUP(H113,Data!$P$3:$X$122,9)</f>
        <v>0.34029132004536172</v>
      </c>
      <c r="N113" s="43">
        <f t="shared" si="21"/>
        <v>0.76323951181069294</v>
      </c>
      <c r="O113" s="43">
        <f t="shared" si="22"/>
        <v>7.8173779759283676E-2</v>
      </c>
      <c r="P113" s="30">
        <f t="shared" si="23"/>
        <v>1144.8778042662802</v>
      </c>
      <c r="Q113" s="31">
        <f t="shared" si="25"/>
        <v>817316.84610253433</v>
      </c>
    </row>
    <row r="114" spans="1:17" x14ac:dyDescent="0.25">
      <c r="A114" s="6">
        <f t="shared" si="24"/>
        <v>46660</v>
      </c>
      <c r="B114" s="30">
        <f>IFERROR(VLOOKUP(A114, Data!$L$3:$N$123, 3),1)*Pension</f>
        <v>33158.50814694311</v>
      </c>
      <c r="C114" s="37">
        <f t="shared" si="13"/>
        <v>9.2511978097193701</v>
      </c>
      <c r="D114" s="37">
        <f>IFERROR(VLOOKUP(A114,Data!$I$3:$J$1442,2),0)</f>
        <v>8.9419979999999996E-2</v>
      </c>
      <c r="E114" s="37">
        <f t="shared" si="14"/>
        <v>8.921997999999999E-2</v>
      </c>
      <c r="F114" s="37">
        <f t="shared" si="19"/>
        <v>0.43806337663507561</v>
      </c>
      <c r="G114" s="30">
        <f t="shared" si="20"/>
        <v>14525.528043031562</v>
      </c>
      <c r="H114" s="38">
        <f t="shared" si="15"/>
        <v>104</v>
      </c>
      <c r="I114" s="39">
        <f t="shared" si="16"/>
        <v>104.87611225188228</v>
      </c>
      <c r="J114" s="40">
        <f t="shared" si="17"/>
        <v>9</v>
      </c>
      <c r="K114" s="43">
        <f>VLOOKUP(J114,Data!$Z$3:$AA$122,2)</f>
        <v>0.1024236541080347</v>
      </c>
      <c r="L114" s="41">
        <f t="shared" si="18"/>
        <v>0.87611225188227593</v>
      </c>
      <c r="M114" s="43">
        <f>VLOOKUP(H114,Data!$P$3:$X$122,9)</f>
        <v>0.34029132004536172</v>
      </c>
      <c r="N114" s="43">
        <f t="shared" si="21"/>
        <v>0.74220232728657132</v>
      </c>
      <c r="O114" s="43">
        <f t="shared" si="22"/>
        <v>7.6019074448178139E-2</v>
      </c>
      <c r="P114" s="30">
        <f t="shared" si="23"/>
        <v>1104.2171977023156</v>
      </c>
      <c r="Q114" s="31">
        <f t="shared" si="25"/>
        <v>818421.06330023659</v>
      </c>
    </row>
    <row r="115" spans="1:17" x14ac:dyDescent="0.25">
      <c r="A115" s="6">
        <f t="shared" si="24"/>
        <v>46691</v>
      </c>
      <c r="B115" s="30">
        <f>IFERROR(VLOOKUP(A115, Data!$L$3:$N$123, 3),1)*Pension</f>
        <v>33158.50814694311</v>
      </c>
      <c r="C115" s="37">
        <f t="shared" si="13"/>
        <v>9.3360711841204651</v>
      </c>
      <c r="D115" s="37">
        <f>IFERROR(VLOOKUP(A115,Data!$I$3:$J$1442,2),0)</f>
        <v>8.9534961999999996E-2</v>
      </c>
      <c r="E115" s="37">
        <f t="shared" si="14"/>
        <v>8.933496199999999E-2</v>
      </c>
      <c r="F115" s="37">
        <f t="shared" si="19"/>
        <v>0.43429225866222887</v>
      </c>
      <c r="G115" s="30">
        <f t="shared" si="20"/>
        <v>14400.483397005841</v>
      </c>
      <c r="H115" s="38">
        <f t="shared" si="15"/>
        <v>104</v>
      </c>
      <c r="I115" s="39">
        <f t="shared" si="16"/>
        <v>104.96098562628337</v>
      </c>
      <c r="J115" s="40">
        <f t="shared" si="17"/>
        <v>9</v>
      </c>
      <c r="K115" s="43">
        <f>VLOOKUP(J115,Data!$Z$3:$AA$122,2)</f>
        <v>0.1024236541080347</v>
      </c>
      <c r="L115" s="41">
        <f t="shared" si="18"/>
        <v>0.96098562628337447</v>
      </c>
      <c r="M115" s="43">
        <f>VLOOKUP(H115,Data!$P$3:$X$122,9)</f>
        <v>0.34029132004536172</v>
      </c>
      <c r="N115" s="43">
        <f t="shared" si="21"/>
        <v>0.72107287831429978</v>
      </c>
      <c r="O115" s="43">
        <f t="shared" si="22"/>
        <v>7.3854919075148837E-2</v>
      </c>
      <c r="P115" s="30">
        <f t="shared" si="23"/>
        <v>1063.5465359288908</v>
      </c>
      <c r="Q115" s="31">
        <f t="shared" si="25"/>
        <v>819484.60983616544</v>
      </c>
    </row>
    <row r="116" spans="1:17" x14ac:dyDescent="0.25">
      <c r="A116" s="6">
        <f t="shared" si="24"/>
        <v>46721</v>
      </c>
      <c r="B116" s="30">
        <f>IFERROR(VLOOKUP(A116, Data!$L$3:$N$123, 3),1)*Pension</f>
        <v>33158.50814694311</v>
      </c>
      <c r="C116" s="37">
        <f t="shared" si="13"/>
        <v>9.4182067077344289</v>
      </c>
      <c r="D116" s="37">
        <f>IFERROR(VLOOKUP(A116,Data!$I$3:$J$1442,2),0)</f>
        <v>8.9644261000000003E-2</v>
      </c>
      <c r="E116" s="37">
        <f t="shared" si="14"/>
        <v>8.9444260999999997E-2</v>
      </c>
      <c r="F116" s="37">
        <f t="shared" si="19"/>
        <v>0.43067370570778513</v>
      </c>
      <c r="G116" s="30">
        <f t="shared" si="20"/>
        <v>14280.497579385772</v>
      </c>
      <c r="H116" s="38">
        <f t="shared" si="15"/>
        <v>105</v>
      </c>
      <c r="I116" s="39">
        <f t="shared" si="16"/>
        <v>105.04312114989733</v>
      </c>
      <c r="J116" s="40">
        <f t="shared" si="17"/>
        <v>10</v>
      </c>
      <c r="K116" s="43">
        <f>VLOOKUP(J116,Data!$Z$3:$AA$122,2)</f>
        <v>7.2880882588075485E-2</v>
      </c>
      <c r="L116" s="41">
        <f t="shared" si="18"/>
        <v>4.3121149897331179E-2</v>
      </c>
      <c r="M116" s="43">
        <f>VLOOKUP(H116,Data!$P$3:$X$122,9)</f>
        <v>0.3596135431093534</v>
      </c>
      <c r="N116" s="43">
        <f t="shared" si="21"/>
        <v>0.9846126641646803</v>
      </c>
      <c r="O116" s="43">
        <f t="shared" si="22"/>
        <v>7.175943997171827E-2</v>
      </c>
      <c r="P116" s="30">
        <f t="shared" si="23"/>
        <v>1024.7605088142013</v>
      </c>
      <c r="Q116" s="31">
        <f t="shared" si="25"/>
        <v>820509.37034497969</v>
      </c>
    </row>
    <row r="117" spans="1:17" x14ac:dyDescent="0.25">
      <c r="A117" s="6">
        <f t="shared" si="24"/>
        <v>46752</v>
      </c>
      <c r="B117" s="30">
        <f>IFERROR(VLOOKUP(A117, Data!$L$3:$N$123, 3),1)*Pension</f>
        <v>34816.43355429027</v>
      </c>
      <c r="C117" s="37">
        <f t="shared" si="13"/>
        <v>9.5030800821355239</v>
      </c>
      <c r="D117" s="37">
        <f>IFERROR(VLOOKUP(A117,Data!$I$3:$J$1442,2),0)</f>
        <v>8.9754513999999994E-2</v>
      </c>
      <c r="E117" s="37">
        <f t="shared" si="14"/>
        <v>8.9554513999999988E-2</v>
      </c>
      <c r="F117" s="37">
        <f t="shared" si="19"/>
        <v>0.42696906390098593</v>
      </c>
      <c r="G117" s="30">
        <f t="shared" si="20"/>
        <v>14865.540043046192</v>
      </c>
      <c r="H117" s="38">
        <f t="shared" si="15"/>
        <v>105</v>
      </c>
      <c r="I117" s="39">
        <f t="shared" si="16"/>
        <v>105.12799452429843</v>
      </c>
      <c r="J117" s="40">
        <f t="shared" si="17"/>
        <v>10</v>
      </c>
      <c r="K117" s="43">
        <f>VLOOKUP(J117,Data!$Z$3:$AA$122,2)</f>
        <v>7.2880882588075485E-2</v>
      </c>
      <c r="L117" s="41">
        <f t="shared" si="18"/>
        <v>0.12799452429842972</v>
      </c>
      <c r="M117" s="43">
        <f>VLOOKUP(H117,Data!$P$3:$X$122,9)</f>
        <v>0.3596135431093534</v>
      </c>
      <c r="N117" s="43">
        <f t="shared" si="21"/>
        <v>0.95501468239732312</v>
      </c>
      <c r="O117" s="43">
        <f t="shared" si="22"/>
        <v>6.960231293768751E-2</v>
      </c>
      <c r="P117" s="30">
        <f t="shared" si="23"/>
        <v>1034.6759700638258</v>
      </c>
      <c r="Q117" s="31">
        <f t="shared" si="25"/>
        <v>821544.04631504347</v>
      </c>
    </row>
    <row r="118" spans="1:17" x14ac:dyDescent="0.25">
      <c r="A118" s="6">
        <f t="shared" si="24"/>
        <v>46783</v>
      </c>
      <c r="B118" s="30">
        <f>IFERROR(VLOOKUP(A118, Data!$L$3:$N$123, 3),1)*Pension</f>
        <v>34816.43355429027</v>
      </c>
      <c r="C118" s="37">
        <f t="shared" si="13"/>
        <v>9.5879534565366189</v>
      </c>
      <c r="D118" s="37">
        <f>IFERROR(VLOOKUP(A118,Data!$I$3:$J$1442,2),0)</f>
        <v>8.9852659000000001E-2</v>
      </c>
      <c r="E118" s="37">
        <f t="shared" si="14"/>
        <v>8.9652658999999996E-2</v>
      </c>
      <c r="F118" s="37">
        <f t="shared" si="19"/>
        <v>0.42333751015146964</v>
      </c>
      <c r="G118" s="30">
        <f t="shared" si="20"/>
        <v>14739.102293227326</v>
      </c>
      <c r="H118" s="38">
        <f t="shared" si="15"/>
        <v>105</v>
      </c>
      <c r="I118" s="39">
        <f t="shared" si="16"/>
        <v>105.21286789869951</v>
      </c>
      <c r="J118" s="40">
        <f t="shared" si="17"/>
        <v>10</v>
      </c>
      <c r="K118" s="43">
        <f>VLOOKUP(J118,Data!$Z$3:$AA$122,2)</f>
        <v>7.2880882588075485E-2</v>
      </c>
      <c r="L118" s="41">
        <f t="shared" si="18"/>
        <v>0.21286789869951406</v>
      </c>
      <c r="M118" s="43">
        <f>VLOOKUP(H118,Data!$P$3:$X$122,9)</f>
        <v>0.3596135431093534</v>
      </c>
      <c r="N118" s="43">
        <f t="shared" si="21"/>
        <v>0.92630643174615934</v>
      </c>
      <c r="O118" s="43">
        <f t="shared" si="22"/>
        <v>6.7510030292670997E-2</v>
      </c>
      <c r="P118" s="30">
        <f t="shared" si="23"/>
        <v>995.03724230255341</v>
      </c>
      <c r="Q118" s="31">
        <f t="shared" si="25"/>
        <v>822539.08355734602</v>
      </c>
    </row>
    <row r="119" spans="1:17" x14ac:dyDescent="0.25">
      <c r="A119" s="6">
        <f t="shared" si="24"/>
        <v>46812</v>
      </c>
      <c r="B119" s="30">
        <f>IFERROR(VLOOKUP(A119, Data!$L$3:$N$123, 3),1)*Pension</f>
        <v>34816.43355429027</v>
      </c>
      <c r="C119" s="37">
        <f t="shared" si="13"/>
        <v>9.6673511293634498</v>
      </c>
      <c r="D119" s="37">
        <f>IFERROR(VLOOKUP(A119,Data!$I$3:$J$1442,2),0)</f>
        <v>8.9942912999999999E-2</v>
      </c>
      <c r="E119" s="37">
        <f t="shared" si="14"/>
        <v>8.9742912999999994E-2</v>
      </c>
      <c r="F119" s="37">
        <f t="shared" si="19"/>
        <v>0.4199682140748115</v>
      </c>
      <c r="G119" s="30">
        <f t="shared" si="20"/>
        <v>14621.795420249626</v>
      </c>
      <c r="H119" s="38">
        <f t="shared" si="15"/>
        <v>105</v>
      </c>
      <c r="I119" s="39">
        <f t="shared" si="16"/>
        <v>105.29226557152636</v>
      </c>
      <c r="J119" s="40">
        <f t="shared" si="17"/>
        <v>10</v>
      </c>
      <c r="K119" s="43">
        <f>VLOOKUP(J119,Data!$Z$3:$AA$122,2)</f>
        <v>7.2880882588075485E-2</v>
      </c>
      <c r="L119" s="41">
        <f t="shared" si="18"/>
        <v>0.29226557152635735</v>
      </c>
      <c r="M119" s="43">
        <f>VLOOKUP(H119,Data!$P$3:$X$122,9)</f>
        <v>0.3596135431093534</v>
      </c>
      <c r="N119" s="43">
        <f t="shared" si="21"/>
        <v>0.90023210208051507</v>
      </c>
      <c r="O119" s="43">
        <f t="shared" si="22"/>
        <v>6.5609710133746404E-2</v>
      </c>
      <c r="P119" s="30">
        <f t="shared" si="23"/>
        <v>959.3317591575186</v>
      </c>
      <c r="Q119" s="31">
        <f t="shared" si="25"/>
        <v>823498.41531650349</v>
      </c>
    </row>
    <row r="120" spans="1:17" x14ac:dyDescent="0.25">
      <c r="A120" s="6">
        <f t="shared" si="24"/>
        <v>46843</v>
      </c>
      <c r="B120" s="30">
        <f>IFERROR(VLOOKUP(A120, Data!$L$3:$N$123, 3),1)*Pension</f>
        <v>34816.43355429027</v>
      </c>
      <c r="C120" s="37">
        <f t="shared" si="13"/>
        <v>9.7522245037645447</v>
      </c>
      <c r="D120" s="37">
        <f>IFERROR(VLOOKUP(A120,Data!$I$3:$J$1442,2),0)</f>
        <v>9.0038661000000006E-2</v>
      </c>
      <c r="E120" s="37">
        <f t="shared" si="14"/>
        <v>8.9838661E-2</v>
      </c>
      <c r="F120" s="37">
        <f t="shared" si="19"/>
        <v>0.41639256776426814</v>
      </c>
      <c r="G120" s="30">
        <f t="shared" si="20"/>
        <v>14497.304168064949</v>
      </c>
      <c r="H120" s="38">
        <f t="shared" si="15"/>
        <v>105</v>
      </c>
      <c r="I120" s="39">
        <f t="shared" si="16"/>
        <v>105.37713894592744</v>
      </c>
      <c r="J120" s="40">
        <f t="shared" si="17"/>
        <v>10</v>
      </c>
      <c r="K120" s="43">
        <f>VLOOKUP(J120,Data!$Z$3:$AA$122,2)</f>
        <v>7.2880882588075485E-2</v>
      </c>
      <c r="L120" s="41">
        <f t="shared" si="18"/>
        <v>0.37713894592744168</v>
      </c>
      <c r="M120" s="43">
        <f>VLOOKUP(H120,Data!$P$3:$X$122,9)</f>
        <v>0.3596135431093534</v>
      </c>
      <c r="N120" s="43">
        <f t="shared" si="21"/>
        <v>0.87317064500859198</v>
      </c>
      <c r="O120" s="43">
        <f t="shared" si="22"/>
        <v>6.363744725822533E-2</v>
      </c>
      <c r="P120" s="30">
        <f t="shared" si="23"/>
        <v>922.57142938168352</v>
      </c>
      <c r="Q120" s="31">
        <f t="shared" si="25"/>
        <v>824420.98674588522</v>
      </c>
    </row>
    <row r="121" spans="1:17" x14ac:dyDescent="0.25">
      <c r="A121" s="6">
        <f t="shared" si="24"/>
        <v>46873</v>
      </c>
      <c r="B121" s="30">
        <f>IFERROR(VLOOKUP(A121, Data!$L$3:$N$123, 3),1)*Pension</f>
        <v>34816.43355429027</v>
      </c>
      <c r="C121" s="37">
        <f t="shared" si="13"/>
        <v>9.8343600273785086</v>
      </c>
      <c r="D121" s="37">
        <f>IFERROR(VLOOKUP(A121,Data!$I$3:$J$1442,2),0)</f>
        <v>9.0142204000000004E-2</v>
      </c>
      <c r="E121" s="37">
        <f t="shared" si="14"/>
        <v>8.9942203999999998E-2</v>
      </c>
      <c r="F121" s="37">
        <f t="shared" si="19"/>
        <v>0.41291066546785954</v>
      </c>
      <c r="G121" s="30">
        <f t="shared" si="20"/>
        <v>14376.076748119509</v>
      </c>
      <c r="H121" s="38">
        <f t="shared" si="15"/>
        <v>105</v>
      </c>
      <c r="I121" s="39">
        <f t="shared" si="16"/>
        <v>105.45927446954141</v>
      </c>
      <c r="J121" s="40">
        <f t="shared" si="17"/>
        <v>10</v>
      </c>
      <c r="K121" s="43">
        <f>VLOOKUP(J121,Data!$Z$3:$AA$122,2)</f>
        <v>7.2880882588075485E-2</v>
      </c>
      <c r="L121" s="41">
        <f t="shared" si="18"/>
        <v>0.4592744695414126</v>
      </c>
      <c r="M121" s="43">
        <f>VLOOKUP(H121,Data!$P$3:$X$122,9)</f>
        <v>0.3596135431093534</v>
      </c>
      <c r="N121" s="43">
        <f t="shared" si="21"/>
        <v>0.84775693354241555</v>
      </c>
      <c r="O121" s="43">
        <f t="shared" si="22"/>
        <v>6.1785273536731702E-2</v>
      </c>
      <c r="P121" s="30">
        <f t="shared" si="23"/>
        <v>888.2298342676122</v>
      </c>
      <c r="Q121" s="31">
        <f t="shared" si="25"/>
        <v>825309.21658015286</v>
      </c>
    </row>
    <row r="122" spans="1:17" x14ac:dyDescent="0.25">
      <c r="A122" s="6">
        <f t="shared" si="24"/>
        <v>46904</v>
      </c>
      <c r="B122" s="30">
        <f>IFERROR(VLOOKUP(A122, Data!$L$3:$N$123, 3),1)*Pension</f>
        <v>34816.43355429027</v>
      </c>
      <c r="C122" s="37">
        <f t="shared" si="13"/>
        <v>9.9192334017796036</v>
      </c>
      <c r="D122" s="37">
        <f>IFERROR(VLOOKUP(A122,Data!$I$3:$J$1442,2),0)</f>
        <v>9.0247396999999993E-2</v>
      </c>
      <c r="E122" s="37">
        <f t="shared" si="14"/>
        <v>9.0047396999999987E-2</v>
      </c>
      <c r="F122" s="37">
        <f t="shared" si="19"/>
        <v>0.40934328470679926</v>
      </c>
      <c r="G122" s="30">
        <f t="shared" si="20"/>
        <v>14251.873272889201</v>
      </c>
      <c r="H122" s="38">
        <f t="shared" si="15"/>
        <v>105</v>
      </c>
      <c r="I122" s="39">
        <f t="shared" si="16"/>
        <v>105.54414784394251</v>
      </c>
      <c r="J122" s="40">
        <f t="shared" si="17"/>
        <v>10</v>
      </c>
      <c r="K122" s="43">
        <f>VLOOKUP(J122,Data!$Z$3:$AA$122,2)</f>
        <v>7.2880882588075485E-2</v>
      </c>
      <c r="L122" s="41">
        <f t="shared" si="18"/>
        <v>0.54414784394251114</v>
      </c>
      <c r="M122" s="43">
        <f>VLOOKUP(H122,Data!$P$3:$X$122,9)</f>
        <v>0.3596135431093534</v>
      </c>
      <c r="N122" s="43">
        <f t="shared" si="21"/>
        <v>0.82227290802114483</v>
      </c>
      <c r="O122" s="43">
        <f t="shared" si="22"/>
        <v>5.9927975264844446E-2</v>
      </c>
      <c r="P122" s="30">
        <f t="shared" si="23"/>
        <v>854.08590897540171</v>
      </c>
      <c r="Q122" s="31">
        <f t="shared" si="25"/>
        <v>826163.30248912831</v>
      </c>
    </row>
    <row r="123" spans="1:17" x14ac:dyDescent="0.25">
      <c r="A123" s="6">
        <f t="shared" si="24"/>
        <v>46934</v>
      </c>
      <c r="B123" s="30">
        <f>IFERROR(VLOOKUP(A123, Data!$L$3:$N$123, 3),1)*Pension</f>
        <v>34816.43355429027</v>
      </c>
      <c r="C123" s="37">
        <f t="shared" si="13"/>
        <v>10.001368925393566</v>
      </c>
      <c r="D123" s="37">
        <f>IFERROR(VLOOKUP(A123,Data!$I$3:$J$1442,2),0)</f>
        <v>9.0347146000000003E-2</v>
      </c>
      <c r="E123" s="37">
        <f t="shared" si="14"/>
        <v>9.0147145999999997E-2</v>
      </c>
      <c r="F123" s="37">
        <f t="shared" si="19"/>
        <v>0.4059217529343343</v>
      </c>
      <c r="G123" s="30">
        <f t="shared" si="20"/>
        <v>14132.747739279281</v>
      </c>
      <c r="H123" s="38">
        <f t="shared" si="15"/>
        <v>105</v>
      </c>
      <c r="I123" s="39">
        <f t="shared" si="16"/>
        <v>105.62628336755647</v>
      </c>
      <c r="J123" s="40">
        <f t="shared" si="17"/>
        <v>10</v>
      </c>
      <c r="K123" s="43">
        <f>VLOOKUP(J123,Data!$Z$3:$AA$122,2)</f>
        <v>7.2880882588075485E-2</v>
      </c>
      <c r="L123" s="41">
        <f t="shared" si="18"/>
        <v>0.62628336755646785</v>
      </c>
      <c r="M123" s="43">
        <f>VLOOKUP(H123,Data!$P$3:$X$122,9)</f>
        <v>0.3596135431093534</v>
      </c>
      <c r="N123" s="43">
        <f t="shared" si="21"/>
        <v>0.79834057984410911</v>
      </c>
      <c r="O123" s="43">
        <f t="shared" si="22"/>
        <v>5.818376606491462E-2</v>
      </c>
      <c r="P123" s="30">
        <f t="shared" si="23"/>
        <v>822.29648831667657</v>
      </c>
      <c r="Q123" s="31">
        <f t="shared" si="25"/>
        <v>826985.59897744504</v>
      </c>
    </row>
    <row r="124" spans="1:17" x14ac:dyDescent="0.25">
      <c r="A124" s="6">
        <f t="shared" si="24"/>
        <v>46965</v>
      </c>
      <c r="B124" s="30">
        <f>IFERROR(VLOOKUP(A124, Data!$L$3:$N$123, 3),1)*Pension</f>
        <v>34816.43355429027</v>
      </c>
      <c r="C124" s="37">
        <f t="shared" si="13"/>
        <v>10.086242299794661</v>
      </c>
      <c r="D124" s="37">
        <f>IFERROR(VLOOKUP(A124,Data!$I$3:$J$1442,2),0)</f>
        <v>9.0438089999999999E-2</v>
      </c>
      <c r="E124" s="37">
        <f t="shared" si="14"/>
        <v>9.0238089999999993E-2</v>
      </c>
      <c r="F124" s="37">
        <f t="shared" si="19"/>
        <v>0.40245852117682362</v>
      </c>
      <c r="G124" s="30">
        <f t="shared" si="20"/>
        <v>14012.170360910803</v>
      </c>
      <c r="H124" s="38">
        <f t="shared" si="15"/>
        <v>105</v>
      </c>
      <c r="I124" s="39">
        <f t="shared" si="16"/>
        <v>105.71115674195757</v>
      </c>
      <c r="J124" s="40">
        <f t="shared" si="17"/>
        <v>10</v>
      </c>
      <c r="K124" s="43">
        <f>VLOOKUP(J124,Data!$Z$3:$AA$122,2)</f>
        <v>7.2880882588075485E-2</v>
      </c>
      <c r="L124" s="41">
        <f t="shared" si="18"/>
        <v>0.7111567419575664</v>
      </c>
      <c r="M124" s="43">
        <f>VLOOKUP(H124,Data!$P$3:$X$122,9)</f>
        <v>0.3596135431093534</v>
      </c>
      <c r="N124" s="43">
        <f t="shared" si="21"/>
        <v>0.77434203626818043</v>
      </c>
      <c r="O124" s="43">
        <f t="shared" si="22"/>
        <v>5.6434731028272546E-2</v>
      </c>
      <c r="P124" s="30">
        <f t="shared" si="23"/>
        <v>790.77306544033377</v>
      </c>
      <c r="Q124" s="31">
        <f t="shared" si="25"/>
        <v>827776.3720428854</v>
      </c>
    </row>
    <row r="125" spans="1:17" x14ac:dyDescent="0.25">
      <c r="A125" s="6">
        <f t="shared" si="24"/>
        <v>46996</v>
      </c>
      <c r="B125" s="30">
        <f>IFERROR(VLOOKUP(A125, Data!$L$3:$N$123, 3),1)*Pension</f>
        <v>34816.43355429027</v>
      </c>
      <c r="C125" s="37">
        <f t="shared" si="13"/>
        <v>10.171115674195756</v>
      </c>
      <c r="D125" s="37">
        <f>IFERROR(VLOOKUP(A125,Data!$I$3:$J$1442,2),0)</f>
        <v>9.0527517000000002E-2</v>
      </c>
      <c r="E125" s="37">
        <f t="shared" si="14"/>
        <v>9.0327516999999996E-2</v>
      </c>
      <c r="F125" s="37">
        <f t="shared" si="19"/>
        <v>0.39902483378362968</v>
      </c>
      <c r="G125" s="30">
        <f t="shared" si="20"/>
        <v>13892.621611939463</v>
      </c>
      <c r="H125" s="38">
        <f t="shared" si="15"/>
        <v>105</v>
      </c>
      <c r="I125" s="39">
        <f t="shared" si="16"/>
        <v>105.79603011635866</v>
      </c>
      <c r="J125" s="40">
        <f t="shared" si="17"/>
        <v>10</v>
      </c>
      <c r="K125" s="43">
        <f>VLOOKUP(J125,Data!$Z$3:$AA$122,2)</f>
        <v>7.2880882588075485E-2</v>
      </c>
      <c r="L125" s="41">
        <f t="shared" si="18"/>
        <v>0.79603011635866494</v>
      </c>
      <c r="M125" s="43">
        <f>VLOOKUP(H125,Data!$P$3:$X$122,9)</f>
        <v>0.3596135431093534</v>
      </c>
      <c r="N125" s="43">
        <f t="shared" si="21"/>
        <v>0.75106490171029039</v>
      </c>
      <c r="O125" s="43">
        <f t="shared" si="22"/>
        <v>5.4738272917572127E-2</v>
      </c>
      <c r="P125" s="30">
        <f t="shared" si="23"/>
        <v>760.45811333490315</v>
      </c>
      <c r="Q125" s="31">
        <f t="shared" si="25"/>
        <v>828536.83015622036</v>
      </c>
    </row>
    <row r="126" spans="1:17" x14ac:dyDescent="0.25">
      <c r="A126" s="6">
        <f t="shared" si="24"/>
        <v>47026</v>
      </c>
      <c r="B126" s="30">
        <f>IFERROR(VLOOKUP(A126, Data!$L$3:$N$123, 3),1)*Pension</f>
        <v>34816.43355429027</v>
      </c>
      <c r="C126" s="37">
        <f t="shared" si="13"/>
        <v>10.253251197809719</v>
      </c>
      <c r="D126" s="37">
        <f>IFERROR(VLOOKUP(A126,Data!$I$3:$J$1442,2),0)</f>
        <v>9.0613008999999994E-2</v>
      </c>
      <c r="E126" s="37">
        <f t="shared" si="14"/>
        <v>9.0413008999999989E-2</v>
      </c>
      <c r="F126" s="37">
        <f t="shared" si="19"/>
        <v>0.39572834807857049</v>
      </c>
      <c r="G126" s="30">
        <f t="shared" si="20"/>
        <v>13777.8497364266</v>
      </c>
      <c r="H126" s="38">
        <f t="shared" si="15"/>
        <v>105</v>
      </c>
      <c r="I126" s="39">
        <f t="shared" si="16"/>
        <v>105.87816563997262</v>
      </c>
      <c r="J126" s="40">
        <f t="shared" si="17"/>
        <v>10</v>
      </c>
      <c r="K126" s="43">
        <f>VLOOKUP(J126,Data!$Z$3:$AA$122,2)</f>
        <v>7.2880882588075485E-2</v>
      </c>
      <c r="L126" s="41">
        <f t="shared" si="18"/>
        <v>0.87816563997262165</v>
      </c>
      <c r="M126" s="43">
        <f>VLOOKUP(H126,Data!$P$3:$X$122,9)</f>
        <v>0.3596135431093534</v>
      </c>
      <c r="N126" s="43">
        <f t="shared" si="21"/>
        <v>0.72920508906823067</v>
      </c>
      <c r="O126" s="43">
        <f t="shared" si="22"/>
        <v>5.3145110479008849E-2</v>
      </c>
      <c r="P126" s="30">
        <f t="shared" si="23"/>
        <v>732.22534640557467</v>
      </c>
      <c r="Q126" s="31">
        <f t="shared" si="25"/>
        <v>829269.05550262588</v>
      </c>
    </row>
    <row r="127" spans="1:17" x14ac:dyDescent="0.25">
      <c r="A127" s="6">
        <f t="shared" si="24"/>
        <v>47057</v>
      </c>
      <c r="B127" s="30">
        <f>IFERROR(VLOOKUP(A127, Data!$L$3:$N$123, 3),1)*Pension</f>
        <v>34816.43355429027</v>
      </c>
      <c r="C127" s="37">
        <f t="shared" si="13"/>
        <v>10.338124572210814</v>
      </c>
      <c r="D127" s="37">
        <f>IFERROR(VLOOKUP(A127,Data!$I$3:$J$1442,2),0)</f>
        <v>9.0710594000000005E-2</v>
      </c>
      <c r="E127" s="37">
        <f t="shared" si="14"/>
        <v>9.0510594E-2</v>
      </c>
      <c r="F127" s="37">
        <f t="shared" si="19"/>
        <v>0.39230730857386042</v>
      </c>
      <c r="G127" s="30">
        <f t="shared" si="20"/>
        <v>13658.741341824261</v>
      </c>
      <c r="H127" s="38">
        <f t="shared" si="15"/>
        <v>105</v>
      </c>
      <c r="I127" s="39">
        <f t="shared" si="16"/>
        <v>105.96303901437372</v>
      </c>
      <c r="J127" s="40">
        <f t="shared" si="17"/>
        <v>10</v>
      </c>
      <c r="K127" s="43">
        <f>VLOOKUP(J127,Data!$Z$3:$AA$122,2)</f>
        <v>7.2880882588075485E-2</v>
      </c>
      <c r="L127" s="41">
        <f t="shared" si="18"/>
        <v>0.96303901437372019</v>
      </c>
      <c r="M127" s="43">
        <f>VLOOKUP(H127,Data!$P$3:$X$122,9)</f>
        <v>0.3596135431093534</v>
      </c>
      <c r="N127" s="43">
        <f t="shared" si="21"/>
        <v>0.70728479521418408</v>
      </c>
      <c r="O127" s="43">
        <f t="shared" si="22"/>
        <v>5.1547540116335964E-2</v>
      </c>
      <c r="P127" s="30">
        <f t="shared" si="23"/>
        <v>704.07451725634269</v>
      </c>
      <c r="Q127" s="31">
        <f t="shared" si="25"/>
        <v>829973.13001988223</v>
      </c>
    </row>
    <row r="128" spans="1:17" x14ac:dyDescent="0.25">
      <c r="A128" s="6">
        <f t="shared" si="24"/>
        <v>47087</v>
      </c>
      <c r="B128" s="30">
        <f>IFERROR(VLOOKUP(A128, Data!$L$3:$N$123, 3),1)*Pension</f>
        <v>34816.43355429027</v>
      </c>
      <c r="C128" s="37">
        <f t="shared" si="13"/>
        <v>10.420260095824778</v>
      </c>
      <c r="D128" s="37">
        <f>IFERROR(VLOOKUP(A128,Data!$I$3:$J$1442,2),0)</f>
        <v>9.0803518E-2</v>
      </c>
      <c r="E128" s="37">
        <f t="shared" si="14"/>
        <v>9.0603517999999994E-2</v>
      </c>
      <c r="F128" s="37">
        <f t="shared" si="19"/>
        <v>0.38902478483804309</v>
      </c>
      <c r="G128" s="30">
        <f t="shared" si="20"/>
        <v>13544.455572285797</v>
      </c>
      <c r="H128" s="38">
        <f t="shared" si="15"/>
        <v>106</v>
      </c>
      <c r="I128" s="39">
        <f t="shared" si="16"/>
        <v>106.04517453798768</v>
      </c>
      <c r="J128" s="40">
        <f t="shared" si="17"/>
        <v>11</v>
      </c>
      <c r="K128" s="43">
        <f>VLOOKUP(J128,Data!$Z$3:$AA$122,2)</f>
        <v>5.0866920478816927E-2</v>
      </c>
      <c r="L128" s="41">
        <f t="shared" si="18"/>
        <v>4.5174537987676899E-2</v>
      </c>
      <c r="M128" s="43">
        <f>VLOOKUP(H128,Data!$P$3:$X$122,9)</f>
        <v>0.37933547973923321</v>
      </c>
      <c r="N128" s="43">
        <f t="shared" si="21"/>
        <v>0.98300968632861829</v>
      </c>
      <c r="O128" s="43">
        <f t="shared" si="22"/>
        <v>5.0002675544384596E-2</v>
      </c>
      <c r="P128" s="30">
        <f t="shared" si="23"/>
        <v>677.25901740633867</v>
      </c>
      <c r="Q128" s="31">
        <f t="shared" si="25"/>
        <v>830650.38903728861</v>
      </c>
    </row>
    <row r="129" spans="1:17" x14ac:dyDescent="0.25">
      <c r="A129" s="6">
        <f t="shared" si="24"/>
        <v>47118</v>
      </c>
      <c r="B129" s="30">
        <f>IFERROR(VLOOKUP(A129, Data!$L$3:$N$123, 3),1)*Pension</f>
        <v>36557.255232004783</v>
      </c>
      <c r="C129" s="37">
        <f t="shared" si="13"/>
        <v>10.505133470225873</v>
      </c>
      <c r="D129" s="37">
        <f>IFERROR(VLOOKUP(A129,Data!$I$3:$J$1442,2),0)</f>
        <v>9.0897322000000003E-2</v>
      </c>
      <c r="E129" s="37">
        <f t="shared" si="14"/>
        <v>9.0697321999999997E-2</v>
      </c>
      <c r="F129" s="37">
        <f t="shared" si="19"/>
        <v>0.38566449438774303</v>
      </c>
      <c r="G129" s="30">
        <f t="shared" si="20"/>
        <v>14098.835355254798</v>
      </c>
      <c r="H129" s="38">
        <f t="shared" si="15"/>
        <v>106</v>
      </c>
      <c r="I129" s="39">
        <f t="shared" si="16"/>
        <v>106.13004791238878</v>
      </c>
      <c r="J129" s="40">
        <f t="shared" si="17"/>
        <v>11</v>
      </c>
      <c r="K129" s="43">
        <f>VLOOKUP(J129,Data!$Z$3:$AA$122,2)</f>
        <v>5.0866920478816927E-2</v>
      </c>
      <c r="L129" s="41">
        <f t="shared" si="18"/>
        <v>0.13004791238877544</v>
      </c>
      <c r="M129" s="43">
        <f>VLOOKUP(H129,Data!$P$3:$X$122,9)</f>
        <v>0.37933547973923321</v>
      </c>
      <c r="N129" s="43">
        <f t="shared" si="21"/>
        <v>0.95186526055775711</v>
      </c>
      <c r="O129" s="43">
        <f t="shared" si="22"/>
        <v>4.8418454515339784E-2</v>
      </c>
      <c r="P129" s="30">
        <f t="shared" si="23"/>
        <v>682.64381836766881</v>
      </c>
      <c r="Q129" s="31">
        <f t="shared" si="25"/>
        <v>831333.03285565623</v>
      </c>
    </row>
    <row r="130" spans="1:17" x14ac:dyDescent="0.25">
      <c r="A130" s="6">
        <f t="shared" si="24"/>
        <v>47149</v>
      </c>
      <c r="B130" s="30">
        <f>IFERROR(VLOOKUP(A130, Data!$L$3:$N$123, 3),1)*Pension</f>
        <v>36557.255232004783</v>
      </c>
      <c r="C130" s="37">
        <f t="shared" si="13"/>
        <v>10.590006844626968</v>
      </c>
      <c r="D130" s="37">
        <f>IFERROR(VLOOKUP(A130,Data!$I$3:$J$1442,2),0)</f>
        <v>9.0979671999999998E-2</v>
      </c>
      <c r="E130" s="37">
        <f t="shared" si="14"/>
        <v>9.0779671999999992E-2</v>
      </c>
      <c r="F130" s="37">
        <f t="shared" si="19"/>
        <v>0.38237351970614558</v>
      </c>
      <c r="G130" s="30">
        <f t="shared" si="20"/>
        <v>13978.526353857575</v>
      </c>
      <c r="H130" s="38">
        <f t="shared" si="15"/>
        <v>106</v>
      </c>
      <c r="I130" s="39">
        <f t="shared" si="16"/>
        <v>106.21492128678987</v>
      </c>
      <c r="J130" s="40">
        <f t="shared" si="17"/>
        <v>11</v>
      </c>
      <c r="K130" s="43">
        <f>VLOOKUP(J130,Data!$Z$3:$AA$122,2)</f>
        <v>5.0866920478816927E-2</v>
      </c>
      <c r="L130" s="41">
        <f t="shared" si="18"/>
        <v>0.21492128678987399</v>
      </c>
      <c r="M130" s="43">
        <f>VLOOKUP(H130,Data!$P$3:$X$122,9)</f>
        <v>0.37933547973923321</v>
      </c>
      <c r="N130" s="43">
        <f t="shared" si="21"/>
        <v>0.92170757507042189</v>
      </c>
      <c r="O130" s="43">
        <f t="shared" si="22"/>
        <v>4.6884425925830336E-2</v>
      </c>
      <c r="P130" s="30">
        <f t="shared" si="23"/>
        <v>655.37518338970267</v>
      </c>
      <c r="Q130" s="31">
        <f t="shared" si="25"/>
        <v>831988.40803904599</v>
      </c>
    </row>
    <row r="131" spans="1:17" x14ac:dyDescent="0.25">
      <c r="A131" s="6">
        <f t="shared" si="24"/>
        <v>47177</v>
      </c>
      <c r="B131" s="30">
        <f>IFERROR(VLOOKUP(A131, Data!$L$3:$N$123, 3),1)*Pension</f>
        <v>36557.255232004783</v>
      </c>
      <c r="C131" s="37">
        <f t="shared" ref="C131:C194" si="26">(A131-EffDate)/365.25</f>
        <v>10.666666666666666</v>
      </c>
      <c r="D131" s="37">
        <f>IFERROR(VLOOKUP(A131,Data!$I$3:$J$1442,2),0)</f>
        <v>9.1052927000000006E-2</v>
      </c>
      <c r="E131" s="37">
        <f t="shared" ref="E131:E194" si="27">D131-Fees</f>
        <v>9.0852927E-2</v>
      </c>
      <c r="F131" s="37">
        <f t="shared" si="19"/>
        <v>0.37942516775749935</v>
      </c>
      <c r="G131" s="30">
        <f t="shared" si="20"/>
        <v>13870.742699157136</v>
      </c>
      <c r="H131" s="38">
        <f t="shared" ref="H131:H194" si="28">IF(OR(A131 = DATE(YEAR(A131), MONTH(Date_of_Birth), DAY(Date_of_Birth)),AND(A131 = DATE(YEAR(A131), MONTH(Date_of_Birth), DAY(Date_of_Birth)-1), AND(MONTH(Date_of_Birth)=2, DAY(Date_of_Birth) = 29))), ROUND((A131-Date_of_Birth)/365.25,0),ROUNDDOWN((A131-Date_of_Birth)/365.25,0))</f>
        <v>106</v>
      </c>
      <c r="I131" s="39">
        <f t="shared" ref="I131:I194" si="29">IF(OR(A131 = DATE(YEAR(A131), MONTH(Date_of_Birth), DAY(Date_of_Birth)),AND(A131 = DATE(YEAR(A131), MONTH(Date_of_Birth), DAY(Date_of_Birth)-1), AND(MONTH(Date_of_Birth)=2, DAY(Date_of_Birth) = 29))), ROUND((A131-Date_of_Birth)/365.25,0),(A131-Date_of_Birth)/365.25)</f>
        <v>106.29158110882958</v>
      </c>
      <c r="J131" s="40">
        <f t="shared" ref="J131:J194" si="30">H131-StartAge</f>
        <v>11</v>
      </c>
      <c r="K131" s="43">
        <f>VLOOKUP(J131,Data!$Z$3:$AA$122,2)</f>
        <v>5.0866920478816927E-2</v>
      </c>
      <c r="L131" s="41">
        <f t="shared" ref="L131:L194" si="31">IF(A131&lt;=NextBirth,(A131-EffDate)/365.25,(I131-H131))</f>
        <v>0.29158110882957544</v>
      </c>
      <c r="M131" s="43">
        <f>VLOOKUP(H131,Data!$P$3:$X$122,9)</f>
        <v>0.37933547973923321</v>
      </c>
      <c r="N131" s="43">
        <f t="shared" si="21"/>
        <v>0.89529047543855544</v>
      </c>
      <c r="O131" s="43">
        <f t="shared" si="22"/>
        <v>4.55406694195752E-2</v>
      </c>
      <c r="P131" s="30">
        <f t="shared" si="23"/>
        <v>631.68290786630132</v>
      </c>
      <c r="Q131" s="31">
        <f t="shared" si="25"/>
        <v>832620.0909469123</v>
      </c>
    </row>
    <row r="132" spans="1:17" x14ac:dyDescent="0.25">
      <c r="A132" s="6">
        <f t="shared" si="24"/>
        <v>47208</v>
      </c>
      <c r="B132" s="30">
        <f>IFERROR(VLOOKUP(A132, Data!$L$3:$N$123, 3),1)*Pension</f>
        <v>36557.255232004783</v>
      </c>
      <c r="C132" s="37">
        <f t="shared" si="26"/>
        <v>10.751540041067761</v>
      </c>
      <c r="D132" s="37">
        <f>IFERROR(VLOOKUP(A132,Data!$I$3:$J$1442,2),0)</f>
        <v>9.1133324000000002E-2</v>
      </c>
      <c r="E132" s="37">
        <f t="shared" si="27"/>
        <v>9.0933323999999996E-2</v>
      </c>
      <c r="F132" s="37">
        <f t="shared" ref="F132:F195" si="32">EXP(-E132*C132)</f>
        <v>0.37618536161366217</v>
      </c>
      <c r="G132" s="30">
        <f t="shared" ref="G132:G195" si="33">B132*F132</f>
        <v>13752.304279054662</v>
      </c>
      <c r="H132" s="38">
        <f t="shared" si="28"/>
        <v>106</v>
      </c>
      <c r="I132" s="39">
        <f t="shared" si="29"/>
        <v>106.37645448323066</v>
      </c>
      <c r="J132" s="40">
        <f t="shared" si="30"/>
        <v>11</v>
      </c>
      <c r="K132" s="43">
        <f>VLOOKUP(J132,Data!$Z$3:$AA$122,2)</f>
        <v>5.0866920478816927E-2</v>
      </c>
      <c r="L132" s="41">
        <f t="shared" si="31"/>
        <v>0.37645448323065978</v>
      </c>
      <c r="M132" s="43">
        <f>VLOOKUP(H132,Data!$P$3:$X$122,9)</f>
        <v>0.37933547973923321</v>
      </c>
      <c r="N132" s="43">
        <f t="shared" ref="N132:N195" si="34">IF(M132=0, 0, EXP(-L132*M132))</f>
        <v>0.86692523332197968</v>
      </c>
      <c r="O132" s="43">
        <f t="shared" ref="O132:O195" si="35">K132*N132</f>
        <v>4.4097816904468949E-2</v>
      </c>
      <c r="P132" s="30">
        <f t="shared" ref="P132:P195" si="36">G132*O132</f>
        <v>606.44659611229736</v>
      </c>
      <c r="Q132" s="31">
        <f t="shared" si="25"/>
        <v>833226.53754302463</v>
      </c>
    </row>
    <row r="133" spans="1:17" x14ac:dyDescent="0.25">
      <c r="A133" s="6">
        <f t="shared" ref="A133:A196" si="37">EOMONTH(A132,1)</f>
        <v>47238</v>
      </c>
      <c r="B133" s="30">
        <f>IFERROR(VLOOKUP(A133, Data!$L$3:$N$123, 3),1)*Pension</f>
        <v>36557.255232004783</v>
      </c>
      <c r="C133" s="37">
        <f t="shared" si="26"/>
        <v>10.833675564681725</v>
      </c>
      <c r="D133" s="37">
        <f>IFERROR(VLOOKUP(A133,Data!$I$3:$J$1442,2),0)</f>
        <v>9.1217060000000003E-2</v>
      </c>
      <c r="E133" s="37">
        <f t="shared" si="27"/>
        <v>9.1017059999999997E-2</v>
      </c>
      <c r="F133" s="37">
        <f t="shared" si="32"/>
        <v>0.37304758308158242</v>
      </c>
      <c r="G133" s="30">
        <f t="shared" si="33"/>
        <v>13637.595708395918</v>
      </c>
      <c r="H133" s="38">
        <f t="shared" si="28"/>
        <v>106</v>
      </c>
      <c r="I133" s="39">
        <f t="shared" si="29"/>
        <v>106.45859000684463</v>
      </c>
      <c r="J133" s="40">
        <f t="shared" si="30"/>
        <v>11</v>
      </c>
      <c r="K133" s="43">
        <f>VLOOKUP(J133,Data!$Z$3:$AA$122,2)</f>
        <v>5.0866920478816927E-2</v>
      </c>
      <c r="L133" s="41">
        <f t="shared" si="31"/>
        <v>0.45859000684463069</v>
      </c>
      <c r="M133" s="43">
        <f>VLOOKUP(H133,Data!$P$3:$X$122,9)</f>
        <v>0.37933547973923321</v>
      </c>
      <c r="N133" s="43">
        <f t="shared" si="34"/>
        <v>0.84033096377507754</v>
      </c>
      <c r="O133" s="43">
        <f t="shared" si="35"/>
        <v>4.2745048310234457E-2</v>
      </c>
      <c r="P133" s="30">
        <f t="shared" si="36"/>
        <v>582.93968739082959</v>
      </c>
      <c r="Q133" s="31">
        <f t="shared" ref="Q133:Q196" si="38">Q132+P133</f>
        <v>833809.47723041545</v>
      </c>
    </row>
    <row r="134" spans="1:17" x14ac:dyDescent="0.25">
      <c r="A134" s="6">
        <f t="shared" si="37"/>
        <v>47269</v>
      </c>
      <c r="B134" s="30">
        <f>IFERROR(VLOOKUP(A134, Data!$L$3:$N$123, 3),1)*Pension</f>
        <v>36557.255232004783</v>
      </c>
      <c r="C134" s="37">
        <f t="shared" si="26"/>
        <v>10.91854893908282</v>
      </c>
      <c r="D134" s="37">
        <f>IFERROR(VLOOKUP(A134,Data!$I$3:$J$1442,2),0)</f>
        <v>9.1302263999999994E-2</v>
      </c>
      <c r="E134" s="37">
        <f t="shared" si="27"/>
        <v>9.1102263999999988E-2</v>
      </c>
      <c r="F134" s="37">
        <f t="shared" si="32"/>
        <v>0.36983270363061882</v>
      </c>
      <c r="G134" s="30">
        <f t="shared" si="33"/>
        <v>13520.068539766915</v>
      </c>
      <c r="H134" s="38">
        <f t="shared" si="28"/>
        <v>106</v>
      </c>
      <c r="I134" s="39">
        <f t="shared" si="29"/>
        <v>106.54346338124572</v>
      </c>
      <c r="J134" s="40">
        <f t="shared" si="30"/>
        <v>11</v>
      </c>
      <c r="K134" s="43">
        <f>VLOOKUP(J134,Data!$Z$3:$AA$122,2)</f>
        <v>5.0866920478816927E-2</v>
      </c>
      <c r="L134" s="41">
        <f t="shared" si="31"/>
        <v>0.54346338124571503</v>
      </c>
      <c r="M134" s="43">
        <f>VLOOKUP(H134,Data!$P$3:$X$122,9)</f>
        <v>0.37933547973923321</v>
      </c>
      <c r="N134" s="43">
        <f t="shared" si="34"/>
        <v>0.81370698876421921</v>
      </c>
      <c r="O134" s="43">
        <f t="shared" si="35"/>
        <v>4.1390768690527116E-2</v>
      </c>
      <c r="P134" s="30">
        <f t="shared" si="36"/>
        <v>559.6060296095651</v>
      </c>
      <c r="Q134" s="31">
        <f t="shared" si="38"/>
        <v>834369.08326002501</v>
      </c>
    </row>
    <row r="135" spans="1:17" x14ac:dyDescent="0.25">
      <c r="A135" s="6">
        <f t="shared" si="37"/>
        <v>47299</v>
      </c>
      <c r="B135" s="30">
        <f>IFERROR(VLOOKUP(A135, Data!$L$3:$N$123, 3),1)*Pension</f>
        <v>36557.255232004783</v>
      </c>
      <c r="C135" s="37">
        <f t="shared" si="26"/>
        <v>11.000684462696784</v>
      </c>
      <c r="D135" s="37">
        <f>IFERROR(VLOOKUP(A135,Data!$I$3:$J$1442,2),0)</f>
        <v>9.1383080000000005E-2</v>
      </c>
      <c r="E135" s="37">
        <f t="shared" si="27"/>
        <v>9.118308E-2</v>
      </c>
      <c r="F135" s="37">
        <f t="shared" si="32"/>
        <v>0.3667494757467295</v>
      </c>
      <c r="G135" s="30">
        <f t="shared" si="33"/>
        <v>13407.354191077138</v>
      </c>
      <c r="H135" s="38">
        <f t="shared" si="28"/>
        <v>106</v>
      </c>
      <c r="I135" s="39">
        <f t="shared" si="29"/>
        <v>106.62559890485969</v>
      </c>
      <c r="J135" s="40">
        <f t="shared" si="30"/>
        <v>11</v>
      </c>
      <c r="K135" s="43">
        <f>VLOOKUP(J135,Data!$Z$3:$AA$122,2)</f>
        <v>5.0866920478816927E-2</v>
      </c>
      <c r="L135" s="41">
        <f t="shared" si="31"/>
        <v>0.62559890485968594</v>
      </c>
      <c r="M135" s="43">
        <f>VLOOKUP(H135,Data!$P$3:$X$122,9)</f>
        <v>0.37933547973923321</v>
      </c>
      <c r="N135" s="43">
        <f t="shared" si="34"/>
        <v>0.78874527100630898</v>
      </c>
      <c r="O135" s="43">
        <f t="shared" si="35"/>
        <v>4.0121042978320823E-2</v>
      </c>
      <c r="P135" s="30">
        <f t="shared" si="36"/>
        <v>537.9170337257757</v>
      </c>
      <c r="Q135" s="31">
        <f t="shared" si="38"/>
        <v>834907.00029375078</v>
      </c>
    </row>
    <row r="136" spans="1:17" x14ac:dyDescent="0.25">
      <c r="A136" s="6">
        <f t="shared" si="37"/>
        <v>47330</v>
      </c>
      <c r="B136" s="30">
        <f>IFERROR(VLOOKUP(A136, Data!$L$3:$N$123, 3),1)*Pension</f>
        <v>36557.255232004783</v>
      </c>
      <c r="C136" s="37">
        <f t="shared" si="26"/>
        <v>11.085557837097879</v>
      </c>
      <c r="D136" s="37">
        <f>IFERROR(VLOOKUP(A136,Data!$I$3:$J$1442,2),0)</f>
        <v>9.1453774000000002E-2</v>
      </c>
      <c r="E136" s="37">
        <f t="shared" si="27"/>
        <v>9.1253773999999996E-2</v>
      </c>
      <c r="F136" s="37">
        <f t="shared" si="32"/>
        <v>0.36363706259995221</v>
      </c>
      <c r="G136" s="30">
        <f t="shared" si="33"/>
        <v>13293.572909282953</v>
      </c>
      <c r="H136" s="38">
        <f t="shared" si="28"/>
        <v>106</v>
      </c>
      <c r="I136" s="39">
        <f t="shared" si="29"/>
        <v>106.71047227926078</v>
      </c>
      <c r="J136" s="40">
        <f t="shared" si="30"/>
        <v>11</v>
      </c>
      <c r="K136" s="43">
        <f>VLOOKUP(J136,Data!$Z$3:$AA$122,2)</f>
        <v>5.0866920478816927E-2</v>
      </c>
      <c r="L136" s="41">
        <f t="shared" si="31"/>
        <v>0.71047227926078449</v>
      </c>
      <c r="M136" s="43">
        <f>VLOOKUP(H136,Data!$P$3:$X$122,9)</f>
        <v>0.37933547973923321</v>
      </c>
      <c r="N136" s="43">
        <f t="shared" si="34"/>
        <v>0.76375567132421418</v>
      </c>
      <c r="O136" s="43">
        <f t="shared" si="35"/>
        <v>3.8849898998494239E-2</v>
      </c>
      <c r="P136" s="30">
        <f t="shared" si="36"/>
        <v>516.45396485476192</v>
      </c>
      <c r="Q136" s="31">
        <f t="shared" si="38"/>
        <v>835423.45425860549</v>
      </c>
    </row>
    <row r="137" spans="1:17" x14ac:dyDescent="0.25">
      <c r="A137" s="6">
        <f t="shared" si="37"/>
        <v>47361</v>
      </c>
      <c r="B137" s="30">
        <f>IFERROR(VLOOKUP(A137, Data!$L$3:$N$123, 3),1)*Pension</f>
        <v>36557.255232004783</v>
      </c>
      <c r="C137" s="37">
        <f t="shared" si="26"/>
        <v>11.170431211498974</v>
      </c>
      <c r="D137" s="37">
        <f>IFERROR(VLOOKUP(A137,Data!$I$3:$J$1442,2),0)</f>
        <v>9.1523394999999994E-2</v>
      </c>
      <c r="E137" s="37">
        <f t="shared" si="27"/>
        <v>9.1323394999999988E-2</v>
      </c>
      <c r="F137" s="37">
        <f t="shared" si="32"/>
        <v>0.36055105777280089</v>
      </c>
      <c r="G137" s="30">
        <f t="shared" si="33"/>
        <v>13180.757043169584</v>
      </c>
      <c r="H137" s="38">
        <f t="shared" si="28"/>
        <v>106</v>
      </c>
      <c r="I137" s="39">
        <f t="shared" si="29"/>
        <v>106.79534565366187</v>
      </c>
      <c r="J137" s="40">
        <f t="shared" si="30"/>
        <v>11</v>
      </c>
      <c r="K137" s="43">
        <f>VLOOKUP(J137,Data!$Z$3:$AA$122,2)</f>
        <v>5.0866920478816927E-2</v>
      </c>
      <c r="L137" s="41">
        <f t="shared" si="31"/>
        <v>0.79534565366186882</v>
      </c>
      <c r="M137" s="43">
        <f>VLOOKUP(H137,Data!$P$3:$X$122,9)</f>
        <v>0.37933547973923321</v>
      </c>
      <c r="N137" s="43">
        <f t="shared" si="34"/>
        <v>0.73955781026196277</v>
      </c>
      <c r="O137" s="43">
        <f t="shared" si="35"/>
        <v>3.7619028324083238E-2</v>
      </c>
      <c r="P137" s="30">
        <f t="shared" si="36"/>
        <v>495.84727253985619</v>
      </c>
      <c r="Q137" s="31">
        <f t="shared" si="38"/>
        <v>835919.30153114535</v>
      </c>
    </row>
    <row r="138" spans="1:17" x14ac:dyDescent="0.25">
      <c r="A138" s="6">
        <f t="shared" si="37"/>
        <v>47391</v>
      </c>
      <c r="B138" s="30">
        <f>IFERROR(VLOOKUP(A138, Data!$L$3:$N$123, 3),1)*Pension</f>
        <v>36557.255232004783</v>
      </c>
      <c r="C138" s="37">
        <f t="shared" si="26"/>
        <v>11.252566735112936</v>
      </c>
      <c r="D138" s="37">
        <f>IFERROR(VLOOKUP(A138,Data!$I$3:$J$1442,2),0)</f>
        <v>9.1590009999999999E-2</v>
      </c>
      <c r="E138" s="37">
        <f t="shared" si="27"/>
        <v>9.1390009999999994E-2</v>
      </c>
      <c r="F138" s="37">
        <f t="shared" si="32"/>
        <v>0.35758857458901216</v>
      </c>
      <c r="G138" s="30">
        <f t="shared" si="33"/>
        <v>13072.456789299298</v>
      </c>
      <c r="H138" s="38">
        <f t="shared" si="28"/>
        <v>106</v>
      </c>
      <c r="I138" s="39">
        <f t="shared" si="29"/>
        <v>106.87748117727584</v>
      </c>
      <c r="J138" s="40">
        <f t="shared" si="30"/>
        <v>11</v>
      </c>
      <c r="K138" s="43">
        <f>VLOOKUP(J138,Data!$Z$3:$AA$122,2)</f>
        <v>5.0866920478816927E-2</v>
      </c>
      <c r="L138" s="41">
        <f t="shared" si="31"/>
        <v>0.87748117727583974</v>
      </c>
      <c r="M138" s="43">
        <f>VLOOKUP(H138,Data!$P$3:$X$122,9)</f>
        <v>0.37933547973923321</v>
      </c>
      <c r="N138" s="43">
        <f t="shared" si="34"/>
        <v>0.71687073299665194</v>
      </c>
      <c r="O138" s="43">
        <f t="shared" si="35"/>
        <v>3.6465006568931896E-2</v>
      </c>
      <c r="P138" s="30">
        <f t="shared" si="36"/>
        <v>476.68722269387729</v>
      </c>
      <c r="Q138" s="31">
        <f t="shared" si="38"/>
        <v>836395.98875383928</v>
      </c>
    </row>
    <row r="139" spans="1:17" x14ac:dyDescent="0.25">
      <c r="A139" s="6">
        <f t="shared" si="37"/>
        <v>47422</v>
      </c>
      <c r="B139" s="30">
        <f>IFERROR(VLOOKUP(A139, Data!$L$3:$N$123, 3),1)*Pension</f>
        <v>36557.255232004783</v>
      </c>
      <c r="C139" s="37">
        <f t="shared" si="26"/>
        <v>11.337440109514031</v>
      </c>
      <c r="D139" s="37">
        <f>IFERROR(VLOOKUP(A139,Data!$I$3:$J$1442,2),0)</f>
        <v>9.1664959000000004E-2</v>
      </c>
      <c r="E139" s="37">
        <f t="shared" si="27"/>
        <v>9.1464958999999998E-2</v>
      </c>
      <c r="F139" s="37">
        <f t="shared" si="32"/>
        <v>0.35452426218215277</v>
      </c>
      <c r="G139" s="30">
        <f t="shared" si="33"/>
        <v>12960.43393853114</v>
      </c>
      <c r="H139" s="38">
        <f t="shared" si="28"/>
        <v>106</v>
      </c>
      <c r="I139" s="39">
        <f t="shared" si="29"/>
        <v>106.96235455167694</v>
      </c>
      <c r="J139" s="40">
        <f t="shared" si="30"/>
        <v>11</v>
      </c>
      <c r="K139" s="43">
        <f>VLOOKUP(J139,Data!$Z$3:$AA$122,2)</f>
        <v>5.0866920478816927E-2</v>
      </c>
      <c r="L139" s="41">
        <f t="shared" si="31"/>
        <v>0.96235455167693829</v>
      </c>
      <c r="M139" s="43">
        <f>VLOOKUP(H139,Data!$P$3:$X$122,9)</f>
        <v>0.37933547973923321</v>
      </c>
      <c r="N139" s="43">
        <f t="shared" si="34"/>
        <v>0.69415831455192323</v>
      </c>
      <c r="O139" s="43">
        <f t="shared" si="35"/>
        <v>3.5309695786022263E-2</v>
      </c>
      <c r="P139" s="30">
        <f t="shared" si="36"/>
        <v>457.6289796243729</v>
      </c>
      <c r="Q139" s="31">
        <f t="shared" si="38"/>
        <v>836853.61773346364</v>
      </c>
    </row>
    <row r="140" spans="1:17" x14ac:dyDescent="0.25">
      <c r="A140" s="6">
        <f t="shared" si="37"/>
        <v>47452</v>
      </c>
      <c r="B140" s="30">
        <f>IFERROR(VLOOKUP(A140, Data!$L$3:$N$123, 3),1)*Pension</f>
        <v>36557.255232004783</v>
      </c>
      <c r="C140" s="37">
        <f t="shared" si="26"/>
        <v>11.419575633127995</v>
      </c>
      <c r="D140" s="37">
        <f>IFERROR(VLOOKUP(A140,Data!$I$3:$J$1442,2),0)</f>
        <v>9.1736430999999993E-2</v>
      </c>
      <c r="E140" s="37">
        <f t="shared" si="27"/>
        <v>9.1536430999999988E-2</v>
      </c>
      <c r="F140" s="37">
        <f t="shared" si="32"/>
        <v>0.35158379730223666</v>
      </c>
      <c r="G140" s="30">
        <f t="shared" si="33"/>
        <v>12852.938613415301</v>
      </c>
      <c r="H140" s="38">
        <f t="shared" si="28"/>
        <v>107</v>
      </c>
      <c r="I140" s="39">
        <f t="shared" si="29"/>
        <v>107.04449007529089</v>
      </c>
      <c r="J140" s="40">
        <f t="shared" si="30"/>
        <v>12</v>
      </c>
      <c r="K140" s="43">
        <f>VLOOKUP(J140,Data!$Z$3:$AA$122,2)</f>
        <v>3.4809047554382078E-2</v>
      </c>
      <c r="L140" s="41">
        <f t="shared" si="31"/>
        <v>4.4490075290894993E-2</v>
      </c>
      <c r="M140" s="43">
        <f>VLOOKUP(H140,Data!$P$3:$X$122,9)</f>
        <v>0.39940351672956914</v>
      </c>
      <c r="N140" s="43">
        <f t="shared" si="34"/>
        <v>0.98238745390719528</v>
      </c>
      <c r="O140" s="43">
        <f t="shared" si="35"/>
        <v>3.4195971599883891E-2</v>
      </c>
      <c r="P140" s="30">
        <f t="shared" si="36"/>
        <v>439.51872379940068</v>
      </c>
      <c r="Q140" s="31">
        <f t="shared" si="38"/>
        <v>837293.13645726303</v>
      </c>
    </row>
    <row r="141" spans="1:17" x14ac:dyDescent="0.25">
      <c r="A141" s="6">
        <f t="shared" si="37"/>
        <v>47483</v>
      </c>
      <c r="B141" s="30">
        <f>IFERROR(VLOOKUP(A141, Data!$L$3:$N$123, 3),1)*Pension</f>
        <v>38385.117993605018</v>
      </c>
      <c r="C141" s="37">
        <f t="shared" si="26"/>
        <v>11.504449007529089</v>
      </c>
      <c r="D141" s="37">
        <f>IFERROR(VLOOKUP(A141,Data!$I$3:$J$1442,2),0)</f>
        <v>9.1808423E-2</v>
      </c>
      <c r="E141" s="37">
        <f t="shared" si="27"/>
        <v>9.1608422999999994E-2</v>
      </c>
      <c r="F141" s="37">
        <f t="shared" si="32"/>
        <v>0.34857410515244441</v>
      </c>
      <c r="G141" s="30">
        <f t="shared" si="33"/>
        <v>13380.058155791861</v>
      </c>
      <c r="H141" s="38">
        <f t="shared" si="28"/>
        <v>107</v>
      </c>
      <c r="I141" s="39">
        <f t="shared" si="29"/>
        <v>107.12936344969199</v>
      </c>
      <c r="J141" s="40">
        <f t="shared" si="30"/>
        <v>12</v>
      </c>
      <c r="K141" s="43">
        <f>VLOOKUP(J141,Data!$Z$3:$AA$122,2)</f>
        <v>3.4809047554382078E-2</v>
      </c>
      <c r="L141" s="41">
        <f t="shared" si="31"/>
        <v>0.12936344969199354</v>
      </c>
      <c r="M141" s="43">
        <f>VLOOKUP(H141,Data!$P$3:$X$122,9)</f>
        <v>0.39940351672956914</v>
      </c>
      <c r="N141" s="43">
        <f t="shared" si="34"/>
        <v>0.94964389052295806</v>
      </c>
      <c r="O141" s="43">
        <f t="shared" si="35"/>
        <v>3.3056199344942055E-2</v>
      </c>
      <c r="P141" s="30">
        <f t="shared" si="36"/>
        <v>442.29386964477351</v>
      </c>
      <c r="Q141" s="31">
        <f t="shared" si="38"/>
        <v>837735.43032690778</v>
      </c>
    </row>
    <row r="142" spans="1:17" x14ac:dyDescent="0.25">
      <c r="A142" s="6">
        <f t="shared" si="37"/>
        <v>47514</v>
      </c>
      <c r="B142" s="30">
        <f>IFERROR(VLOOKUP(A142, Data!$L$3:$N$123, 3),1)*Pension</f>
        <v>38385.117993605018</v>
      </c>
      <c r="C142" s="37">
        <f t="shared" si="26"/>
        <v>11.589322381930184</v>
      </c>
      <c r="D142" s="37">
        <f>IFERROR(VLOOKUP(A142,Data!$I$3:$J$1442,2),0)</f>
        <v>9.1868004000000003E-2</v>
      </c>
      <c r="E142" s="37">
        <f t="shared" si="27"/>
        <v>9.1668003999999997E-2</v>
      </c>
      <c r="F142" s="37">
        <f t="shared" si="32"/>
        <v>0.34563566485299663</v>
      </c>
      <c r="G142" s="30">
        <f t="shared" si="33"/>
        <v>13267.265778180394</v>
      </c>
      <c r="H142" s="38">
        <f t="shared" si="28"/>
        <v>107</v>
      </c>
      <c r="I142" s="39">
        <f t="shared" si="29"/>
        <v>107.21423682409309</v>
      </c>
      <c r="J142" s="40">
        <f t="shared" si="30"/>
        <v>12</v>
      </c>
      <c r="K142" s="43">
        <f>VLOOKUP(J142,Data!$Z$3:$AA$122,2)</f>
        <v>3.4809047554382078E-2</v>
      </c>
      <c r="L142" s="41">
        <f t="shared" si="31"/>
        <v>0.21423682409309208</v>
      </c>
      <c r="M142" s="43">
        <f>VLOOKUP(H142,Data!$P$3:$X$122,9)</f>
        <v>0.39940351672956914</v>
      </c>
      <c r="N142" s="43">
        <f t="shared" si="34"/>
        <v>0.91799168975622314</v>
      </c>
      <c r="O142" s="43">
        <f t="shared" si="35"/>
        <v>3.195441638325193E-2</v>
      </c>
      <c r="P142" s="30">
        <f t="shared" si="36"/>
        <v>423.94773494324522</v>
      </c>
      <c r="Q142" s="31">
        <f t="shared" si="38"/>
        <v>838159.37806185102</v>
      </c>
    </row>
    <row r="143" spans="1:17" x14ac:dyDescent="0.25">
      <c r="A143" s="6">
        <f t="shared" si="37"/>
        <v>47542</v>
      </c>
      <c r="B143" s="30">
        <f>IFERROR(VLOOKUP(A143, Data!$L$3:$N$123, 3),1)*Pension</f>
        <v>38385.117993605018</v>
      </c>
      <c r="C143" s="37">
        <f t="shared" si="26"/>
        <v>11.665982203969884</v>
      </c>
      <c r="D143" s="37">
        <f>IFERROR(VLOOKUP(A143,Data!$I$3:$J$1442,2),0)</f>
        <v>9.1921074000000005E-2</v>
      </c>
      <c r="E143" s="37">
        <f t="shared" si="27"/>
        <v>9.1721074E-2</v>
      </c>
      <c r="F143" s="37">
        <f t="shared" si="32"/>
        <v>0.34300288628963871</v>
      </c>
      <c r="G143" s="30">
        <f t="shared" si="33"/>
        <v>13166.206262374866</v>
      </c>
      <c r="H143" s="38">
        <f t="shared" si="28"/>
        <v>107</v>
      </c>
      <c r="I143" s="39">
        <f t="shared" si="29"/>
        <v>107.29089664613278</v>
      </c>
      <c r="J143" s="40">
        <f t="shared" si="30"/>
        <v>12</v>
      </c>
      <c r="K143" s="43">
        <f>VLOOKUP(J143,Data!$Z$3:$AA$122,2)</f>
        <v>3.4809047554382078E-2</v>
      </c>
      <c r="L143" s="41">
        <f t="shared" si="31"/>
        <v>0.29089664613277932</v>
      </c>
      <c r="M143" s="43">
        <f>VLOOKUP(H143,Data!$P$3:$X$122,9)</f>
        <v>0.39940351672956914</v>
      </c>
      <c r="N143" s="43">
        <f t="shared" si="34"/>
        <v>0.89031037288540227</v>
      </c>
      <c r="O143" s="43">
        <f t="shared" si="35"/>
        <v>3.0990856107927608E-2</v>
      </c>
      <c r="P143" s="30">
        <f t="shared" si="36"/>
        <v>408.03200376455487</v>
      </c>
      <c r="Q143" s="31">
        <f t="shared" si="38"/>
        <v>838567.41006561555</v>
      </c>
    </row>
    <row r="144" spans="1:17" x14ac:dyDescent="0.25">
      <c r="A144" s="6">
        <f t="shared" si="37"/>
        <v>47573</v>
      </c>
      <c r="B144" s="30">
        <f>IFERROR(VLOOKUP(A144, Data!$L$3:$N$123, 3),1)*Pension</f>
        <v>38385.117993605018</v>
      </c>
      <c r="C144" s="37">
        <f t="shared" si="26"/>
        <v>11.750855578370979</v>
      </c>
      <c r="D144" s="37">
        <f>IFERROR(VLOOKUP(A144,Data!$I$3:$J$1442,2),0)</f>
        <v>9.1979499000000006E-2</v>
      </c>
      <c r="E144" s="37">
        <f t="shared" si="27"/>
        <v>9.1779499E-2</v>
      </c>
      <c r="F144" s="37">
        <f t="shared" si="32"/>
        <v>0.34010950564376613</v>
      </c>
      <c r="G144" s="30">
        <f t="shared" si="33"/>
        <v>13055.143504882635</v>
      </c>
      <c r="H144" s="38">
        <f t="shared" si="28"/>
        <v>107</v>
      </c>
      <c r="I144" s="39">
        <f t="shared" si="29"/>
        <v>107.37577002053388</v>
      </c>
      <c r="J144" s="40">
        <f t="shared" si="30"/>
        <v>12</v>
      </c>
      <c r="K144" s="43">
        <f>VLOOKUP(J144,Data!$Z$3:$AA$122,2)</f>
        <v>3.4809047554382078E-2</v>
      </c>
      <c r="L144" s="41">
        <f t="shared" si="31"/>
        <v>0.37577002053387787</v>
      </c>
      <c r="M144" s="43">
        <f>VLOOKUP(H144,Data!$P$3:$X$122,9)</f>
        <v>0.39940351672956914</v>
      </c>
      <c r="N144" s="43">
        <f t="shared" si="34"/>
        <v>0.86063579386846478</v>
      </c>
      <c r="O144" s="43">
        <f t="shared" si="35"/>
        <v>2.9957912275770764E-2</v>
      </c>
      <c r="P144" s="30">
        <f t="shared" si="36"/>
        <v>391.10484386687244</v>
      </c>
      <c r="Q144" s="31">
        <f t="shared" si="38"/>
        <v>838958.51490948244</v>
      </c>
    </row>
    <row r="145" spans="1:17" x14ac:dyDescent="0.25">
      <c r="A145" s="6">
        <f t="shared" si="37"/>
        <v>47603</v>
      </c>
      <c r="B145" s="30">
        <f>IFERROR(VLOOKUP(A145, Data!$L$3:$N$123, 3),1)*Pension</f>
        <v>38385.117993605018</v>
      </c>
      <c r="C145" s="37">
        <f t="shared" si="26"/>
        <v>11.832991101984941</v>
      </c>
      <c r="D145" s="37">
        <f>IFERROR(VLOOKUP(A145,Data!$I$3:$J$1442,2),0)</f>
        <v>9.2041878999999993E-2</v>
      </c>
      <c r="E145" s="37">
        <f t="shared" si="27"/>
        <v>9.1841878999999987E-2</v>
      </c>
      <c r="F145" s="37">
        <f t="shared" si="32"/>
        <v>0.33730620634942421</v>
      </c>
      <c r="G145" s="30">
        <f t="shared" si="33"/>
        <v>12947.53853069793</v>
      </c>
      <c r="H145" s="38">
        <f t="shared" si="28"/>
        <v>107</v>
      </c>
      <c r="I145" s="39">
        <f t="shared" si="29"/>
        <v>107.45790554414785</v>
      </c>
      <c r="J145" s="40">
        <f t="shared" si="30"/>
        <v>12</v>
      </c>
      <c r="K145" s="43">
        <f>VLOOKUP(J145,Data!$Z$3:$AA$122,2)</f>
        <v>3.4809047554382078E-2</v>
      </c>
      <c r="L145" s="41">
        <f t="shared" si="31"/>
        <v>0.45790554414784879</v>
      </c>
      <c r="M145" s="43">
        <f>VLOOKUP(H145,Data!$P$3:$X$122,9)</f>
        <v>0.39940351672956914</v>
      </c>
      <c r="N145" s="43">
        <f t="shared" si="34"/>
        <v>0.8328605276206803</v>
      </c>
      <c r="O145" s="43">
        <f t="shared" si="35"/>
        <v>2.8991081712116007E-2</v>
      </c>
      <c r="P145" s="30">
        <f t="shared" si="36"/>
        <v>375.36314751423413</v>
      </c>
      <c r="Q145" s="31">
        <f t="shared" si="38"/>
        <v>839333.87805699673</v>
      </c>
    </row>
    <row r="146" spans="1:17" x14ac:dyDescent="0.25">
      <c r="A146" s="6">
        <f t="shared" si="37"/>
        <v>47634</v>
      </c>
      <c r="B146" s="30">
        <f>IFERROR(VLOOKUP(A146, Data!$L$3:$N$123, 3),1)*Pension</f>
        <v>38385.117993605018</v>
      </c>
      <c r="C146" s="37">
        <f t="shared" si="26"/>
        <v>11.917864476386036</v>
      </c>
      <c r="D146" s="37">
        <f>IFERROR(VLOOKUP(A146,Data!$I$3:$J$1442,2),0)</f>
        <v>9.2105434999999999E-2</v>
      </c>
      <c r="E146" s="37">
        <f t="shared" si="27"/>
        <v>9.1905434999999994E-2</v>
      </c>
      <c r="F146" s="37">
        <f t="shared" si="32"/>
        <v>0.33443373557171974</v>
      </c>
      <c r="G146" s="30">
        <f t="shared" si="33"/>
        <v>12837.278400962561</v>
      </c>
      <c r="H146" s="38">
        <f t="shared" si="28"/>
        <v>107</v>
      </c>
      <c r="I146" s="39">
        <f t="shared" si="29"/>
        <v>107.54277891854893</v>
      </c>
      <c r="J146" s="40">
        <f t="shared" si="30"/>
        <v>12</v>
      </c>
      <c r="K146" s="43">
        <f>VLOOKUP(J146,Data!$Z$3:$AA$122,2)</f>
        <v>3.4809047554382078E-2</v>
      </c>
      <c r="L146" s="41">
        <f t="shared" si="31"/>
        <v>0.54277891854893312</v>
      </c>
      <c r="M146" s="43">
        <f>VLOOKUP(H146,Data!$P$3:$X$122,9)</f>
        <v>0.39940351672956914</v>
      </c>
      <c r="N146" s="43">
        <f t="shared" si="34"/>
        <v>0.80510078642293825</v>
      </c>
      <c r="O146" s="43">
        <f t="shared" si="35"/>
        <v>2.8024791560666465E-2</v>
      </c>
      <c r="P146" s="30">
        <f t="shared" si="36"/>
        <v>359.7620513932215</v>
      </c>
      <c r="Q146" s="31">
        <f t="shared" si="38"/>
        <v>839693.64010839001</v>
      </c>
    </row>
    <row r="147" spans="1:17" x14ac:dyDescent="0.25">
      <c r="A147" s="6">
        <f t="shared" si="37"/>
        <v>47664</v>
      </c>
      <c r="B147" s="30">
        <f>IFERROR(VLOOKUP(A147, Data!$L$3:$N$123, 3),1)*Pension</f>
        <v>38385.117993605018</v>
      </c>
      <c r="C147" s="37">
        <f t="shared" si="26"/>
        <v>12</v>
      </c>
      <c r="D147" s="37">
        <f>IFERROR(VLOOKUP(A147,Data!$I$3:$J$1442,2),0)</f>
        <v>9.2165801000000006E-2</v>
      </c>
      <c r="E147" s="37">
        <f t="shared" si="27"/>
        <v>9.1965801E-2</v>
      </c>
      <c r="F147" s="37">
        <f t="shared" si="32"/>
        <v>0.33167834767209109</v>
      </c>
      <c r="G147" s="30">
        <f t="shared" si="33"/>
        <v>12731.512511317165</v>
      </c>
      <c r="H147" s="38">
        <f t="shared" si="28"/>
        <v>107</v>
      </c>
      <c r="I147" s="39">
        <f t="shared" si="29"/>
        <v>107.6249144421629</v>
      </c>
      <c r="J147" s="40">
        <f t="shared" si="30"/>
        <v>12</v>
      </c>
      <c r="K147" s="43">
        <f>VLOOKUP(J147,Data!$Z$3:$AA$122,2)</f>
        <v>3.4809047554382078E-2</v>
      </c>
      <c r="L147" s="41">
        <f t="shared" si="31"/>
        <v>0.62491444216290404</v>
      </c>
      <c r="M147" s="43">
        <f>VLOOKUP(H147,Data!$P$3:$X$122,9)</f>
        <v>0.39940351672956914</v>
      </c>
      <c r="N147" s="43">
        <f t="shared" si="34"/>
        <v>0.77911779935859182</v>
      </c>
      <c r="O147" s="43">
        <f t="shared" si="35"/>
        <v>2.7120348528338736E-2</v>
      </c>
      <c r="P147" s="30">
        <f t="shared" si="36"/>
        <v>345.28305659982669</v>
      </c>
      <c r="Q147" s="31">
        <f t="shared" si="38"/>
        <v>840038.9231649898</v>
      </c>
    </row>
    <row r="148" spans="1:17" x14ac:dyDescent="0.25">
      <c r="A148" s="6">
        <f t="shared" si="37"/>
        <v>47695</v>
      </c>
      <c r="B148" s="30">
        <f>IFERROR(VLOOKUP(A148, Data!$L$3:$N$123, 3),1)*Pension</f>
        <v>38385.117993605018</v>
      </c>
      <c r="C148" s="37">
        <f t="shared" si="26"/>
        <v>12.084873374401095</v>
      </c>
      <c r="D148" s="37">
        <f>IFERROR(VLOOKUP(A148,Data!$I$3:$J$1442,2),0)</f>
        <v>9.2218891999999997E-2</v>
      </c>
      <c r="E148" s="37">
        <f t="shared" si="27"/>
        <v>9.2018891999999991E-2</v>
      </c>
      <c r="F148" s="37">
        <f t="shared" si="32"/>
        <v>0.32888844526003019</v>
      </c>
      <c r="G148" s="30">
        <f t="shared" si="33"/>
        <v>12624.421778039563</v>
      </c>
      <c r="H148" s="38">
        <f t="shared" si="28"/>
        <v>107</v>
      </c>
      <c r="I148" s="39">
        <f t="shared" si="29"/>
        <v>107.709787816564</v>
      </c>
      <c r="J148" s="40">
        <f t="shared" si="30"/>
        <v>12</v>
      </c>
      <c r="K148" s="43">
        <f>VLOOKUP(J148,Data!$Z$3:$AA$122,2)</f>
        <v>3.4809047554382078E-2</v>
      </c>
      <c r="L148" s="41">
        <f t="shared" si="31"/>
        <v>0.70978781656400258</v>
      </c>
      <c r="M148" s="43">
        <f>VLOOKUP(H148,Data!$P$3:$X$122,9)</f>
        <v>0.39940351672956914</v>
      </c>
      <c r="N148" s="43">
        <f t="shared" si="34"/>
        <v>0.75314933554564145</v>
      </c>
      <c r="O148" s="43">
        <f t="shared" si="35"/>
        <v>2.6216411036559497E-2</v>
      </c>
      <c r="P148" s="30">
        <f t="shared" si="36"/>
        <v>330.96703043197846</v>
      </c>
      <c r="Q148" s="31">
        <f t="shared" si="38"/>
        <v>840369.89019542176</v>
      </c>
    </row>
    <row r="149" spans="1:17" x14ac:dyDescent="0.25">
      <c r="A149" s="6">
        <f t="shared" si="37"/>
        <v>47726</v>
      </c>
      <c r="B149" s="30">
        <f>IFERROR(VLOOKUP(A149, Data!$L$3:$N$123, 3),1)*Pension</f>
        <v>38385.117993605018</v>
      </c>
      <c r="C149" s="37">
        <f t="shared" si="26"/>
        <v>12.16974674880219</v>
      </c>
      <c r="D149" s="37">
        <f>IFERROR(VLOOKUP(A149,Data!$I$3:$J$1442,2),0)</f>
        <v>9.2271243000000003E-2</v>
      </c>
      <c r="E149" s="37">
        <f t="shared" si="27"/>
        <v>9.2071242999999997E-2</v>
      </c>
      <c r="F149" s="37">
        <f t="shared" si="32"/>
        <v>0.32612200793680529</v>
      </c>
      <c r="G149" s="30">
        <f t="shared" si="33"/>
        <v>12518.231754965664</v>
      </c>
      <c r="H149" s="38">
        <f t="shared" si="28"/>
        <v>107</v>
      </c>
      <c r="I149" s="39">
        <f t="shared" si="29"/>
        <v>107.79466119096509</v>
      </c>
      <c r="J149" s="40">
        <f t="shared" si="30"/>
        <v>12</v>
      </c>
      <c r="K149" s="43">
        <f>VLOOKUP(J149,Data!$Z$3:$AA$122,2)</f>
        <v>3.4809047554382078E-2</v>
      </c>
      <c r="L149" s="41">
        <f t="shared" si="31"/>
        <v>0.79466119096508692</v>
      </c>
      <c r="M149" s="43">
        <f>VLOOKUP(H149,Data!$P$3:$X$122,9)</f>
        <v>0.39940351672956914</v>
      </c>
      <c r="N149" s="43">
        <f t="shared" si="34"/>
        <v>0.72804641621564714</v>
      </c>
      <c r="O149" s="43">
        <f t="shared" si="35"/>
        <v>2.5342602323847909E-2</v>
      </c>
      <c r="P149" s="30">
        <f t="shared" si="36"/>
        <v>317.24456916385952</v>
      </c>
      <c r="Q149" s="31">
        <f t="shared" si="38"/>
        <v>840687.13476458564</v>
      </c>
    </row>
    <row r="150" spans="1:17" x14ac:dyDescent="0.25">
      <c r="A150" s="6">
        <f t="shared" si="37"/>
        <v>47756</v>
      </c>
      <c r="B150" s="30">
        <f>IFERROR(VLOOKUP(A150, Data!$L$3:$N$123, 3),1)*Pension</f>
        <v>38385.117993605018</v>
      </c>
      <c r="C150" s="37">
        <f t="shared" si="26"/>
        <v>12.251882272416154</v>
      </c>
      <c r="D150" s="37">
        <f>IFERROR(VLOOKUP(A150,Data!$I$3:$J$1442,2),0)</f>
        <v>9.2321443000000003E-2</v>
      </c>
      <c r="E150" s="37">
        <f t="shared" si="27"/>
        <v>9.2121442999999997E-2</v>
      </c>
      <c r="F150" s="37">
        <f t="shared" si="32"/>
        <v>0.32346606360222202</v>
      </c>
      <c r="G150" s="30">
        <f t="shared" si="33"/>
        <v>12416.283018298238</v>
      </c>
      <c r="H150" s="38">
        <f t="shared" si="28"/>
        <v>107</v>
      </c>
      <c r="I150" s="39">
        <f t="shared" si="29"/>
        <v>107.87679671457906</v>
      </c>
      <c r="J150" s="40">
        <f t="shared" si="30"/>
        <v>12</v>
      </c>
      <c r="K150" s="43">
        <f>VLOOKUP(J150,Data!$Z$3:$AA$122,2)</f>
        <v>3.4809047554382078E-2</v>
      </c>
      <c r="L150" s="41">
        <f t="shared" si="31"/>
        <v>0.87679671457905783</v>
      </c>
      <c r="M150" s="43">
        <f>VLOOKUP(H150,Data!$P$3:$X$122,9)</f>
        <v>0.39940351672956914</v>
      </c>
      <c r="N150" s="43">
        <f t="shared" si="34"/>
        <v>0.70455020191082418</v>
      </c>
      <c r="O150" s="43">
        <f t="shared" si="35"/>
        <v>2.4524721482763374E-2</v>
      </c>
      <c r="P150" s="30">
        <f t="shared" si="36"/>
        <v>304.50588287492889</v>
      </c>
      <c r="Q150" s="31">
        <f t="shared" si="38"/>
        <v>840991.64064746059</v>
      </c>
    </row>
    <row r="151" spans="1:17" x14ac:dyDescent="0.25">
      <c r="A151" s="6">
        <f t="shared" si="37"/>
        <v>47787</v>
      </c>
      <c r="B151" s="30">
        <f>IFERROR(VLOOKUP(A151, Data!$L$3:$N$123, 3),1)*Pension</f>
        <v>38385.117993605018</v>
      </c>
      <c r="C151" s="37">
        <f t="shared" si="26"/>
        <v>12.336755646817249</v>
      </c>
      <c r="D151" s="37">
        <f>IFERROR(VLOOKUP(A151,Data!$I$3:$J$1442,2),0)</f>
        <v>9.2379417000000005E-2</v>
      </c>
      <c r="E151" s="37">
        <f t="shared" si="27"/>
        <v>9.2179417E-2</v>
      </c>
      <c r="F151" s="37">
        <f t="shared" si="32"/>
        <v>0.3207173917400723</v>
      </c>
      <c r="G151" s="30">
        <f t="shared" si="33"/>
        <v>12310.774924543919</v>
      </c>
      <c r="H151" s="38">
        <f t="shared" si="28"/>
        <v>107</v>
      </c>
      <c r="I151" s="39">
        <f t="shared" si="29"/>
        <v>107.96167008898016</v>
      </c>
      <c r="J151" s="40">
        <f t="shared" si="30"/>
        <v>12</v>
      </c>
      <c r="K151" s="43">
        <f>VLOOKUP(J151,Data!$Z$3:$AA$122,2)</f>
        <v>3.4809047554382078E-2</v>
      </c>
      <c r="L151" s="41">
        <f t="shared" si="31"/>
        <v>0.96167008898015638</v>
      </c>
      <c r="M151" s="43">
        <f>VLOOKUP(H151,Data!$P$3:$X$122,9)</f>
        <v>0.39940351672956914</v>
      </c>
      <c r="N151" s="43">
        <f t="shared" si="34"/>
        <v>0.68106712086994636</v>
      </c>
      <c r="O151" s="43">
        <f t="shared" si="35"/>
        <v>2.3707297798088049E-2</v>
      </c>
      <c r="P151" s="30">
        <f t="shared" si="36"/>
        <v>291.8552072613976</v>
      </c>
      <c r="Q151" s="31">
        <f t="shared" si="38"/>
        <v>841283.49585472199</v>
      </c>
    </row>
    <row r="152" spans="1:17" x14ac:dyDescent="0.25">
      <c r="A152" s="6">
        <f t="shared" si="37"/>
        <v>47817</v>
      </c>
      <c r="B152" s="30">
        <f>IFERROR(VLOOKUP(A152, Data!$L$3:$N$123, 3),1)*Pension</f>
        <v>38385.117993605018</v>
      </c>
      <c r="C152" s="37">
        <f t="shared" si="26"/>
        <v>12.418891170431211</v>
      </c>
      <c r="D152" s="37">
        <f>IFERROR(VLOOKUP(A152,Data!$I$3:$J$1442,2),0)</f>
        <v>9.2434767000000001E-2</v>
      </c>
      <c r="E152" s="37">
        <f t="shared" si="27"/>
        <v>9.2234766999999995E-2</v>
      </c>
      <c r="F152" s="37">
        <f t="shared" si="32"/>
        <v>0.31807962530543116</v>
      </c>
      <c r="G152" s="30">
        <f t="shared" si="33"/>
        <v>12209.523948710648</v>
      </c>
      <c r="H152" s="38">
        <f t="shared" si="28"/>
        <v>108</v>
      </c>
      <c r="I152" s="39">
        <f t="shared" si="29"/>
        <v>108.04380561259411</v>
      </c>
      <c r="J152" s="40">
        <f t="shared" si="30"/>
        <v>13</v>
      </c>
      <c r="K152" s="43">
        <f>VLOOKUP(J152,Data!$Z$3:$AA$122,2)</f>
        <v>2.3347124375675148E-2</v>
      </c>
      <c r="L152" s="41">
        <f t="shared" si="31"/>
        <v>4.3805612594113086E-2</v>
      </c>
      <c r="M152" s="43">
        <f>VLOOKUP(H152,Data!$P$3:$X$122,9)</f>
        <v>0.41975928481388092</v>
      </c>
      <c r="N152" s="43">
        <f t="shared" si="34"/>
        <v>0.98178021176990893</v>
      </c>
      <c r="O152" s="43">
        <f t="shared" si="35"/>
        <v>2.292174471376875E-2</v>
      </c>
      <c r="P152" s="30">
        <f t="shared" si="36"/>
        <v>279.86359102899127</v>
      </c>
      <c r="Q152" s="31">
        <f t="shared" si="38"/>
        <v>841563.35944575095</v>
      </c>
    </row>
    <row r="153" spans="1:17" x14ac:dyDescent="0.25">
      <c r="A153" s="6">
        <f t="shared" si="37"/>
        <v>47848</v>
      </c>
      <c r="B153" s="30">
        <f>IFERROR(VLOOKUP(A153, Data!$L$3:$N$123, 3),1)*Pension</f>
        <v>40304.373893285272</v>
      </c>
      <c r="C153" s="37">
        <f t="shared" si="26"/>
        <v>12.503764544832306</v>
      </c>
      <c r="D153" s="37">
        <f>IFERROR(VLOOKUP(A153,Data!$I$3:$J$1442,2),0)</f>
        <v>9.2490629000000005E-2</v>
      </c>
      <c r="E153" s="37">
        <f t="shared" si="27"/>
        <v>9.2290628999999999E-2</v>
      </c>
      <c r="F153" s="37">
        <f t="shared" si="32"/>
        <v>0.31537896659422543</v>
      </c>
      <c r="G153" s="30">
        <f t="shared" si="33"/>
        <v>12711.151787691588</v>
      </c>
      <c r="H153" s="38">
        <f t="shared" si="28"/>
        <v>108</v>
      </c>
      <c r="I153" s="39">
        <f t="shared" si="29"/>
        <v>108.12867898699521</v>
      </c>
      <c r="J153" s="40">
        <f t="shared" si="30"/>
        <v>13</v>
      </c>
      <c r="K153" s="43">
        <f>VLOOKUP(J153,Data!$Z$3:$AA$122,2)</f>
        <v>2.3347124375675148E-2</v>
      </c>
      <c r="L153" s="41">
        <f t="shared" si="31"/>
        <v>0.12867898699521163</v>
      </c>
      <c r="M153" s="43">
        <f>VLOOKUP(H153,Data!$P$3:$X$122,9)</f>
        <v>0.41975928481388092</v>
      </c>
      <c r="N153" s="43">
        <f t="shared" si="34"/>
        <v>0.94741865348614784</v>
      </c>
      <c r="O153" s="43">
        <f t="shared" si="35"/>
        <v>2.2119501138775768E-2</v>
      </c>
      <c r="P153" s="30">
        <f t="shared" si="36"/>
        <v>281.1643364429957</v>
      </c>
      <c r="Q153" s="31">
        <f t="shared" si="38"/>
        <v>841844.52378219389</v>
      </c>
    </row>
    <row r="154" spans="1:17" x14ac:dyDescent="0.25">
      <c r="A154" s="6">
        <f t="shared" si="37"/>
        <v>47879</v>
      </c>
      <c r="B154" s="30">
        <f>IFERROR(VLOOKUP(A154, Data!$L$3:$N$123, 3),1)*Pension</f>
        <v>40304.373893285272</v>
      </c>
      <c r="C154" s="37">
        <f t="shared" si="26"/>
        <v>12.588637919233403</v>
      </c>
      <c r="D154" s="37">
        <f>IFERROR(VLOOKUP(A154,Data!$I$3:$J$1442,2),0)</f>
        <v>9.2537559000000005E-2</v>
      </c>
      <c r="E154" s="37">
        <f t="shared" si="27"/>
        <v>9.2337559E-2</v>
      </c>
      <c r="F154" s="37">
        <f t="shared" si="32"/>
        <v>0.31273343502141954</v>
      </c>
      <c r="G154" s="30">
        <f t="shared" si="33"/>
        <v>12604.525294034727</v>
      </c>
      <c r="H154" s="38">
        <f t="shared" si="28"/>
        <v>108</v>
      </c>
      <c r="I154" s="39">
        <f t="shared" si="29"/>
        <v>108.21355236139631</v>
      </c>
      <c r="J154" s="40">
        <f t="shared" si="30"/>
        <v>13</v>
      </c>
      <c r="K154" s="43">
        <f>VLOOKUP(J154,Data!$Z$3:$AA$122,2)</f>
        <v>2.3347124375675148E-2</v>
      </c>
      <c r="L154" s="41">
        <f t="shared" si="31"/>
        <v>0.21355236139631018</v>
      </c>
      <c r="M154" s="43">
        <f>VLOOKUP(H154,Data!$P$3:$X$122,9)</f>
        <v>0.41975928481388092</v>
      </c>
      <c r="N154" s="43">
        <f t="shared" si="34"/>
        <v>0.91425972352340357</v>
      </c>
      <c r="O154" s="43">
        <f t="shared" si="35"/>
        <v>2.1345335476771275E-2</v>
      </c>
      <c r="P154" s="30">
        <f t="shared" si="36"/>
        <v>269.04782092662037</v>
      </c>
      <c r="Q154" s="31">
        <f t="shared" si="38"/>
        <v>842113.57160312054</v>
      </c>
    </row>
    <row r="155" spans="1:17" x14ac:dyDescent="0.25">
      <c r="A155" s="6">
        <f t="shared" si="37"/>
        <v>47907</v>
      </c>
      <c r="B155" s="30">
        <f>IFERROR(VLOOKUP(A155, Data!$L$3:$N$123, 3),1)*Pension</f>
        <v>40304.373893285272</v>
      </c>
      <c r="C155" s="37">
        <f t="shared" si="26"/>
        <v>12.6652977412731</v>
      </c>
      <c r="D155" s="37">
        <f>IFERROR(VLOOKUP(A155,Data!$I$3:$J$1442,2),0)</f>
        <v>9.2579406000000003E-2</v>
      </c>
      <c r="E155" s="37">
        <f t="shared" si="27"/>
        <v>9.2379405999999997E-2</v>
      </c>
      <c r="F155" s="37">
        <f t="shared" si="32"/>
        <v>0.31036300516973453</v>
      </c>
      <c r="G155" s="30">
        <f t="shared" si="33"/>
        <v>12508.986603004611</v>
      </c>
      <c r="H155" s="38">
        <f t="shared" si="28"/>
        <v>108</v>
      </c>
      <c r="I155" s="39">
        <f t="shared" si="29"/>
        <v>108.290212183436</v>
      </c>
      <c r="J155" s="40">
        <f t="shared" si="30"/>
        <v>13</v>
      </c>
      <c r="K155" s="43">
        <f>VLOOKUP(J155,Data!$Z$3:$AA$122,2)</f>
        <v>2.3347124375675148E-2</v>
      </c>
      <c r="L155" s="41">
        <f t="shared" si="31"/>
        <v>0.29021218343599742</v>
      </c>
      <c r="M155" s="43">
        <f>VLOOKUP(H155,Data!$P$3:$X$122,9)</f>
        <v>0.41975928481388092</v>
      </c>
      <c r="N155" s="43">
        <f t="shared" si="34"/>
        <v>0.8853083659490304</v>
      </c>
      <c r="O155" s="43">
        <f t="shared" si="35"/>
        <v>2.0669404530637741E-2</v>
      </c>
      <c r="P155" s="30">
        <f t="shared" si="36"/>
        <v>258.55330436583029</v>
      </c>
      <c r="Q155" s="31">
        <f t="shared" si="38"/>
        <v>842372.12490748637</v>
      </c>
    </row>
    <row r="156" spans="1:17" x14ac:dyDescent="0.25">
      <c r="A156" s="6">
        <f t="shared" si="37"/>
        <v>47938</v>
      </c>
      <c r="B156" s="30">
        <f>IFERROR(VLOOKUP(A156, Data!$L$3:$N$123, 3),1)*Pension</f>
        <v>40304.373893285272</v>
      </c>
      <c r="C156" s="37">
        <f t="shared" si="26"/>
        <v>12.750171115674195</v>
      </c>
      <c r="D156" s="37">
        <f>IFERROR(VLOOKUP(A156,Data!$I$3:$J$1442,2),0)</f>
        <v>9.2624641999999993E-2</v>
      </c>
      <c r="E156" s="37">
        <f t="shared" si="27"/>
        <v>9.2424641999999987E-2</v>
      </c>
      <c r="F156" s="37">
        <f t="shared" si="32"/>
        <v>0.30776154487695762</v>
      </c>
      <c r="G156" s="30">
        <f t="shared" si="33"/>
        <v>12404.136374695994</v>
      </c>
      <c r="H156" s="38">
        <f t="shared" si="28"/>
        <v>108</v>
      </c>
      <c r="I156" s="39">
        <f t="shared" si="29"/>
        <v>108.3750855578371</v>
      </c>
      <c r="J156" s="40">
        <f t="shared" si="30"/>
        <v>13</v>
      </c>
      <c r="K156" s="43">
        <f>VLOOKUP(J156,Data!$Z$3:$AA$122,2)</f>
        <v>2.3347124375675148E-2</v>
      </c>
      <c r="L156" s="41">
        <f t="shared" si="31"/>
        <v>0.37508555783709596</v>
      </c>
      <c r="M156" s="43">
        <f>VLOOKUP(H156,Data!$P$3:$X$122,9)</f>
        <v>0.41975928481388092</v>
      </c>
      <c r="N156" s="43">
        <f t="shared" si="34"/>
        <v>0.85432324865804521</v>
      </c>
      <c r="O156" s="43">
        <f t="shared" si="35"/>
        <v>1.9945991143450227E-2</v>
      </c>
      <c r="P156" s="30">
        <f t="shared" si="36"/>
        <v>247.41279427183511</v>
      </c>
      <c r="Q156" s="31">
        <f t="shared" si="38"/>
        <v>842619.53770175821</v>
      </c>
    </row>
    <row r="157" spans="1:17" x14ac:dyDescent="0.25">
      <c r="A157" s="6">
        <f t="shared" si="37"/>
        <v>47968</v>
      </c>
      <c r="B157" s="30">
        <f>IFERROR(VLOOKUP(A157, Data!$L$3:$N$123, 3),1)*Pension</f>
        <v>40304.373893285272</v>
      </c>
      <c r="C157" s="37">
        <f t="shared" si="26"/>
        <v>12.832306639288159</v>
      </c>
      <c r="D157" s="37">
        <f>IFERROR(VLOOKUP(A157,Data!$I$3:$J$1442,2),0)</f>
        <v>9.2660769000000004E-2</v>
      </c>
      <c r="E157" s="37">
        <f t="shared" si="27"/>
        <v>9.2460768999999998E-2</v>
      </c>
      <c r="F157" s="37">
        <f t="shared" si="32"/>
        <v>0.3052925017191998</v>
      </c>
      <c r="G157" s="30">
        <f t="shared" si="33"/>
        <v>12304.623136107066</v>
      </c>
      <c r="H157" s="38">
        <f t="shared" si="28"/>
        <v>108</v>
      </c>
      <c r="I157" s="39">
        <f t="shared" si="29"/>
        <v>108.45722108145107</v>
      </c>
      <c r="J157" s="40">
        <f t="shared" si="30"/>
        <v>13</v>
      </c>
      <c r="K157" s="43">
        <f>VLOOKUP(J157,Data!$Z$3:$AA$122,2)</f>
        <v>2.3347124375675148E-2</v>
      </c>
      <c r="L157" s="41">
        <f t="shared" si="31"/>
        <v>0.45722108145106688</v>
      </c>
      <c r="M157" s="43">
        <f>VLOOKUP(H157,Data!$P$3:$X$122,9)</f>
        <v>0.41975928481388092</v>
      </c>
      <c r="N157" s="43">
        <f t="shared" si="34"/>
        <v>0.82537058946833253</v>
      </c>
      <c r="O157" s="43">
        <f t="shared" si="35"/>
        <v>1.9270029808341471E-2</v>
      </c>
      <c r="P157" s="30">
        <f t="shared" si="36"/>
        <v>237.11045461319128</v>
      </c>
      <c r="Q157" s="31">
        <f t="shared" si="38"/>
        <v>842856.64815637143</v>
      </c>
    </row>
    <row r="158" spans="1:17" x14ac:dyDescent="0.25">
      <c r="A158" s="6">
        <f t="shared" si="37"/>
        <v>47999</v>
      </c>
      <c r="B158" s="30">
        <f>IFERROR(VLOOKUP(A158, Data!$L$3:$N$123, 3),1)*Pension</f>
        <v>40304.373893285272</v>
      </c>
      <c r="C158" s="37">
        <f t="shared" si="26"/>
        <v>12.917180013689254</v>
      </c>
      <c r="D158" s="37">
        <f>IFERROR(VLOOKUP(A158,Data!$I$3:$J$1442,2),0)</f>
        <v>9.2697616999999996E-2</v>
      </c>
      <c r="E158" s="37">
        <f t="shared" si="27"/>
        <v>9.249761699999999E-2</v>
      </c>
      <c r="F158" s="37">
        <f t="shared" si="32"/>
        <v>0.30276196701234098</v>
      </c>
      <c r="G158" s="30">
        <f t="shared" si="33"/>
        <v>12202.631519131892</v>
      </c>
      <c r="H158" s="38">
        <f t="shared" si="28"/>
        <v>108</v>
      </c>
      <c r="I158" s="39">
        <f t="shared" si="29"/>
        <v>108.54209445585215</v>
      </c>
      <c r="J158" s="40">
        <f t="shared" si="30"/>
        <v>13</v>
      </c>
      <c r="K158" s="43">
        <f>VLOOKUP(J158,Data!$Z$3:$AA$122,2)</f>
        <v>2.3347124375675148E-2</v>
      </c>
      <c r="L158" s="41">
        <f t="shared" si="31"/>
        <v>0.54209445585215121</v>
      </c>
      <c r="M158" s="43">
        <f>VLOOKUP(H158,Data!$P$3:$X$122,9)</f>
        <v>0.41975928481388092</v>
      </c>
      <c r="N158" s="43">
        <f t="shared" si="34"/>
        <v>0.79648324861982867</v>
      </c>
      <c r="O158" s="43">
        <f t="shared" si="35"/>
        <v>1.8595593468668931E-2</v>
      </c>
      <c r="P158" s="30">
        <f t="shared" si="36"/>
        <v>226.91517497774262</v>
      </c>
      <c r="Q158" s="31">
        <f t="shared" si="38"/>
        <v>843083.56333134917</v>
      </c>
    </row>
    <row r="159" spans="1:17" x14ac:dyDescent="0.25">
      <c r="A159" s="6">
        <f t="shared" si="37"/>
        <v>48029</v>
      </c>
      <c r="B159" s="30">
        <f>IFERROR(VLOOKUP(A159, Data!$L$3:$N$123, 3),1)*Pension</f>
        <v>40304.373893285272</v>
      </c>
      <c r="C159" s="37">
        <f t="shared" si="26"/>
        <v>12.999315537303216</v>
      </c>
      <c r="D159" s="37">
        <f>IFERROR(VLOOKUP(A159,Data!$I$3:$J$1442,2),0)</f>
        <v>9.2732081999999993E-2</v>
      </c>
      <c r="E159" s="37">
        <f t="shared" si="27"/>
        <v>9.2532081999999988E-2</v>
      </c>
      <c r="F159" s="37">
        <f t="shared" si="32"/>
        <v>0.30033590984407321</v>
      </c>
      <c r="G159" s="30">
        <f t="shared" si="33"/>
        <v>12104.850803935544</v>
      </c>
      <c r="H159" s="38">
        <f t="shared" si="28"/>
        <v>108</v>
      </c>
      <c r="I159" s="39">
        <f t="shared" si="29"/>
        <v>108.62422997946612</v>
      </c>
      <c r="J159" s="40">
        <f t="shared" si="30"/>
        <v>13</v>
      </c>
      <c r="K159" s="43">
        <f>VLOOKUP(J159,Data!$Z$3:$AA$122,2)</f>
        <v>2.3347124375675148E-2</v>
      </c>
      <c r="L159" s="41">
        <f t="shared" si="31"/>
        <v>0.62422997946612213</v>
      </c>
      <c r="M159" s="43">
        <f>VLOOKUP(H159,Data!$P$3:$X$122,9)</f>
        <v>0.41975928481388092</v>
      </c>
      <c r="N159" s="43">
        <f t="shared" si="34"/>
        <v>0.76949076294906205</v>
      </c>
      <c r="O159" s="43">
        <f t="shared" si="35"/>
        <v>1.7965396548504913E-2</v>
      </c>
      <c r="P159" s="30">
        <f t="shared" si="36"/>
        <v>217.46844485319053</v>
      </c>
      <c r="Q159" s="31">
        <f t="shared" si="38"/>
        <v>843301.03177620238</v>
      </c>
    </row>
    <row r="160" spans="1:17" x14ac:dyDescent="0.25">
      <c r="A160" s="6">
        <f t="shared" si="37"/>
        <v>48060</v>
      </c>
      <c r="B160" s="30">
        <f>IFERROR(VLOOKUP(A160, Data!$L$3:$N$123, 3),1)*Pension</f>
        <v>40304.373893285272</v>
      </c>
      <c r="C160" s="37">
        <f t="shared" si="26"/>
        <v>13.084188911704311</v>
      </c>
      <c r="D160" s="37">
        <f>IFERROR(VLOOKUP(A160,Data!$I$3:$J$1442,2),0)</f>
        <v>9.2745293000000006E-2</v>
      </c>
      <c r="E160" s="37">
        <f t="shared" si="27"/>
        <v>9.2545293000000001E-2</v>
      </c>
      <c r="F160" s="37">
        <f t="shared" si="32"/>
        <v>0.29793495250108409</v>
      </c>
      <c r="G160" s="30">
        <f t="shared" si="33"/>
        <v>12008.081721481882</v>
      </c>
      <c r="H160" s="38">
        <f t="shared" si="28"/>
        <v>108</v>
      </c>
      <c r="I160" s="39">
        <f t="shared" si="29"/>
        <v>108.70910335386722</v>
      </c>
      <c r="J160" s="40">
        <f t="shared" si="30"/>
        <v>13</v>
      </c>
      <c r="K160" s="43">
        <f>VLOOKUP(J160,Data!$Z$3:$AA$122,2)</f>
        <v>2.3347124375675148E-2</v>
      </c>
      <c r="L160" s="41">
        <f t="shared" si="31"/>
        <v>0.70910335386722068</v>
      </c>
      <c r="M160" s="43">
        <f>VLOOKUP(H160,Data!$P$3:$X$122,9)</f>
        <v>0.41975928481388092</v>
      </c>
      <c r="N160" s="43">
        <f t="shared" si="34"/>
        <v>0.74255917339071931</v>
      </c>
      <c r="O160" s="43">
        <f t="shared" si="35"/>
        <v>1.733662137745165E-2</v>
      </c>
      <c r="P160" s="30">
        <f t="shared" si="36"/>
        <v>208.1795662748292</v>
      </c>
      <c r="Q160" s="31">
        <f t="shared" si="38"/>
        <v>843509.21134247724</v>
      </c>
    </row>
    <row r="161" spans="1:17" x14ac:dyDescent="0.25">
      <c r="A161" s="6">
        <f t="shared" si="37"/>
        <v>48091</v>
      </c>
      <c r="B161" s="30">
        <f>IFERROR(VLOOKUP(A161, Data!$L$3:$N$123, 3),1)*Pension</f>
        <v>40304.373893285272</v>
      </c>
      <c r="C161" s="37">
        <f t="shared" si="26"/>
        <v>13.169062286105408</v>
      </c>
      <c r="D161" s="37">
        <f>IFERROR(VLOOKUP(A161,Data!$I$3:$J$1442,2),0)</f>
        <v>9.2758333999999998E-2</v>
      </c>
      <c r="E161" s="37">
        <f t="shared" si="27"/>
        <v>9.2558333999999992E-2</v>
      </c>
      <c r="F161" s="37">
        <f t="shared" si="32"/>
        <v>0.29555318786902979</v>
      </c>
      <c r="G161" s="30">
        <f t="shared" si="33"/>
        <v>11912.086189225762</v>
      </c>
      <c r="H161" s="38">
        <f t="shared" si="28"/>
        <v>108</v>
      </c>
      <c r="I161" s="39">
        <f t="shared" si="29"/>
        <v>108.79397672826831</v>
      </c>
      <c r="J161" s="40">
        <f t="shared" si="30"/>
        <v>13</v>
      </c>
      <c r="K161" s="43">
        <f>VLOOKUP(J161,Data!$Z$3:$AA$122,2)</f>
        <v>2.3347124375675148E-2</v>
      </c>
      <c r="L161" s="41">
        <f t="shared" si="31"/>
        <v>0.79397672826830501</v>
      </c>
      <c r="M161" s="43">
        <f>VLOOKUP(H161,Data!$P$3:$X$122,9)</f>
        <v>0.41975928481388092</v>
      </c>
      <c r="N161" s="43">
        <f t="shared" si="34"/>
        <v>0.7165701689173003</v>
      </c>
      <c r="O161" s="43">
        <f t="shared" si="35"/>
        <v>1.672985285761076E-2</v>
      </c>
      <c r="P161" s="30">
        <f t="shared" si="36"/>
        <v>199.28744917292428</v>
      </c>
      <c r="Q161" s="31">
        <f t="shared" si="38"/>
        <v>843708.49879165017</v>
      </c>
    </row>
    <row r="162" spans="1:17" x14ac:dyDescent="0.25">
      <c r="A162" s="6">
        <f t="shared" si="37"/>
        <v>48121</v>
      </c>
      <c r="B162" s="30">
        <f>IFERROR(VLOOKUP(A162, Data!$L$3:$N$123, 3),1)*Pension</f>
        <v>40304.373893285272</v>
      </c>
      <c r="C162" s="37">
        <f t="shared" si="26"/>
        <v>13.25119780971937</v>
      </c>
      <c r="D162" s="37">
        <f>IFERROR(VLOOKUP(A162,Data!$I$3:$J$1442,2),0)</f>
        <v>9.2770577000000007E-2</v>
      </c>
      <c r="E162" s="37">
        <f t="shared" si="27"/>
        <v>9.2570577000000001E-2</v>
      </c>
      <c r="F162" s="37">
        <f t="shared" si="32"/>
        <v>0.29326723312608272</v>
      </c>
      <c r="G162" s="30">
        <f t="shared" si="33"/>
        <v>11819.952214562894</v>
      </c>
      <c r="H162" s="38">
        <f t="shared" si="28"/>
        <v>108</v>
      </c>
      <c r="I162" s="39">
        <f t="shared" si="29"/>
        <v>108.87611225188228</v>
      </c>
      <c r="J162" s="40">
        <f t="shared" si="30"/>
        <v>13</v>
      </c>
      <c r="K162" s="43">
        <f>VLOOKUP(J162,Data!$Z$3:$AA$122,2)</f>
        <v>2.3347124375675148E-2</v>
      </c>
      <c r="L162" s="41">
        <f t="shared" si="31"/>
        <v>0.87611225188227593</v>
      </c>
      <c r="M162" s="43">
        <f>VLOOKUP(H162,Data!$P$3:$X$122,9)</f>
        <v>0.41975928481388092</v>
      </c>
      <c r="N162" s="43">
        <f t="shared" si="34"/>
        <v>0.69228590424492265</v>
      </c>
      <c r="O162" s="43">
        <f t="shared" si="35"/>
        <v>1.6162885109932943E-2</v>
      </c>
      <c r="P162" s="30">
        <f t="shared" si="36"/>
        <v>191.04452964887753</v>
      </c>
      <c r="Q162" s="31">
        <f t="shared" si="38"/>
        <v>843899.54332129902</v>
      </c>
    </row>
    <row r="163" spans="1:17" x14ac:dyDescent="0.25">
      <c r="A163" s="6">
        <f t="shared" si="37"/>
        <v>48152</v>
      </c>
      <c r="B163" s="30">
        <f>IFERROR(VLOOKUP(A163, Data!$L$3:$N$123, 3),1)*Pension</f>
        <v>40304.373893285272</v>
      </c>
      <c r="C163" s="37">
        <f t="shared" si="26"/>
        <v>13.336071184120465</v>
      </c>
      <c r="D163" s="37">
        <f>IFERROR(VLOOKUP(A163,Data!$I$3:$J$1442,2),0)</f>
        <v>9.2776605999999998E-2</v>
      </c>
      <c r="E163" s="37">
        <f t="shared" si="27"/>
        <v>9.2576605999999992E-2</v>
      </c>
      <c r="F163" s="37">
        <f t="shared" si="32"/>
        <v>0.2909487315419938</v>
      </c>
      <c r="G163" s="30">
        <f t="shared" si="33"/>
        <v>11726.506459845599</v>
      </c>
      <c r="H163" s="38">
        <f t="shared" si="28"/>
        <v>108</v>
      </c>
      <c r="I163" s="39">
        <f t="shared" si="29"/>
        <v>108.96098562628337</v>
      </c>
      <c r="J163" s="40">
        <f t="shared" si="30"/>
        <v>13</v>
      </c>
      <c r="K163" s="43">
        <f>VLOOKUP(J163,Data!$Z$3:$AA$122,2)</f>
        <v>2.3347124375675148E-2</v>
      </c>
      <c r="L163" s="41">
        <f t="shared" si="31"/>
        <v>0.96098562628337447</v>
      </c>
      <c r="M163" s="43">
        <f>VLOOKUP(H163,Data!$P$3:$X$122,9)</f>
        <v>0.41975928481388092</v>
      </c>
      <c r="N163" s="43">
        <f t="shared" si="34"/>
        <v>0.66805642583156755</v>
      </c>
      <c r="O163" s="43">
        <f t="shared" si="35"/>
        <v>1.5597196463858607E-2</v>
      </c>
      <c r="P163" s="30">
        <f t="shared" si="36"/>
        <v>182.9006250889189</v>
      </c>
      <c r="Q163" s="31">
        <f t="shared" si="38"/>
        <v>844082.44394638797</v>
      </c>
    </row>
    <row r="164" spans="1:17" x14ac:dyDescent="0.25">
      <c r="A164" s="6">
        <f t="shared" si="37"/>
        <v>48182</v>
      </c>
      <c r="B164" s="30">
        <f>IFERROR(VLOOKUP(A164, Data!$L$3:$N$123, 3),1)*Pension</f>
        <v>40304.373893285272</v>
      </c>
      <c r="C164" s="37">
        <f t="shared" si="26"/>
        <v>13.418206707734429</v>
      </c>
      <c r="D164" s="37">
        <f>IFERROR(VLOOKUP(A164,Data!$I$3:$J$1442,2),0)</f>
        <v>9.2782368000000004E-2</v>
      </c>
      <c r="E164" s="37">
        <f t="shared" si="27"/>
        <v>9.2582367999999998E-2</v>
      </c>
      <c r="F164" s="37">
        <f t="shared" si="32"/>
        <v>0.28872247357071024</v>
      </c>
      <c r="G164" s="30">
        <f t="shared" si="33"/>
        <v>11636.77852618808</v>
      </c>
      <c r="H164" s="38">
        <f t="shared" si="28"/>
        <v>109</v>
      </c>
      <c r="I164" s="39">
        <f t="shared" si="29"/>
        <v>109.04312114989733</v>
      </c>
      <c r="J164" s="40">
        <f t="shared" si="30"/>
        <v>14</v>
      </c>
      <c r="K164" s="43">
        <f>VLOOKUP(J164,Data!$Z$3:$AA$122,2)</f>
        <v>1.5343846875315587E-2</v>
      </c>
      <c r="L164" s="41">
        <f t="shared" si="31"/>
        <v>4.3121149897331179E-2</v>
      </c>
      <c r="M164" s="43">
        <f>VLOOKUP(H164,Data!$P$3:$X$122,9)</f>
        <v>0.44034386122762026</v>
      </c>
      <c r="N164" s="43">
        <f t="shared" si="34"/>
        <v>0.98119100533317727</v>
      </c>
      <c r="O164" s="43">
        <f t="shared" si="35"/>
        <v>1.5055244541269231E-2</v>
      </c>
      <c r="P164" s="30">
        <f t="shared" si="36"/>
        <v>175.19454638435209</v>
      </c>
      <c r="Q164" s="31">
        <f t="shared" si="38"/>
        <v>844257.63849277236</v>
      </c>
    </row>
    <row r="165" spans="1:17" x14ac:dyDescent="0.25">
      <c r="A165" s="6">
        <f t="shared" si="37"/>
        <v>48213</v>
      </c>
      <c r="B165" s="30">
        <f>IFERROR(VLOOKUP(A165, Data!$L$3:$N$123, 3),1)*Pension</f>
        <v>42319.592587949526</v>
      </c>
      <c r="C165" s="37">
        <f t="shared" si="26"/>
        <v>13.503080082135524</v>
      </c>
      <c r="D165" s="37">
        <f>IFERROR(VLOOKUP(A165,Data!$I$3:$J$1442,2),0)</f>
        <v>9.2787250000000002E-2</v>
      </c>
      <c r="E165" s="37">
        <f t="shared" si="27"/>
        <v>9.2587249999999996E-2</v>
      </c>
      <c r="F165" s="37">
        <f t="shared" si="32"/>
        <v>0.28644376313270986</v>
      </c>
      <c r="G165" s="30">
        <f t="shared" si="33"/>
        <v>12122.183355135398</v>
      </c>
      <c r="H165" s="38">
        <f t="shared" si="28"/>
        <v>109</v>
      </c>
      <c r="I165" s="39">
        <f t="shared" si="29"/>
        <v>109.12799452429843</v>
      </c>
      <c r="J165" s="40">
        <f t="shared" si="30"/>
        <v>14</v>
      </c>
      <c r="K165" s="43">
        <f>VLOOKUP(J165,Data!$Z$3:$AA$122,2)</f>
        <v>1.5343846875315587E-2</v>
      </c>
      <c r="L165" s="41">
        <f t="shared" si="31"/>
        <v>0.12799452429842972</v>
      </c>
      <c r="M165" s="43">
        <f>VLOOKUP(H165,Data!$P$3:$X$122,9)</f>
        <v>0.44034386122762026</v>
      </c>
      <c r="N165" s="43">
        <f t="shared" si="34"/>
        <v>0.94519728786952695</v>
      </c>
      <c r="O165" s="43">
        <f t="shared" si="35"/>
        <v>1.4502962452033608E-2</v>
      </c>
      <c r="P165" s="30">
        <f t="shared" si="36"/>
        <v>175.80757003619544</v>
      </c>
      <c r="Q165" s="31">
        <f t="shared" si="38"/>
        <v>844433.44606280851</v>
      </c>
    </row>
    <row r="166" spans="1:17" x14ac:dyDescent="0.25">
      <c r="A166" s="6">
        <f t="shared" si="37"/>
        <v>48244</v>
      </c>
      <c r="B166" s="30">
        <f>IFERROR(VLOOKUP(A166, Data!$L$3:$N$123, 3),1)*Pension</f>
        <v>42319.592587949526</v>
      </c>
      <c r="C166" s="37">
        <f t="shared" si="26"/>
        <v>13.587953456536619</v>
      </c>
      <c r="D166" s="37">
        <f>IFERROR(VLOOKUP(A166,Data!$I$3:$J$1442,2),0)</f>
        <v>9.2777692999999994E-2</v>
      </c>
      <c r="E166" s="37">
        <f t="shared" si="27"/>
        <v>9.2577692999999989E-2</v>
      </c>
      <c r="F166" s="37">
        <f t="shared" si="32"/>
        <v>0.28423856279291437</v>
      </c>
      <c r="G166" s="30">
        <f t="shared" si="33"/>
        <v>12028.860175180445</v>
      </c>
      <c r="H166" s="38">
        <f t="shared" si="28"/>
        <v>109</v>
      </c>
      <c r="I166" s="39">
        <f t="shared" si="29"/>
        <v>109.21286789869951</v>
      </c>
      <c r="J166" s="40">
        <f t="shared" si="30"/>
        <v>14</v>
      </c>
      <c r="K166" s="43">
        <f>VLOOKUP(J166,Data!$Z$3:$AA$122,2)</f>
        <v>1.5343846875315587E-2</v>
      </c>
      <c r="L166" s="41">
        <f t="shared" si="31"/>
        <v>0.21286789869951406</v>
      </c>
      <c r="M166" s="43">
        <f>VLOOKUP(H166,Data!$P$3:$X$122,9)</f>
        <v>0.44034386122762026</v>
      </c>
      <c r="N166" s="43">
        <f t="shared" si="34"/>
        <v>0.91052395317520163</v>
      </c>
      <c r="O166" s="43">
        <f t="shared" si="35"/>
        <v>1.3970940113827313E-2</v>
      </c>
      <c r="P166" s="30">
        <f t="shared" si="36"/>
        <v>168.05448514504832</v>
      </c>
      <c r="Q166" s="31">
        <f t="shared" si="38"/>
        <v>844601.50054795353</v>
      </c>
    </row>
    <row r="167" spans="1:17" x14ac:dyDescent="0.25">
      <c r="A167" s="6">
        <f t="shared" si="37"/>
        <v>48273</v>
      </c>
      <c r="B167" s="30">
        <f>IFERROR(VLOOKUP(A167, Data!$L$3:$N$123, 3),1)*Pension</f>
        <v>42319.592587949526</v>
      </c>
      <c r="C167" s="37">
        <f t="shared" si="26"/>
        <v>13.66735112936345</v>
      </c>
      <c r="D167" s="37">
        <f>IFERROR(VLOOKUP(A167,Data!$I$3:$J$1442,2),0)</f>
        <v>9.2768859999999995E-2</v>
      </c>
      <c r="E167" s="37">
        <f t="shared" si="27"/>
        <v>9.2568859999999989E-2</v>
      </c>
      <c r="F167" s="37">
        <f t="shared" si="32"/>
        <v>0.28219100538479364</v>
      </c>
      <c r="G167" s="30">
        <f t="shared" si="33"/>
        <v>11942.208379868338</v>
      </c>
      <c r="H167" s="38">
        <f t="shared" si="28"/>
        <v>109</v>
      </c>
      <c r="I167" s="39">
        <f t="shared" si="29"/>
        <v>109.29226557152636</v>
      </c>
      <c r="J167" s="40">
        <f t="shared" si="30"/>
        <v>14</v>
      </c>
      <c r="K167" s="43">
        <f>VLOOKUP(J167,Data!$Z$3:$AA$122,2)</f>
        <v>1.5343846875315587E-2</v>
      </c>
      <c r="L167" s="41">
        <f t="shared" si="31"/>
        <v>0.29226557152635735</v>
      </c>
      <c r="M167" s="43">
        <f>VLOOKUP(H167,Data!$P$3:$X$122,9)</f>
        <v>0.44034386122762026</v>
      </c>
      <c r="N167" s="43">
        <f t="shared" si="34"/>
        <v>0.87924002703878523</v>
      </c>
      <c r="O167" s="43">
        <f t="shared" si="35"/>
        <v>1.3490924341531457E-2</v>
      </c>
      <c r="P167" s="30">
        <f t="shared" si="36"/>
        <v>161.1114297236067</v>
      </c>
      <c r="Q167" s="31">
        <f t="shared" si="38"/>
        <v>844762.61197767709</v>
      </c>
    </row>
    <row r="168" spans="1:17" x14ac:dyDescent="0.25">
      <c r="A168" s="6">
        <f t="shared" si="37"/>
        <v>48304</v>
      </c>
      <c r="B168" s="30">
        <f>IFERROR(VLOOKUP(A168, Data!$L$3:$N$123, 3),1)*Pension</f>
        <v>42319.592587949526</v>
      </c>
      <c r="C168" s="37">
        <f t="shared" si="26"/>
        <v>13.752224503764545</v>
      </c>
      <c r="D168" s="37">
        <f>IFERROR(VLOOKUP(A168,Data!$I$3:$J$1442,2),0)</f>
        <v>9.2759451000000007E-2</v>
      </c>
      <c r="E168" s="37">
        <f t="shared" si="27"/>
        <v>9.2559451000000001E-2</v>
      </c>
      <c r="F168" s="37">
        <f t="shared" si="32"/>
        <v>0.28001885183499375</v>
      </c>
      <c r="G168" s="30">
        <f t="shared" si="33"/>
        <v>11850.283726602338</v>
      </c>
      <c r="H168" s="38">
        <f t="shared" si="28"/>
        <v>109</v>
      </c>
      <c r="I168" s="39">
        <f t="shared" si="29"/>
        <v>109.37713894592744</v>
      </c>
      <c r="J168" s="40">
        <f t="shared" si="30"/>
        <v>14</v>
      </c>
      <c r="K168" s="43">
        <f>VLOOKUP(J168,Data!$Z$3:$AA$122,2)</f>
        <v>1.5343846875315587E-2</v>
      </c>
      <c r="L168" s="41">
        <f t="shared" si="31"/>
        <v>0.37713894592744168</v>
      </c>
      <c r="M168" s="43">
        <f>VLOOKUP(H168,Data!$P$3:$X$122,9)</f>
        <v>0.44034386122762026</v>
      </c>
      <c r="N168" s="43">
        <f t="shared" si="34"/>
        <v>0.84698624877956152</v>
      </c>
      <c r="O168" s="43">
        <f t="shared" si="35"/>
        <v>1.2996027306771546E-2</v>
      </c>
      <c r="P168" s="30">
        <f t="shared" si="36"/>
        <v>154.00661090391446</v>
      </c>
      <c r="Q168" s="31">
        <f t="shared" si="38"/>
        <v>844916.61858858098</v>
      </c>
    </row>
    <row r="169" spans="1:17" x14ac:dyDescent="0.25">
      <c r="A169" s="6">
        <f t="shared" si="37"/>
        <v>48334</v>
      </c>
      <c r="B169" s="30">
        <f>IFERROR(VLOOKUP(A169, Data!$L$3:$N$123, 3),1)*Pension</f>
        <v>42319.592587949526</v>
      </c>
      <c r="C169" s="37">
        <f t="shared" si="26"/>
        <v>13.834360027378509</v>
      </c>
      <c r="D169" s="37">
        <f>IFERROR(VLOOKUP(A169,Data!$I$3:$J$1442,2),0)</f>
        <v>9.2749342999999998E-2</v>
      </c>
      <c r="E169" s="37">
        <f t="shared" si="27"/>
        <v>9.2549342999999992E-2</v>
      </c>
      <c r="F169" s="37">
        <f t="shared" si="32"/>
        <v>0.2779369661803755</v>
      </c>
      <c r="G169" s="30">
        <f t="shared" si="33"/>
        <v>11762.179173884197</v>
      </c>
      <c r="H169" s="38">
        <f t="shared" si="28"/>
        <v>109</v>
      </c>
      <c r="I169" s="39">
        <f t="shared" si="29"/>
        <v>109.45927446954141</v>
      </c>
      <c r="J169" s="40">
        <f t="shared" si="30"/>
        <v>14</v>
      </c>
      <c r="K169" s="43">
        <f>VLOOKUP(J169,Data!$Z$3:$AA$122,2)</f>
        <v>1.5343846875315587E-2</v>
      </c>
      <c r="L169" s="41">
        <f t="shared" si="31"/>
        <v>0.4592744695414126</v>
      </c>
      <c r="M169" s="43">
        <f>VLOOKUP(H169,Data!$P$3:$X$122,9)</f>
        <v>0.44034386122762026</v>
      </c>
      <c r="N169" s="43">
        <f t="shared" si="34"/>
        <v>0.81689991614781765</v>
      </c>
      <c r="O169" s="43">
        <f t="shared" si="35"/>
        <v>1.2534387225830257E-2</v>
      </c>
      <c r="P169" s="30">
        <f t="shared" si="36"/>
        <v>147.43170838506074</v>
      </c>
      <c r="Q169" s="31">
        <f t="shared" si="38"/>
        <v>845064.05029696599</v>
      </c>
    </row>
    <row r="170" spans="1:17" x14ac:dyDescent="0.25">
      <c r="A170" s="6">
        <f t="shared" si="37"/>
        <v>48365</v>
      </c>
      <c r="B170" s="30">
        <f>IFERROR(VLOOKUP(A170, Data!$L$3:$N$123, 3),1)*Pension</f>
        <v>42319.592587949526</v>
      </c>
      <c r="C170" s="37">
        <f t="shared" si="26"/>
        <v>13.919233401779604</v>
      </c>
      <c r="D170" s="37">
        <f>IFERROR(VLOOKUP(A170,Data!$I$3:$J$1442,2),0)</f>
        <v>9.2739024000000003E-2</v>
      </c>
      <c r="E170" s="37">
        <f t="shared" si="27"/>
        <v>9.2539023999999998E-2</v>
      </c>
      <c r="F170" s="37">
        <f t="shared" si="32"/>
        <v>0.27580194158203353</v>
      </c>
      <c r="G170" s="30">
        <f t="shared" si="33"/>
        <v>11671.825802717114</v>
      </c>
      <c r="H170" s="38">
        <f t="shared" si="28"/>
        <v>109</v>
      </c>
      <c r="I170" s="39">
        <f t="shared" si="29"/>
        <v>109.54414784394251</v>
      </c>
      <c r="J170" s="40">
        <f t="shared" si="30"/>
        <v>14</v>
      </c>
      <c r="K170" s="43">
        <f>VLOOKUP(J170,Data!$Z$3:$AA$122,2)</f>
        <v>1.5343846875315587E-2</v>
      </c>
      <c r="L170" s="41">
        <f t="shared" si="31"/>
        <v>0.54414784394251114</v>
      </c>
      <c r="M170" s="43">
        <f>VLOOKUP(H170,Data!$P$3:$X$122,9)</f>
        <v>0.44034386122762026</v>
      </c>
      <c r="N170" s="43">
        <f t="shared" si="34"/>
        <v>0.78693300387682719</v>
      </c>
      <c r="O170" s="43">
        <f t="shared" si="35"/>
        <v>1.2074579512618163E-2</v>
      </c>
      <c r="P170" s="30">
        <f t="shared" si="36"/>
        <v>140.93238871233612</v>
      </c>
      <c r="Q170" s="31">
        <f t="shared" si="38"/>
        <v>845204.98268567829</v>
      </c>
    </row>
    <row r="171" spans="1:17" x14ac:dyDescent="0.25">
      <c r="A171" s="6">
        <f t="shared" si="37"/>
        <v>48395</v>
      </c>
      <c r="B171" s="30">
        <f>IFERROR(VLOOKUP(A171, Data!$L$3:$N$123, 3),1)*Pension</f>
        <v>42319.592587949526</v>
      </c>
      <c r="C171" s="37">
        <f t="shared" si="26"/>
        <v>14.001368925393566</v>
      </c>
      <c r="D171" s="37">
        <f>IFERROR(VLOOKUP(A171,Data!$I$3:$J$1442,2),0)</f>
        <v>9.2728856999999998E-2</v>
      </c>
      <c r="E171" s="37">
        <f t="shared" si="27"/>
        <v>9.2528856999999992E-2</v>
      </c>
      <c r="F171" s="37">
        <f t="shared" si="32"/>
        <v>0.27375255539958665</v>
      </c>
      <c r="G171" s="30">
        <f t="shared" si="33"/>
        <v>11585.096614420589</v>
      </c>
      <c r="H171" s="38">
        <f t="shared" si="28"/>
        <v>109</v>
      </c>
      <c r="I171" s="39">
        <f t="shared" si="29"/>
        <v>109.62628336755647</v>
      </c>
      <c r="J171" s="40">
        <f t="shared" si="30"/>
        <v>14</v>
      </c>
      <c r="K171" s="43">
        <f>VLOOKUP(J171,Data!$Z$3:$AA$122,2)</f>
        <v>1.5343846875315587E-2</v>
      </c>
      <c r="L171" s="41">
        <f t="shared" si="31"/>
        <v>0.62628336755646785</v>
      </c>
      <c r="M171" s="43">
        <f>VLOOKUP(H171,Data!$P$3:$X$122,9)</f>
        <v>0.44034386122762026</v>
      </c>
      <c r="N171" s="43">
        <f t="shared" si="34"/>
        <v>0.7589798604253879</v>
      </c>
      <c r="O171" s="43">
        <f t="shared" si="35"/>
        <v>1.1645670759815548E-2</v>
      </c>
      <c r="P171" s="30">
        <f t="shared" si="36"/>
        <v>134.91622089219595</v>
      </c>
      <c r="Q171" s="31">
        <f t="shared" si="38"/>
        <v>845339.89890657051</v>
      </c>
    </row>
    <row r="172" spans="1:17" x14ac:dyDescent="0.25">
      <c r="A172" s="6">
        <f t="shared" si="37"/>
        <v>48426</v>
      </c>
      <c r="B172" s="30">
        <f>IFERROR(VLOOKUP(A172, Data!$L$3:$N$123, 3),1)*Pension</f>
        <v>42319.592587949526</v>
      </c>
      <c r="C172" s="37">
        <f t="shared" si="26"/>
        <v>14.086242299794661</v>
      </c>
      <c r="D172" s="37">
        <f>IFERROR(VLOOKUP(A172,Data!$I$3:$J$1442,2),0)</f>
        <v>9.2709564999999994E-2</v>
      </c>
      <c r="E172" s="37">
        <f t="shared" si="27"/>
        <v>9.2509564999999988E-2</v>
      </c>
      <c r="F172" s="37">
        <f t="shared" si="32"/>
        <v>0.27168495228809492</v>
      </c>
      <c r="G172" s="30">
        <f t="shared" si="33"/>
        <v>11497.596493108682</v>
      </c>
      <c r="H172" s="38">
        <f t="shared" si="28"/>
        <v>109</v>
      </c>
      <c r="I172" s="39">
        <f t="shared" si="29"/>
        <v>109.71115674195757</v>
      </c>
      <c r="J172" s="40">
        <f t="shared" si="30"/>
        <v>14</v>
      </c>
      <c r="K172" s="43">
        <f>VLOOKUP(J172,Data!$Z$3:$AA$122,2)</f>
        <v>1.5343846875315587E-2</v>
      </c>
      <c r="L172" s="41">
        <f t="shared" si="31"/>
        <v>0.7111567419575664</v>
      </c>
      <c r="M172" s="43">
        <f>VLOOKUP(H172,Data!$P$3:$X$122,9)</f>
        <v>0.44034386122762026</v>
      </c>
      <c r="N172" s="43">
        <f t="shared" si="34"/>
        <v>0.73113767016042941</v>
      </c>
      <c r="O172" s="43">
        <f t="shared" si="35"/>
        <v>1.1218464455716623E-2</v>
      </c>
      <c r="P172" s="30">
        <f t="shared" si="36"/>
        <v>128.98537758411186</v>
      </c>
      <c r="Q172" s="31">
        <f t="shared" si="38"/>
        <v>845468.88428415463</v>
      </c>
    </row>
    <row r="173" spans="1:17" x14ac:dyDescent="0.25">
      <c r="A173" s="6">
        <f t="shared" si="37"/>
        <v>48457</v>
      </c>
      <c r="B173" s="30">
        <f>IFERROR(VLOOKUP(A173, Data!$L$3:$N$123, 3),1)*Pension</f>
        <v>42319.592587949526</v>
      </c>
      <c r="C173" s="37">
        <f t="shared" si="26"/>
        <v>14.171115674195756</v>
      </c>
      <c r="D173" s="37">
        <f>IFERROR(VLOOKUP(A173,Data!$I$3:$J$1442,2),0)</f>
        <v>9.2690505000000006E-2</v>
      </c>
      <c r="E173" s="37">
        <f t="shared" si="27"/>
        <v>9.2490505000000001E-2</v>
      </c>
      <c r="F173" s="37">
        <f t="shared" si="32"/>
        <v>0.26963296191544101</v>
      </c>
      <c r="G173" s="30">
        <f t="shared" si="33"/>
        <v>11410.757096543573</v>
      </c>
      <c r="H173" s="38">
        <f t="shared" si="28"/>
        <v>109</v>
      </c>
      <c r="I173" s="39">
        <f t="shared" si="29"/>
        <v>109.79603011635866</v>
      </c>
      <c r="J173" s="40">
        <f t="shared" si="30"/>
        <v>14</v>
      </c>
      <c r="K173" s="43">
        <f>VLOOKUP(J173,Data!$Z$3:$AA$122,2)</f>
        <v>1.5343846875315587E-2</v>
      </c>
      <c r="L173" s="41">
        <f t="shared" si="31"/>
        <v>0.79603011635866494</v>
      </c>
      <c r="M173" s="43">
        <f>VLOOKUP(H173,Data!$P$3:$X$122,9)</f>
        <v>0.44034386122762026</v>
      </c>
      <c r="N173" s="43">
        <f t="shared" si="34"/>
        <v>0.70431683447833915</v>
      </c>
      <c r="O173" s="43">
        <f t="shared" si="35"/>
        <v>1.080692965994263E-2</v>
      </c>
      <c r="P173" s="30">
        <f t="shared" si="36"/>
        <v>123.3152493090376</v>
      </c>
      <c r="Q173" s="31">
        <f t="shared" si="38"/>
        <v>845592.19953346369</v>
      </c>
    </row>
    <row r="174" spans="1:17" x14ac:dyDescent="0.25">
      <c r="A174" s="6">
        <f t="shared" si="37"/>
        <v>48487</v>
      </c>
      <c r="B174" s="30">
        <f>IFERROR(VLOOKUP(A174, Data!$L$3:$N$123, 3),1)*Pension</f>
        <v>42319.592587949526</v>
      </c>
      <c r="C174" s="37">
        <f t="shared" si="26"/>
        <v>14.253251197809719</v>
      </c>
      <c r="D174" s="37">
        <f>IFERROR(VLOOKUP(A174,Data!$I$3:$J$1442,2),0)</f>
        <v>9.2672387999999994E-2</v>
      </c>
      <c r="E174" s="37">
        <f t="shared" si="27"/>
        <v>9.2472387999999989E-2</v>
      </c>
      <c r="F174" s="37">
        <f t="shared" si="32"/>
        <v>0.26766149504281567</v>
      </c>
      <c r="G174" s="30">
        <f t="shared" si="33"/>
        <v>11327.325421693431</v>
      </c>
      <c r="H174" s="38">
        <f t="shared" si="28"/>
        <v>109</v>
      </c>
      <c r="I174" s="39">
        <f t="shared" si="29"/>
        <v>109.87816563997262</v>
      </c>
      <c r="J174" s="40">
        <f t="shared" si="30"/>
        <v>14</v>
      </c>
      <c r="K174" s="43">
        <f>VLOOKUP(J174,Data!$Z$3:$AA$122,2)</f>
        <v>1.5343846875315587E-2</v>
      </c>
      <c r="L174" s="41">
        <f t="shared" si="31"/>
        <v>0.87816563997262165</v>
      </c>
      <c r="M174" s="43">
        <f>VLOOKUP(H174,Data!$P$3:$X$122,9)</f>
        <v>0.44034386122762026</v>
      </c>
      <c r="N174" s="43">
        <f t="shared" si="34"/>
        <v>0.67929835207584188</v>
      </c>
      <c r="O174" s="43">
        <f t="shared" si="35"/>
        <v>1.0423049896905933E-2</v>
      </c>
      <c r="P174" s="30">
        <f t="shared" si="36"/>
        <v>118.06527806880167</v>
      </c>
      <c r="Q174" s="31">
        <f t="shared" si="38"/>
        <v>845710.26481153246</v>
      </c>
    </row>
    <row r="175" spans="1:17" x14ac:dyDescent="0.25">
      <c r="A175" s="6">
        <f t="shared" si="37"/>
        <v>48518</v>
      </c>
      <c r="B175" s="30">
        <f>IFERROR(VLOOKUP(A175, Data!$L$3:$N$123, 3),1)*Pension</f>
        <v>42319.592587949526</v>
      </c>
      <c r="C175" s="37">
        <f t="shared" si="26"/>
        <v>14.338124572210814</v>
      </c>
      <c r="D175" s="37">
        <f>IFERROR(VLOOKUP(A175,Data!$I$3:$J$1442,2),0)</f>
        <v>9.2657240000000002E-2</v>
      </c>
      <c r="E175" s="37">
        <f t="shared" si="27"/>
        <v>9.2457239999999996E-2</v>
      </c>
      <c r="F175" s="37">
        <f t="shared" si="32"/>
        <v>0.26562667731578443</v>
      </c>
      <c r="G175" s="30">
        <f t="shared" si="33"/>
        <v>11241.212764494732</v>
      </c>
      <c r="H175" s="38">
        <f t="shared" si="28"/>
        <v>109</v>
      </c>
      <c r="I175" s="39">
        <f t="shared" si="29"/>
        <v>109.96303901437372</v>
      </c>
      <c r="J175" s="40">
        <f t="shared" si="30"/>
        <v>14</v>
      </c>
      <c r="K175" s="43">
        <f>VLOOKUP(J175,Data!$Z$3:$AA$122,2)</f>
        <v>1.5343846875315587E-2</v>
      </c>
      <c r="L175" s="41">
        <f t="shared" si="31"/>
        <v>0.96303901437372019</v>
      </c>
      <c r="M175" s="43">
        <f>VLOOKUP(H175,Data!$P$3:$X$122,9)</f>
        <v>0.44034386122762026</v>
      </c>
      <c r="N175" s="43">
        <f t="shared" si="34"/>
        <v>0.65437917443841687</v>
      </c>
      <c r="O175" s="43">
        <f t="shared" si="35"/>
        <v>1.0040693850978496E-2</v>
      </c>
      <c r="P175" s="30">
        <f t="shared" si="36"/>
        <v>112.86957588200323</v>
      </c>
      <c r="Q175" s="31">
        <f t="shared" si="38"/>
        <v>845823.13438741444</v>
      </c>
    </row>
    <row r="176" spans="1:17" x14ac:dyDescent="0.25">
      <c r="A176" s="6">
        <f t="shared" si="37"/>
        <v>48548</v>
      </c>
      <c r="B176" s="30">
        <f>IFERROR(VLOOKUP(A176, Data!$L$3:$N$123, 3),1)*Pension</f>
        <v>42319.592587949526</v>
      </c>
      <c r="C176" s="37">
        <f t="shared" si="26"/>
        <v>14.420260095824778</v>
      </c>
      <c r="D176" s="37">
        <f>IFERROR(VLOOKUP(A176,Data!$I$3:$J$1442,2),0)</f>
        <v>9.2642750999999995E-2</v>
      </c>
      <c r="E176" s="37">
        <f t="shared" si="27"/>
        <v>9.244275099999999E-2</v>
      </c>
      <c r="F176" s="37">
        <f t="shared" si="32"/>
        <v>0.26367222652955891</v>
      </c>
      <c r="G176" s="30">
        <f t="shared" si="33"/>
        <v>11158.501203488469</v>
      </c>
      <c r="H176" s="38">
        <f t="shared" si="28"/>
        <v>110</v>
      </c>
      <c r="I176" s="39">
        <f t="shared" si="29"/>
        <v>110.04517453798768</v>
      </c>
      <c r="J176" s="40">
        <f t="shared" si="30"/>
        <v>15</v>
      </c>
      <c r="K176" s="43">
        <f>VLOOKUP(J176,Data!$Z$3:$AA$122,2)</f>
        <v>9.8785987760313058E-3</v>
      </c>
      <c r="L176" s="41">
        <f t="shared" si="31"/>
        <v>4.5174537987676899E-2</v>
      </c>
      <c r="M176" s="43">
        <f>VLOOKUP(H176,Data!$P$3:$X$122,9)</f>
        <v>0.46108828925642242</v>
      </c>
      <c r="N176" s="43">
        <f t="shared" si="34"/>
        <v>0.97938598417645162</v>
      </c>
      <c r="O176" s="43">
        <f t="shared" si="35"/>
        <v>9.6749611845477115E-3</v>
      </c>
      <c r="P176" s="30">
        <f t="shared" si="36"/>
        <v>107.95806602147987</v>
      </c>
      <c r="Q176" s="31">
        <f t="shared" si="38"/>
        <v>845931.09245343588</v>
      </c>
    </row>
    <row r="177" spans="1:17" x14ac:dyDescent="0.25">
      <c r="A177" s="6">
        <f t="shared" si="37"/>
        <v>48579</v>
      </c>
      <c r="B177" s="30">
        <f>IFERROR(VLOOKUP(A177, Data!$L$3:$N$123, 3),1)*Pension</f>
        <v>44435.57221734702</v>
      </c>
      <c r="C177" s="37">
        <f t="shared" si="26"/>
        <v>14.505133470225873</v>
      </c>
      <c r="D177" s="37">
        <f>IFERROR(VLOOKUP(A177,Data!$I$3:$J$1442,2),0)</f>
        <v>9.2627683000000002E-2</v>
      </c>
      <c r="E177" s="37">
        <f t="shared" si="27"/>
        <v>9.2427682999999997E-2</v>
      </c>
      <c r="F177" s="37">
        <f t="shared" si="32"/>
        <v>0.26166875257936484</v>
      </c>
      <c r="G177" s="30">
        <f t="shared" si="33"/>
        <v>11627.400752263477</v>
      </c>
      <c r="H177" s="38">
        <f t="shared" si="28"/>
        <v>110</v>
      </c>
      <c r="I177" s="39">
        <f t="shared" si="29"/>
        <v>110.13004791238878</v>
      </c>
      <c r="J177" s="40">
        <f t="shared" si="30"/>
        <v>15</v>
      </c>
      <c r="K177" s="43">
        <f>VLOOKUP(J177,Data!$Z$3:$AA$122,2)</f>
        <v>9.8785987760313058E-3</v>
      </c>
      <c r="L177" s="41">
        <f t="shared" si="31"/>
        <v>0.13004791238877544</v>
      </c>
      <c r="M177" s="43">
        <f>VLOOKUP(H177,Data!$P$3:$X$122,9)</f>
        <v>0.46108828925642242</v>
      </c>
      <c r="N177" s="43">
        <f t="shared" si="34"/>
        <v>0.94179884321411567</v>
      </c>
      <c r="O177" s="43">
        <f t="shared" si="35"/>
        <v>9.303652899842663E-3</v>
      </c>
      <c r="P177" s="30">
        <f t="shared" si="36"/>
        <v>108.17730072642885</v>
      </c>
      <c r="Q177" s="31">
        <f t="shared" si="38"/>
        <v>846039.26975416229</v>
      </c>
    </row>
    <row r="178" spans="1:17" x14ac:dyDescent="0.25">
      <c r="A178" s="6">
        <f t="shared" si="37"/>
        <v>48610</v>
      </c>
      <c r="B178" s="30">
        <f>IFERROR(VLOOKUP(A178, Data!$L$3:$N$123, 3),1)*Pension</f>
        <v>44435.57221734702</v>
      </c>
      <c r="C178" s="37">
        <f t="shared" si="26"/>
        <v>14.590006844626968</v>
      </c>
      <c r="D178" s="37">
        <f>IFERROR(VLOOKUP(A178,Data!$I$3:$J$1442,2),0)</f>
        <v>9.2608931000000005E-2</v>
      </c>
      <c r="E178" s="37">
        <f t="shared" si="27"/>
        <v>9.2408931E-2</v>
      </c>
      <c r="F178" s="37">
        <f t="shared" si="32"/>
        <v>0.25969512405329964</v>
      </c>
      <c r="G178" s="30">
        <f t="shared" si="33"/>
        <v>11539.701439363289</v>
      </c>
      <c r="H178" s="38">
        <f t="shared" si="28"/>
        <v>110</v>
      </c>
      <c r="I178" s="39">
        <f t="shared" si="29"/>
        <v>110.21492128678987</v>
      </c>
      <c r="J178" s="40">
        <f t="shared" si="30"/>
        <v>15</v>
      </c>
      <c r="K178" s="43">
        <f>VLOOKUP(J178,Data!$Z$3:$AA$122,2)</f>
        <v>9.8785987760313058E-3</v>
      </c>
      <c r="L178" s="41">
        <f t="shared" si="31"/>
        <v>0.21492128678987399</v>
      </c>
      <c r="M178" s="43">
        <f>VLOOKUP(H178,Data!$P$3:$X$122,9)</f>
        <v>0.46108828925642242</v>
      </c>
      <c r="N178" s="43">
        <f t="shared" si="34"/>
        <v>0.90565423174326565</v>
      </c>
      <c r="O178" s="43">
        <f t="shared" si="35"/>
        <v>8.9465947852065963E-3</v>
      </c>
      <c r="P178" s="30">
        <f t="shared" si="36"/>
        <v>103.24103272024865</v>
      </c>
      <c r="Q178" s="31">
        <f t="shared" si="38"/>
        <v>846142.51078688249</v>
      </c>
    </row>
    <row r="179" spans="1:17" x14ac:dyDescent="0.25">
      <c r="A179" s="6">
        <f t="shared" si="37"/>
        <v>48638</v>
      </c>
      <c r="B179" s="30">
        <f>IFERROR(VLOOKUP(A179, Data!$L$3:$N$123, 3),1)*Pension</f>
        <v>44435.57221734702</v>
      </c>
      <c r="C179" s="37">
        <f t="shared" si="26"/>
        <v>14.666666666666666</v>
      </c>
      <c r="D179" s="37">
        <f>IFERROR(VLOOKUP(A179,Data!$I$3:$J$1442,2),0)</f>
        <v>9.2592178999999997E-2</v>
      </c>
      <c r="E179" s="37">
        <f t="shared" si="27"/>
        <v>9.2392178999999991E-2</v>
      </c>
      <c r="F179" s="37">
        <f t="shared" si="32"/>
        <v>0.25792529454940849</v>
      </c>
      <c r="G179" s="30">
        <f t="shared" si="33"/>
        <v>11461.058052630742</v>
      </c>
      <c r="H179" s="38">
        <f t="shared" si="28"/>
        <v>110</v>
      </c>
      <c r="I179" s="39">
        <f t="shared" si="29"/>
        <v>110.29158110882958</v>
      </c>
      <c r="J179" s="40">
        <f t="shared" si="30"/>
        <v>15</v>
      </c>
      <c r="K179" s="43">
        <f>VLOOKUP(J179,Data!$Z$3:$AA$122,2)</f>
        <v>9.8785987760313058E-3</v>
      </c>
      <c r="L179" s="41">
        <f t="shared" si="31"/>
        <v>0.29158110882957544</v>
      </c>
      <c r="M179" s="43">
        <f>VLOOKUP(H179,Data!$P$3:$X$122,9)</f>
        <v>0.46108828925642242</v>
      </c>
      <c r="N179" s="43">
        <f t="shared" si="34"/>
        <v>0.87420127799671443</v>
      </c>
      <c r="O179" s="43">
        <f t="shared" si="35"/>
        <v>8.635883674823347E-3</v>
      </c>
      <c r="P179" s="30">
        <f t="shared" si="36"/>
        <v>98.976364132916487</v>
      </c>
      <c r="Q179" s="31">
        <f t="shared" si="38"/>
        <v>846241.48715101543</v>
      </c>
    </row>
    <row r="180" spans="1:17" x14ac:dyDescent="0.25">
      <c r="A180" s="6">
        <f t="shared" si="37"/>
        <v>48669</v>
      </c>
      <c r="B180" s="30">
        <f>IFERROR(VLOOKUP(A180, Data!$L$3:$N$123, 3),1)*Pension</f>
        <v>44435.57221734702</v>
      </c>
      <c r="C180" s="37">
        <f t="shared" si="26"/>
        <v>14.751540041067761</v>
      </c>
      <c r="D180" s="37">
        <f>IFERROR(VLOOKUP(A180,Data!$I$3:$J$1442,2),0)</f>
        <v>9.2574364000000006E-2</v>
      </c>
      <c r="E180" s="37">
        <f t="shared" si="27"/>
        <v>9.2374364E-2</v>
      </c>
      <c r="F180" s="37">
        <f t="shared" si="32"/>
        <v>0.25597790948139426</v>
      </c>
      <c r="G180" s="30">
        <f t="shared" si="33"/>
        <v>11374.524882806014</v>
      </c>
      <c r="H180" s="38">
        <f t="shared" si="28"/>
        <v>110</v>
      </c>
      <c r="I180" s="39">
        <f t="shared" si="29"/>
        <v>110.37645448323066</v>
      </c>
      <c r="J180" s="40">
        <f t="shared" si="30"/>
        <v>15</v>
      </c>
      <c r="K180" s="43">
        <f>VLOOKUP(J180,Data!$Z$3:$AA$122,2)</f>
        <v>9.8785987760313058E-3</v>
      </c>
      <c r="L180" s="41">
        <f t="shared" si="31"/>
        <v>0.37645448323065978</v>
      </c>
      <c r="M180" s="43">
        <f>VLOOKUP(H180,Data!$P$3:$X$122,9)</f>
        <v>0.46108828925642242</v>
      </c>
      <c r="N180" s="43">
        <f t="shared" si="34"/>
        <v>0.84065094421984132</v>
      </c>
      <c r="O180" s="43">
        <f t="shared" si="35"/>
        <v>8.3044533886396862E-3</v>
      </c>
      <c r="P180" s="30">
        <f t="shared" si="36"/>
        <v>94.459211707184835</v>
      </c>
      <c r="Q180" s="31">
        <f t="shared" si="38"/>
        <v>846335.94636272267</v>
      </c>
    </row>
    <row r="181" spans="1:17" x14ac:dyDescent="0.25">
      <c r="A181" s="6">
        <f t="shared" si="37"/>
        <v>48699</v>
      </c>
      <c r="B181" s="30">
        <f>IFERROR(VLOOKUP(A181, Data!$L$3:$N$123, 3),1)*Pension</f>
        <v>44435.57221734702</v>
      </c>
      <c r="C181" s="37">
        <f t="shared" si="26"/>
        <v>14.833675564681725</v>
      </c>
      <c r="D181" s="37">
        <f>IFERROR(VLOOKUP(A181,Data!$I$3:$J$1442,2),0)</f>
        <v>9.2564680999999996E-2</v>
      </c>
      <c r="E181" s="37">
        <f t="shared" si="27"/>
        <v>9.236468099999999E-2</v>
      </c>
      <c r="F181" s="37">
        <f t="shared" si="32"/>
        <v>0.25407959076232345</v>
      </c>
      <c r="G181" s="30">
        <f t="shared" si="33"/>
        <v>11290.172004273201</v>
      </c>
      <c r="H181" s="38">
        <f t="shared" si="28"/>
        <v>110</v>
      </c>
      <c r="I181" s="39">
        <f t="shared" si="29"/>
        <v>110.45859000684463</v>
      </c>
      <c r="J181" s="40">
        <f t="shared" si="30"/>
        <v>15</v>
      </c>
      <c r="K181" s="43">
        <f>VLOOKUP(J181,Data!$Z$3:$AA$122,2)</f>
        <v>9.8785987760313058E-3</v>
      </c>
      <c r="L181" s="41">
        <f t="shared" si="31"/>
        <v>0.45859000684463069</v>
      </c>
      <c r="M181" s="43">
        <f>VLOOKUP(H181,Data!$P$3:$X$122,9)</f>
        <v>0.46108828925642242</v>
      </c>
      <c r="N181" s="43">
        <f t="shared" si="34"/>
        <v>0.80940936061481317</v>
      </c>
      <c r="O181" s="43">
        <f t="shared" si="35"/>
        <v>7.9958303190777753E-3</v>
      </c>
      <c r="P181" s="30">
        <f t="shared" si="36"/>
        <v>90.274299619370751</v>
      </c>
      <c r="Q181" s="31">
        <f t="shared" si="38"/>
        <v>846426.22066234204</v>
      </c>
    </row>
    <row r="182" spans="1:17" x14ac:dyDescent="0.25">
      <c r="A182" s="6">
        <f t="shared" si="37"/>
        <v>48730</v>
      </c>
      <c r="B182" s="30">
        <f>IFERROR(VLOOKUP(A182, Data!$L$3:$N$123, 3),1)*Pension</f>
        <v>44435.57221734702</v>
      </c>
      <c r="C182" s="37">
        <f t="shared" si="26"/>
        <v>14.91854893908282</v>
      </c>
      <c r="D182" s="37">
        <f>IFERROR(VLOOKUP(A182,Data!$I$3:$J$1442,2),0)</f>
        <v>9.2554788999999998E-2</v>
      </c>
      <c r="E182" s="37">
        <f t="shared" si="27"/>
        <v>9.2354788999999993E-2</v>
      </c>
      <c r="F182" s="37">
        <f t="shared" si="32"/>
        <v>0.25213277647498544</v>
      </c>
      <c r="G182" s="30">
        <f t="shared" si="33"/>
        <v>11203.66419741443</v>
      </c>
      <c r="H182" s="38">
        <f t="shared" si="28"/>
        <v>110</v>
      </c>
      <c r="I182" s="39">
        <f t="shared" si="29"/>
        <v>110.54346338124572</v>
      </c>
      <c r="J182" s="40">
        <f t="shared" si="30"/>
        <v>15</v>
      </c>
      <c r="K182" s="43">
        <f>VLOOKUP(J182,Data!$Z$3:$AA$122,2)</f>
        <v>9.8785987760313058E-3</v>
      </c>
      <c r="L182" s="41">
        <f t="shared" si="31"/>
        <v>0.54346338124571503</v>
      </c>
      <c r="M182" s="43">
        <f>VLOOKUP(H182,Data!$P$3:$X$122,9)</f>
        <v>0.46108828925642242</v>
      </c>
      <c r="N182" s="43">
        <f t="shared" si="34"/>
        <v>0.77834562861823908</v>
      </c>
      <c r="O182" s="43">
        <f t="shared" si="35"/>
        <v>7.6889641741974537E-3</v>
      </c>
      <c r="P182" s="30">
        <f t="shared" si="36"/>
        <v>86.144572633658214</v>
      </c>
      <c r="Q182" s="31">
        <f t="shared" si="38"/>
        <v>846512.3652349757</v>
      </c>
    </row>
    <row r="183" spans="1:17" x14ac:dyDescent="0.25">
      <c r="A183" s="6">
        <f t="shared" si="37"/>
        <v>48760</v>
      </c>
      <c r="B183" s="30">
        <f>IFERROR(VLOOKUP(A183, Data!$L$3:$N$123, 3),1)*Pension</f>
        <v>44435.57221734702</v>
      </c>
      <c r="C183" s="37">
        <f t="shared" si="26"/>
        <v>15.000684462696784</v>
      </c>
      <c r="D183" s="37">
        <f>IFERROR(VLOOKUP(A183,Data!$I$3:$J$1442,2),0)</f>
        <v>9.2545343000000002E-2</v>
      </c>
      <c r="E183" s="37">
        <f t="shared" si="27"/>
        <v>9.2345342999999996E-2</v>
      </c>
      <c r="F183" s="37">
        <f t="shared" si="32"/>
        <v>0.25026289042026906</v>
      </c>
      <c r="G183" s="30">
        <f t="shared" si="33"/>
        <v>11120.57474059187</v>
      </c>
      <c r="H183" s="38">
        <f t="shared" si="28"/>
        <v>110</v>
      </c>
      <c r="I183" s="39">
        <f t="shared" si="29"/>
        <v>110.62559890485969</v>
      </c>
      <c r="J183" s="40">
        <f t="shared" si="30"/>
        <v>15</v>
      </c>
      <c r="K183" s="43">
        <f>VLOOKUP(J183,Data!$Z$3:$AA$122,2)</f>
        <v>9.8785987760313058E-3</v>
      </c>
      <c r="L183" s="41">
        <f t="shared" si="31"/>
        <v>0.62559890485968594</v>
      </c>
      <c r="M183" s="43">
        <f>VLOOKUP(H183,Data!$P$3:$X$122,9)</f>
        <v>0.46108828925642242</v>
      </c>
      <c r="N183" s="43">
        <f t="shared" si="34"/>
        <v>0.74941953248133197</v>
      </c>
      <c r="O183" s="43">
        <f t="shared" si="35"/>
        <v>7.4032148763040397E-3</v>
      </c>
      <c r="P183" s="30">
        <f t="shared" si="36"/>
        <v>82.328004352600672</v>
      </c>
      <c r="Q183" s="31">
        <f t="shared" si="38"/>
        <v>846594.69323932834</v>
      </c>
    </row>
    <row r="184" spans="1:17" x14ac:dyDescent="0.25">
      <c r="A184" s="6">
        <f t="shared" si="37"/>
        <v>48791</v>
      </c>
      <c r="B184" s="30">
        <f>IFERROR(VLOOKUP(A184, Data!$L$3:$N$123, 3),1)*Pension</f>
        <v>44435.57221734702</v>
      </c>
      <c r="C184" s="37">
        <f t="shared" si="26"/>
        <v>15.085557837097879</v>
      </c>
      <c r="D184" s="37">
        <f>IFERROR(VLOOKUP(A184,Data!$I$3:$J$1442,2),0)</f>
        <v>9.2536349000000004E-2</v>
      </c>
      <c r="E184" s="37">
        <f t="shared" si="27"/>
        <v>9.2336348999999998E-2</v>
      </c>
      <c r="F184" s="37">
        <f t="shared" si="32"/>
        <v>0.24834277414402481</v>
      </c>
      <c r="G184" s="30">
        <f t="shared" si="33"/>
        <v>11035.253275133115</v>
      </c>
      <c r="H184" s="38">
        <f t="shared" si="28"/>
        <v>110</v>
      </c>
      <c r="I184" s="39">
        <f t="shared" si="29"/>
        <v>110.71047227926078</v>
      </c>
      <c r="J184" s="40">
        <f t="shared" si="30"/>
        <v>15</v>
      </c>
      <c r="K184" s="43">
        <f>VLOOKUP(J184,Data!$Z$3:$AA$122,2)</f>
        <v>9.8785987760313058E-3</v>
      </c>
      <c r="L184" s="41">
        <f t="shared" si="31"/>
        <v>0.71047227926078449</v>
      </c>
      <c r="M184" s="43">
        <f>VLOOKUP(H184,Data!$P$3:$X$122,9)</f>
        <v>0.46108828925642242</v>
      </c>
      <c r="N184" s="43">
        <f t="shared" si="34"/>
        <v>0.72065810638129424</v>
      </c>
      <c r="O184" s="43">
        <f t="shared" si="35"/>
        <v>7.1190922876352919E-3</v>
      </c>
      <c r="P184" s="30">
        <f t="shared" si="36"/>
        <v>78.560986483102255</v>
      </c>
      <c r="Q184" s="31">
        <f t="shared" si="38"/>
        <v>846673.25422581146</v>
      </c>
    </row>
    <row r="185" spans="1:17" x14ac:dyDescent="0.25">
      <c r="A185" s="6">
        <f t="shared" si="37"/>
        <v>48822</v>
      </c>
      <c r="B185" s="30">
        <f>IFERROR(VLOOKUP(A185, Data!$L$3:$N$123, 3),1)*Pension</f>
        <v>44435.57221734702</v>
      </c>
      <c r="C185" s="37">
        <f t="shared" si="26"/>
        <v>15.170431211498974</v>
      </c>
      <c r="D185" s="37">
        <f>IFERROR(VLOOKUP(A185,Data!$I$3:$J$1442,2),0)</f>
        <v>9.2527454999999995E-2</v>
      </c>
      <c r="E185" s="37">
        <f t="shared" si="27"/>
        <v>9.2327454999999989E-2</v>
      </c>
      <c r="F185" s="37">
        <f t="shared" si="32"/>
        <v>0.24643739214271471</v>
      </c>
      <c r="G185" s="30">
        <f t="shared" si="33"/>
        <v>10950.586535612267</v>
      </c>
      <c r="H185" s="38">
        <f t="shared" si="28"/>
        <v>110</v>
      </c>
      <c r="I185" s="39">
        <f t="shared" si="29"/>
        <v>110.79534565366187</v>
      </c>
      <c r="J185" s="40">
        <f t="shared" si="30"/>
        <v>15</v>
      </c>
      <c r="K185" s="43">
        <f>VLOOKUP(J185,Data!$Z$3:$AA$122,2)</f>
        <v>9.8785987760313058E-3</v>
      </c>
      <c r="L185" s="41">
        <f t="shared" si="31"/>
        <v>0.79534565366186882</v>
      </c>
      <c r="M185" s="43">
        <f>VLOOKUP(H185,Data!$P$3:$X$122,9)</f>
        <v>0.46108828925642242</v>
      </c>
      <c r="N185" s="43">
        <f t="shared" si="34"/>
        <v>0.69300049409375808</v>
      </c>
      <c r="O185" s="43">
        <f t="shared" si="35"/>
        <v>6.8458738327436888E-3</v>
      </c>
      <c r="P185" s="30">
        <f t="shared" si="36"/>
        <v>74.966333817343383</v>
      </c>
      <c r="Q185" s="31">
        <f t="shared" si="38"/>
        <v>846748.2205596288</v>
      </c>
    </row>
    <row r="186" spans="1:17" x14ac:dyDescent="0.25">
      <c r="A186" s="6">
        <f t="shared" si="37"/>
        <v>48852</v>
      </c>
      <c r="B186" s="30">
        <f>IFERROR(VLOOKUP(A186, Data!$L$3:$N$123, 3),1)*Pension</f>
        <v>44435.57221734702</v>
      </c>
      <c r="C186" s="37">
        <f t="shared" si="26"/>
        <v>15.252566735112936</v>
      </c>
      <c r="D186" s="37">
        <f>IFERROR(VLOOKUP(A186,Data!$I$3:$J$1442,2),0)</f>
        <v>9.2519329999999997E-2</v>
      </c>
      <c r="E186" s="37">
        <f t="shared" si="27"/>
        <v>9.2319329999999991E-2</v>
      </c>
      <c r="F186" s="37">
        <f t="shared" si="32"/>
        <v>0.24460594726768736</v>
      </c>
      <c r="G186" s="30">
        <f t="shared" si="33"/>
        <v>10869.205234605899</v>
      </c>
      <c r="H186" s="38">
        <f t="shared" si="28"/>
        <v>110</v>
      </c>
      <c r="I186" s="39">
        <f t="shared" si="29"/>
        <v>110.87748117727584</v>
      </c>
      <c r="J186" s="40">
        <f t="shared" si="30"/>
        <v>15</v>
      </c>
      <c r="K186" s="43">
        <f>VLOOKUP(J186,Data!$Z$3:$AA$122,2)</f>
        <v>9.8785987760313058E-3</v>
      </c>
      <c r="L186" s="41">
        <f t="shared" si="31"/>
        <v>0.87748117727583974</v>
      </c>
      <c r="M186" s="43">
        <f>VLOOKUP(H186,Data!$P$3:$X$122,9)</f>
        <v>0.46108828925642242</v>
      </c>
      <c r="N186" s="43">
        <f t="shared" si="34"/>
        <v>0.66724612716724674</v>
      </c>
      <c r="O186" s="43">
        <f t="shared" si="35"/>
        <v>6.5914567751459924E-3</v>
      </c>
      <c r="P186" s="30">
        <f t="shared" si="36"/>
        <v>71.643896484095336</v>
      </c>
      <c r="Q186" s="31">
        <f t="shared" si="38"/>
        <v>846819.86445611285</v>
      </c>
    </row>
    <row r="187" spans="1:17" x14ac:dyDescent="0.25">
      <c r="A187" s="6">
        <f t="shared" si="37"/>
        <v>48883</v>
      </c>
      <c r="B187" s="30">
        <f>IFERROR(VLOOKUP(A187, Data!$L$3:$N$123, 3),1)*Pension</f>
        <v>44435.57221734702</v>
      </c>
      <c r="C187" s="37">
        <f t="shared" si="26"/>
        <v>15.337440109514031</v>
      </c>
      <c r="D187" s="37">
        <f>IFERROR(VLOOKUP(A187,Data!$I$3:$J$1442,2),0)</f>
        <v>9.2522568999999999E-2</v>
      </c>
      <c r="E187" s="37">
        <f t="shared" si="27"/>
        <v>9.2322568999999993E-2</v>
      </c>
      <c r="F187" s="37">
        <f t="shared" si="32"/>
        <v>0.24268478159882692</v>
      </c>
      <c r="G187" s="30">
        <f t="shared" si="33"/>
        <v>10783.837138785762</v>
      </c>
      <c r="H187" s="38">
        <f t="shared" si="28"/>
        <v>110</v>
      </c>
      <c r="I187" s="39">
        <f t="shared" si="29"/>
        <v>110.96235455167694</v>
      </c>
      <c r="J187" s="40">
        <f t="shared" si="30"/>
        <v>15</v>
      </c>
      <c r="K187" s="43">
        <f>VLOOKUP(J187,Data!$Z$3:$AA$122,2)</f>
        <v>9.8785987760313058E-3</v>
      </c>
      <c r="L187" s="41">
        <f t="shared" si="31"/>
        <v>0.96235455167693829</v>
      </c>
      <c r="M187" s="43">
        <f>VLOOKUP(H187,Data!$P$3:$X$122,9)</f>
        <v>0.46108828925642242</v>
      </c>
      <c r="N187" s="43">
        <f t="shared" si="34"/>
        <v>0.64163837430615467</v>
      </c>
      <c r="O187" s="43">
        <f t="shared" si="35"/>
        <v>6.338488059075496E-3</v>
      </c>
      <c r="P187" s="30">
        <f t="shared" si="36"/>
        <v>68.353222935208422</v>
      </c>
      <c r="Q187" s="31">
        <f t="shared" si="38"/>
        <v>846888.21767904807</v>
      </c>
    </row>
    <row r="188" spans="1:17" x14ac:dyDescent="0.25">
      <c r="A188" s="6">
        <f t="shared" si="37"/>
        <v>48913</v>
      </c>
      <c r="B188" s="30">
        <f>IFERROR(VLOOKUP(A188, Data!$L$3:$N$123, 3),1)*Pension</f>
        <v>44435.57221734702</v>
      </c>
      <c r="C188" s="37">
        <f t="shared" si="26"/>
        <v>15.419575633127995</v>
      </c>
      <c r="D188" s="37">
        <f>IFERROR(VLOOKUP(A188,Data!$I$3:$J$1442,2),0)</f>
        <v>9.2525670000000004E-2</v>
      </c>
      <c r="E188" s="37">
        <f t="shared" si="27"/>
        <v>9.2325669999999999E-2</v>
      </c>
      <c r="F188" s="37">
        <f t="shared" si="32"/>
        <v>0.24083995543055681</v>
      </c>
      <c r="G188" s="30">
        <f t="shared" si="33"/>
        <v>10701.861232357145</v>
      </c>
      <c r="H188" s="38">
        <f t="shared" si="28"/>
        <v>111</v>
      </c>
      <c r="I188" s="39">
        <f t="shared" si="29"/>
        <v>111.04449007529089</v>
      </c>
      <c r="J188" s="40">
        <f t="shared" si="30"/>
        <v>16</v>
      </c>
      <c r="K188" s="43">
        <f>VLOOKUP(J188,Data!$Z$3:$AA$122,2)</f>
        <v>6.2294147523690143E-3</v>
      </c>
      <c r="L188" s="41">
        <f t="shared" si="31"/>
        <v>4.4490075290894993E-2</v>
      </c>
      <c r="M188" s="43">
        <f>VLOOKUP(H188,Data!$P$3:$X$122,9)</f>
        <v>0.48192399534466857</v>
      </c>
      <c r="N188" s="43">
        <f t="shared" si="34"/>
        <v>0.97878738587091274</v>
      </c>
      <c r="O188" s="43">
        <f t="shared" si="35"/>
        <v>6.097272580976967E-3</v>
      </c>
      <c r="P188" s="30">
        <f t="shared" si="36"/>
        <v>65.252165057471601</v>
      </c>
      <c r="Q188" s="31">
        <f t="shared" si="38"/>
        <v>846953.46984410554</v>
      </c>
    </row>
    <row r="189" spans="1:17" x14ac:dyDescent="0.25">
      <c r="A189" s="6">
        <f t="shared" si="37"/>
        <v>48944</v>
      </c>
      <c r="B189" s="30">
        <f>IFERROR(VLOOKUP(A189, Data!$L$3:$N$123, 3),1)*Pension</f>
        <v>46657.350828214367</v>
      </c>
      <c r="C189" s="37">
        <f t="shared" si="26"/>
        <v>15.504449007529089</v>
      </c>
      <c r="D189" s="37">
        <f>IFERROR(VLOOKUP(A189,Data!$I$3:$J$1442,2),0)</f>
        <v>9.2529138999999996E-2</v>
      </c>
      <c r="E189" s="37">
        <f t="shared" si="27"/>
        <v>9.2329138999999991E-2</v>
      </c>
      <c r="F189" s="37">
        <f t="shared" si="32"/>
        <v>0.23894725840460052</v>
      </c>
      <c r="G189" s="30">
        <f t="shared" si="33"/>
        <v>11148.646064823441</v>
      </c>
      <c r="H189" s="38">
        <f t="shared" si="28"/>
        <v>111</v>
      </c>
      <c r="I189" s="39">
        <f t="shared" si="29"/>
        <v>111.12936344969199</v>
      </c>
      <c r="J189" s="40">
        <f t="shared" si="30"/>
        <v>16</v>
      </c>
      <c r="K189" s="43">
        <f>VLOOKUP(J189,Data!$Z$3:$AA$122,2)</f>
        <v>6.2294147523690143E-3</v>
      </c>
      <c r="L189" s="41">
        <f t="shared" si="31"/>
        <v>0.12936344969199354</v>
      </c>
      <c r="M189" s="43">
        <f>VLOOKUP(H189,Data!$P$3:$X$122,9)</f>
        <v>0.48192399534466857</v>
      </c>
      <c r="N189" s="43">
        <f t="shared" si="34"/>
        <v>0.93956023290132584</v>
      </c>
      <c r="O189" s="43">
        <f t="shared" si="35"/>
        <v>5.8529103755747859E-3</v>
      </c>
      <c r="P189" s="30">
        <f t="shared" si="36"/>
        <v>65.25202622641612</v>
      </c>
      <c r="Q189" s="31">
        <f t="shared" si="38"/>
        <v>847018.72187033191</v>
      </c>
    </row>
    <row r="190" spans="1:17" x14ac:dyDescent="0.25">
      <c r="A190" s="6">
        <f t="shared" si="37"/>
        <v>48975</v>
      </c>
      <c r="B190" s="30">
        <f>IFERROR(VLOOKUP(A190, Data!$L$3:$N$123, 3),1)*Pension</f>
        <v>46657.350828214367</v>
      </c>
      <c r="C190" s="37">
        <f t="shared" si="26"/>
        <v>15.589322381930184</v>
      </c>
      <c r="D190" s="37">
        <f>IFERROR(VLOOKUP(A190,Data!$I$3:$J$1442,2),0)</f>
        <v>9.2536891999999996E-2</v>
      </c>
      <c r="E190" s="37">
        <f t="shared" si="27"/>
        <v>9.233689199999999E-2</v>
      </c>
      <c r="F190" s="37">
        <f t="shared" si="32"/>
        <v>0.23705346391856114</v>
      </c>
      <c r="G190" s="30">
        <f t="shared" si="33"/>
        <v>11060.286631091763</v>
      </c>
      <c r="H190" s="38">
        <f t="shared" si="28"/>
        <v>111</v>
      </c>
      <c r="I190" s="39">
        <f t="shared" si="29"/>
        <v>111.21423682409309</v>
      </c>
      <c r="J190" s="40">
        <f t="shared" si="30"/>
        <v>16</v>
      </c>
      <c r="K190" s="43">
        <f>VLOOKUP(J190,Data!$Z$3:$AA$122,2)</f>
        <v>6.2294147523690143E-3</v>
      </c>
      <c r="L190" s="41">
        <f t="shared" si="31"/>
        <v>0.21423682409309208</v>
      </c>
      <c r="M190" s="43">
        <f>VLOOKUP(H190,Data!$P$3:$X$122,9)</f>
        <v>0.48192399534466857</v>
      </c>
      <c r="N190" s="43">
        <f t="shared" si="34"/>
        <v>0.90190519820002879</v>
      </c>
      <c r="O190" s="43">
        <f t="shared" si="35"/>
        <v>5.6183415469055588E-3</v>
      </c>
      <c r="P190" s="30">
        <f t="shared" si="36"/>
        <v>62.140467900146973</v>
      </c>
      <c r="Q190" s="31">
        <f t="shared" si="38"/>
        <v>847080.86233823211</v>
      </c>
    </row>
    <row r="191" spans="1:17" x14ac:dyDescent="0.25">
      <c r="A191" s="6">
        <f t="shared" si="37"/>
        <v>49003</v>
      </c>
      <c r="B191" s="30">
        <f>IFERROR(VLOOKUP(A191, Data!$L$3:$N$123, 3),1)*Pension</f>
        <v>46657.350828214367</v>
      </c>
      <c r="C191" s="37">
        <f t="shared" si="26"/>
        <v>15.665982203969884</v>
      </c>
      <c r="D191" s="37">
        <f>IFERROR(VLOOKUP(A191,Data!$I$3:$J$1442,2),0)</f>
        <v>9.2543822999999997E-2</v>
      </c>
      <c r="E191" s="37">
        <f t="shared" si="27"/>
        <v>9.2343822999999992E-2</v>
      </c>
      <c r="F191" s="37">
        <f t="shared" si="32"/>
        <v>0.23535584225274517</v>
      </c>
      <c r="G191" s="30">
        <f t="shared" si="33"/>
        <v>10981.080101456209</v>
      </c>
      <c r="H191" s="38">
        <f t="shared" si="28"/>
        <v>111</v>
      </c>
      <c r="I191" s="39">
        <f t="shared" si="29"/>
        <v>111.29089664613278</v>
      </c>
      <c r="J191" s="40">
        <f t="shared" si="30"/>
        <v>16</v>
      </c>
      <c r="K191" s="43">
        <f>VLOOKUP(J191,Data!$Z$3:$AA$122,2)</f>
        <v>6.2294147523690143E-3</v>
      </c>
      <c r="L191" s="41">
        <f t="shared" si="31"/>
        <v>0.29089664613277932</v>
      </c>
      <c r="M191" s="43">
        <f>VLOOKUP(H191,Data!$P$3:$X$122,9)</f>
        <v>0.48192399534466857</v>
      </c>
      <c r="N191" s="43">
        <f t="shared" si="34"/>
        <v>0.86919300875976058</v>
      </c>
      <c r="O191" s="43">
        <f t="shared" si="35"/>
        <v>5.4145637514240626E-3</v>
      </c>
      <c r="P191" s="30">
        <f t="shared" si="36"/>
        <v>59.457758268828862</v>
      </c>
      <c r="Q191" s="31">
        <f t="shared" si="38"/>
        <v>847140.32009650092</v>
      </c>
    </row>
    <row r="192" spans="1:17" x14ac:dyDescent="0.25">
      <c r="A192" s="6">
        <f t="shared" si="37"/>
        <v>49034</v>
      </c>
      <c r="B192" s="30">
        <f>IFERROR(VLOOKUP(A192, Data!$L$3:$N$123, 3),1)*Pension</f>
        <v>46657.350828214367</v>
      </c>
      <c r="C192" s="37">
        <f t="shared" si="26"/>
        <v>15.750855578370979</v>
      </c>
      <c r="D192" s="37">
        <f>IFERROR(VLOOKUP(A192,Data!$I$3:$J$1442,2),0)</f>
        <v>9.2552427000000007E-2</v>
      </c>
      <c r="E192" s="37">
        <f t="shared" si="27"/>
        <v>9.2352427000000001E-2</v>
      </c>
      <c r="F192" s="37">
        <f t="shared" si="32"/>
        <v>0.23348679872313702</v>
      </c>
      <c r="G192" s="30">
        <f t="shared" si="33"/>
        <v>10893.875481782077</v>
      </c>
      <c r="H192" s="38">
        <f t="shared" si="28"/>
        <v>111</v>
      </c>
      <c r="I192" s="39">
        <f t="shared" si="29"/>
        <v>111.37577002053388</v>
      </c>
      <c r="J192" s="40">
        <f t="shared" si="30"/>
        <v>16</v>
      </c>
      <c r="K192" s="43">
        <f>VLOOKUP(J192,Data!$Z$3:$AA$122,2)</f>
        <v>6.2294147523690143E-3</v>
      </c>
      <c r="L192" s="41">
        <f t="shared" si="31"/>
        <v>0.37577002053387787</v>
      </c>
      <c r="M192" s="43">
        <f>VLOOKUP(H192,Data!$P$3:$X$122,9)</f>
        <v>0.48192399534466857</v>
      </c>
      <c r="N192" s="43">
        <f t="shared" si="34"/>
        <v>0.83435810221427364</v>
      </c>
      <c r="O192" s="43">
        <f t="shared" si="35"/>
        <v>5.1975626706922103E-3</v>
      </c>
      <c r="P192" s="30">
        <f t="shared" si="36"/>
        <v>56.621600543279641</v>
      </c>
      <c r="Q192" s="31">
        <f t="shared" si="38"/>
        <v>847196.94169704418</v>
      </c>
    </row>
    <row r="193" spans="1:17" x14ac:dyDescent="0.25">
      <c r="A193" s="6">
        <f t="shared" si="37"/>
        <v>49064</v>
      </c>
      <c r="B193" s="30">
        <f>IFERROR(VLOOKUP(A193, Data!$L$3:$N$123, 3),1)*Pension</f>
        <v>46657.350828214367</v>
      </c>
      <c r="C193" s="37">
        <f t="shared" si="26"/>
        <v>15.832991101984941</v>
      </c>
      <c r="D193" s="37">
        <f>IFERROR(VLOOKUP(A193,Data!$I$3:$J$1442,2),0)</f>
        <v>9.2574762000000005E-2</v>
      </c>
      <c r="E193" s="37">
        <f t="shared" si="27"/>
        <v>9.2374761999999999E-2</v>
      </c>
      <c r="F193" s="37">
        <f t="shared" si="32"/>
        <v>0.23164047528652118</v>
      </c>
      <c r="G193" s="30">
        <f t="shared" si="33"/>
        <v>10807.730921457538</v>
      </c>
      <c r="H193" s="38">
        <f t="shared" si="28"/>
        <v>111</v>
      </c>
      <c r="I193" s="39">
        <f t="shared" si="29"/>
        <v>111.45790554414785</v>
      </c>
      <c r="J193" s="40">
        <f t="shared" si="30"/>
        <v>16</v>
      </c>
      <c r="K193" s="43">
        <f>VLOOKUP(J193,Data!$Z$3:$AA$122,2)</f>
        <v>6.2294147523690143E-3</v>
      </c>
      <c r="L193" s="41">
        <f t="shared" si="31"/>
        <v>0.45790554414784879</v>
      </c>
      <c r="M193" s="43">
        <f>VLOOKUP(H193,Data!$P$3:$X$122,9)</f>
        <v>0.48192399534466857</v>
      </c>
      <c r="N193" s="43">
        <f t="shared" si="34"/>
        <v>0.80197674377230832</v>
      </c>
      <c r="O193" s="43">
        <f t="shared" si="35"/>
        <v>4.9958457587120824E-3</v>
      </c>
      <c r="P193" s="30">
        <f t="shared" si="36"/>
        <v>53.993756685265069</v>
      </c>
      <c r="Q193" s="31">
        <f t="shared" si="38"/>
        <v>847250.93545372947</v>
      </c>
    </row>
    <row r="194" spans="1:17" x14ac:dyDescent="0.25">
      <c r="A194" s="6">
        <f t="shared" si="37"/>
        <v>49095</v>
      </c>
      <c r="B194" s="30">
        <f>IFERROR(VLOOKUP(A194, Data!$L$3:$N$123, 3),1)*Pension</f>
        <v>46657.350828214367</v>
      </c>
      <c r="C194" s="37">
        <f t="shared" si="26"/>
        <v>15.917864476386036</v>
      </c>
      <c r="D194" s="37">
        <f>IFERROR(VLOOKUP(A194,Data!$I$3:$J$1442,2),0)</f>
        <v>9.2597599000000003E-2</v>
      </c>
      <c r="E194" s="37">
        <f t="shared" si="27"/>
        <v>9.2397598999999997E-2</v>
      </c>
      <c r="F194" s="37">
        <f t="shared" si="32"/>
        <v>0.22974794579625532</v>
      </c>
      <c r="G194" s="30">
        <f t="shared" si="33"/>
        <v>10719.430509077463</v>
      </c>
      <c r="H194" s="38">
        <f t="shared" si="28"/>
        <v>111</v>
      </c>
      <c r="I194" s="39">
        <f t="shared" si="29"/>
        <v>111.54277891854893</v>
      </c>
      <c r="J194" s="40">
        <f t="shared" si="30"/>
        <v>16</v>
      </c>
      <c r="K194" s="43">
        <f>VLOOKUP(J194,Data!$Z$3:$AA$122,2)</f>
        <v>6.2294147523690143E-3</v>
      </c>
      <c r="L194" s="41">
        <f t="shared" si="31"/>
        <v>0.54277891854893312</v>
      </c>
      <c r="M194" s="43">
        <f>VLOOKUP(H194,Data!$P$3:$X$122,9)</f>
        <v>0.48192399534466857</v>
      </c>
      <c r="N194" s="43">
        <f t="shared" si="34"/>
        <v>0.76983568345611886</v>
      </c>
      <c r="O194" s="43">
        <f t="shared" si="35"/>
        <v>4.7956257634216293E-3</v>
      </c>
      <c r="P194" s="30">
        <f t="shared" si="36"/>
        <v>51.406377118539716</v>
      </c>
      <c r="Q194" s="31">
        <f t="shared" si="38"/>
        <v>847302.34183084802</v>
      </c>
    </row>
    <row r="195" spans="1:17" x14ac:dyDescent="0.25">
      <c r="A195" s="6">
        <f t="shared" si="37"/>
        <v>49125</v>
      </c>
      <c r="B195" s="30">
        <f>IFERROR(VLOOKUP(A195, Data!$L$3:$N$123, 3),1)*Pension</f>
        <v>46657.350828214367</v>
      </c>
      <c r="C195" s="37">
        <f t="shared" ref="C195:C258" si="39">(A195-EffDate)/365.25</f>
        <v>16</v>
      </c>
      <c r="D195" s="37">
        <f>IFERROR(VLOOKUP(A195,Data!$I$3:$J$1442,2),0)</f>
        <v>9.2619714000000006E-2</v>
      </c>
      <c r="E195" s="37">
        <f t="shared" ref="E195:E258" si="40">D195-Fees</f>
        <v>9.2419714E-2</v>
      </c>
      <c r="F195" s="37">
        <f t="shared" si="32"/>
        <v>0.22793029419196878</v>
      </c>
      <c r="G195" s="30">
        <f t="shared" si="33"/>
        <v>10634.623700492799</v>
      </c>
      <c r="H195" s="38">
        <f t="shared" ref="H195:H258" si="41">IF(OR(A195 = DATE(YEAR(A195), MONTH(Date_of_Birth), DAY(Date_of_Birth)),AND(A195 = DATE(YEAR(A195), MONTH(Date_of_Birth), DAY(Date_of_Birth)-1), AND(MONTH(Date_of_Birth)=2, DAY(Date_of_Birth) = 29))), ROUND((A195-Date_of_Birth)/365.25,0),ROUNDDOWN((A195-Date_of_Birth)/365.25,0))</f>
        <v>111</v>
      </c>
      <c r="I195" s="39">
        <f t="shared" ref="I195:I258" si="42">IF(OR(A195 = DATE(YEAR(A195), MONTH(Date_of_Birth), DAY(Date_of_Birth)),AND(A195 = DATE(YEAR(A195), MONTH(Date_of_Birth), DAY(Date_of_Birth)-1), AND(MONTH(Date_of_Birth)=2, DAY(Date_of_Birth) = 29))), ROUND((A195-Date_of_Birth)/365.25,0),(A195-Date_of_Birth)/365.25)</f>
        <v>111.6249144421629</v>
      </c>
      <c r="J195" s="40">
        <f t="shared" ref="J195:J258" si="43">H195-StartAge</f>
        <v>16</v>
      </c>
      <c r="K195" s="43">
        <f>VLOOKUP(J195,Data!$Z$3:$AA$122,2)</f>
        <v>6.2294147523690143E-3</v>
      </c>
      <c r="L195" s="41">
        <f t="shared" ref="L195:L258" si="44">IF(A195&lt;=NextBirth,(A195-EffDate)/365.25,(I195-H195))</f>
        <v>0.62491444216290404</v>
      </c>
      <c r="M195" s="43">
        <f>VLOOKUP(H195,Data!$P$3:$X$122,9)</f>
        <v>0.48192399534466857</v>
      </c>
      <c r="N195" s="43">
        <f t="shared" si="34"/>
        <v>0.73995843393789462</v>
      </c>
      <c r="O195" s="43">
        <f t="shared" si="35"/>
        <v>4.6095079845125935E-3</v>
      </c>
      <c r="P195" s="30">
        <f t="shared" si="36"/>
        <v>49.02038285970842</v>
      </c>
      <c r="Q195" s="31">
        <f t="shared" si="38"/>
        <v>847351.36221370776</v>
      </c>
    </row>
    <row r="196" spans="1:17" x14ac:dyDescent="0.25">
      <c r="A196" s="6">
        <f t="shared" si="37"/>
        <v>49156</v>
      </c>
      <c r="B196" s="30">
        <f>IFERROR(VLOOKUP(A196, Data!$L$3:$N$123, 3),1)*Pension</f>
        <v>46657.350828214367</v>
      </c>
      <c r="C196" s="37">
        <f t="shared" si="39"/>
        <v>16.084873374401095</v>
      </c>
      <c r="D196" s="37">
        <f>IFERROR(VLOOKUP(A196,Data!$I$3:$J$1442,2),0)</f>
        <v>9.2649638000000006E-2</v>
      </c>
      <c r="E196" s="37">
        <f t="shared" si="40"/>
        <v>9.2449638000000001E-2</v>
      </c>
      <c r="F196" s="37">
        <f t="shared" ref="F196:F259" si="45">EXP(-E196*C196)</f>
        <v>0.22604058397086166</v>
      </c>
      <c r="G196" s="30">
        <f t="shared" ref="G196:G259" si="46">B196*F196</f>
        <v>10546.454827742942</v>
      </c>
      <c r="H196" s="38">
        <f t="shared" si="41"/>
        <v>111</v>
      </c>
      <c r="I196" s="39">
        <f t="shared" si="42"/>
        <v>111.709787816564</v>
      </c>
      <c r="J196" s="40">
        <f t="shared" si="43"/>
        <v>16</v>
      </c>
      <c r="K196" s="43">
        <f>VLOOKUP(J196,Data!$Z$3:$AA$122,2)</f>
        <v>6.2294147523690143E-3</v>
      </c>
      <c r="L196" s="41">
        <f t="shared" si="44"/>
        <v>0.70978781656400258</v>
      </c>
      <c r="M196" s="43">
        <f>VLOOKUP(H196,Data!$P$3:$X$122,9)</f>
        <v>0.48192399534466857</v>
      </c>
      <c r="N196" s="43">
        <f t="shared" ref="N196:N259" si="47">IF(M196=0, 0, EXP(-L196*M196))</f>
        <v>0.710302899857436</v>
      </c>
      <c r="O196" s="43">
        <f t="shared" ref="O196:O259" si="48">K196*N196</f>
        <v>4.4247713630224022E-3</v>
      </c>
      <c r="P196" s="30">
        <f t="shared" ref="P196:P259" si="49">G196*O196</f>
        <v>46.665651303206332</v>
      </c>
      <c r="Q196" s="31">
        <f t="shared" si="38"/>
        <v>847398.02786501101</v>
      </c>
    </row>
    <row r="197" spans="1:17" x14ac:dyDescent="0.25">
      <c r="A197" s="6">
        <f t="shared" ref="A197:A260" si="50">EOMONTH(A196,1)</f>
        <v>49187</v>
      </c>
      <c r="B197" s="30">
        <f>IFERROR(VLOOKUP(A197, Data!$L$3:$N$123, 3),1)*Pension</f>
        <v>46657.350828214367</v>
      </c>
      <c r="C197" s="37">
        <f t="shared" si="39"/>
        <v>16.16974674880219</v>
      </c>
      <c r="D197" s="37">
        <f>IFERROR(VLOOKUP(A197,Data!$I$3:$J$1442,2),0)</f>
        <v>9.2679249000000005E-2</v>
      </c>
      <c r="E197" s="37">
        <f t="shared" si="40"/>
        <v>9.2479248999999999E-2</v>
      </c>
      <c r="F197" s="37">
        <f t="shared" si="45"/>
        <v>0.22416653672285472</v>
      </c>
      <c r="G197" s="30">
        <f t="shared" si="46"/>
        <v>10459.016747824033</v>
      </c>
      <c r="H197" s="38">
        <f t="shared" si="41"/>
        <v>111</v>
      </c>
      <c r="I197" s="39">
        <f t="shared" si="42"/>
        <v>111.79466119096509</v>
      </c>
      <c r="J197" s="40">
        <f t="shared" si="43"/>
        <v>16</v>
      </c>
      <c r="K197" s="43">
        <f>VLOOKUP(J197,Data!$Z$3:$AA$122,2)</f>
        <v>6.2294147523690143E-3</v>
      </c>
      <c r="L197" s="41">
        <f t="shared" si="44"/>
        <v>0.79466119096508692</v>
      </c>
      <c r="M197" s="43">
        <f>VLOOKUP(H197,Data!$P$3:$X$122,9)</f>
        <v>0.48192399534466857</v>
      </c>
      <c r="N197" s="43">
        <f t="shared" si="47"/>
        <v>0.68183587943026536</v>
      </c>
      <c r="O197" s="43">
        <f t="shared" si="48"/>
        <v>4.2474384860173957E-3</v>
      </c>
      <c r="P197" s="30">
        <f t="shared" si="49"/>
        <v>44.424030260608298</v>
      </c>
      <c r="Q197" s="31">
        <f t="shared" ref="Q197:Q260" si="51">Q196+P197</f>
        <v>847442.45189527166</v>
      </c>
    </row>
    <row r="198" spans="1:17" x14ac:dyDescent="0.25">
      <c r="A198" s="6">
        <f t="shared" si="50"/>
        <v>49217</v>
      </c>
      <c r="B198" s="30">
        <f>IFERROR(VLOOKUP(A198, Data!$L$3:$N$123, 3),1)*Pension</f>
        <v>46657.350828214367</v>
      </c>
      <c r="C198" s="37">
        <f t="shared" si="39"/>
        <v>16.251882272416154</v>
      </c>
      <c r="D198" s="37">
        <f>IFERROR(VLOOKUP(A198,Data!$I$3:$J$1442,2),0)</f>
        <v>9.2708216999999996E-2</v>
      </c>
      <c r="E198" s="37">
        <f t="shared" si="40"/>
        <v>9.250821699999999E-2</v>
      </c>
      <c r="F198" s="37">
        <f t="shared" si="45"/>
        <v>0.22236554505639833</v>
      </c>
      <c r="G198" s="30">
        <f t="shared" si="46"/>
        <v>10374.987247803485</v>
      </c>
      <c r="H198" s="38">
        <f t="shared" si="41"/>
        <v>111</v>
      </c>
      <c r="I198" s="39">
        <f t="shared" si="42"/>
        <v>111.87679671457906</v>
      </c>
      <c r="J198" s="40">
        <f t="shared" si="43"/>
        <v>16</v>
      </c>
      <c r="K198" s="43">
        <f>VLOOKUP(J198,Data!$Z$3:$AA$122,2)</f>
        <v>6.2294147523690143E-3</v>
      </c>
      <c r="L198" s="41">
        <f t="shared" si="44"/>
        <v>0.87679671457905783</v>
      </c>
      <c r="M198" s="43">
        <f>VLOOKUP(H198,Data!$P$3:$X$122,9)</f>
        <v>0.48192399534466857</v>
      </c>
      <c r="N198" s="43">
        <f t="shared" si="47"/>
        <v>0.65537389392088996</v>
      </c>
      <c r="O198" s="43">
        <f t="shared" si="48"/>
        <v>4.0825958031083173E-3</v>
      </c>
      <c r="P198" s="30">
        <f t="shared" si="49"/>
        <v>42.356879395184819</v>
      </c>
      <c r="Q198" s="31">
        <f t="shared" si="51"/>
        <v>847484.80877466686</v>
      </c>
    </row>
    <row r="199" spans="1:17" x14ac:dyDescent="0.25">
      <c r="A199" s="6">
        <f t="shared" si="50"/>
        <v>49248</v>
      </c>
      <c r="B199" s="30">
        <f>IFERROR(VLOOKUP(A199, Data!$L$3:$N$123, 3),1)*Pension</f>
        <v>46657.350828214367</v>
      </c>
      <c r="C199" s="37">
        <f t="shared" si="39"/>
        <v>16.336755646817249</v>
      </c>
      <c r="D199" s="37">
        <f>IFERROR(VLOOKUP(A199,Data!$I$3:$J$1442,2),0)</f>
        <v>9.2755955000000001E-2</v>
      </c>
      <c r="E199" s="37">
        <f t="shared" si="40"/>
        <v>9.2555954999999995E-2</v>
      </c>
      <c r="F199" s="37">
        <f t="shared" si="45"/>
        <v>0.22045448547242352</v>
      </c>
      <c r="G199" s="30">
        <f t="shared" si="46"/>
        <v>10285.822270340352</v>
      </c>
      <c r="H199" s="38">
        <f t="shared" si="41"/>
        <v>111</v>
      </c>
      <c r="I199" s="39">
        <f t="shared" si="42"/>
        <v>111.96167008898016</v>
      </c>
      <c r="J199" s="40">
        <f t="shared" si="43"/>
        <v>16</v>
      </c>
      <c r="K199" s="43">
        <f>VLOOKUP(J199,Data!$Z$3:$AA$122,2)</f>
        <v>6.2294147523690143E-3</v>
      </c>
      <c r="L199" s="41">
        <f t="shared" si="44"/>
        <v>0.96167008898015638</v>
      </c>
      <c r="M199" s="43">
        <f>VLOOKUP(H199,Data!$P$3:$X$122,9)</f>
        <v>0.48192399534466857</v>
      </c>
      <c r="N199" s="43">
        <f t="shared" si="47"/>
        <v>0.62910827959011928</v>
      </c>
      <c r="O199" s="43">
        <f t="shared" si="48"/>
        <v>3.9189763977161797E-3</v>
      </c>
      <c r="P199" s="30">
        <f t="shared" si="49"/>
        <v>40.309894708567285</v>
      </c>
      <c r="Q199" s="31">
        <f t="shared" si="51"/>
        <v>847525.11866937543</v>
      </c>
    </row>
    <row r="200" spans="1:17" x14ac:dyDescent="0.25">
      <c r="A200" s="6">
        <f t="shared" si="50"/>
        <v>49278</v>
      </c>
      <c r="B200" s="30">
        <f>IFERROR(VLOOKUP(A200, Data!$L$3:$N$123, 3),1)*Pension</f>
        <v>46657.350828214367</v>
      </c>
      <c r="C200" s="37">
        <f t="shared" si="39"/>
        <v>16.418891170431213</v>
      </c>
      <c r="D200" s="37">
        <f>IFERROR(VLOOKUP(A200,Data!$I$3:$J$1442,2),0)</f>
        <v>9.2801681999999996E-2</v>
      </c>
      <c r="E200" s="37">
        <f t="shared" si="40"/>
        <v>9.2601681999999991E-2</v>
      </c>
      <c r="F200" s="37">
        <f t="shared" si="45"/>
        <v>0.21862071645379888</v>
      </c>
      <c r="G200" s="30">
        <f t="shared" si="46"/>
        <v>10200.263465900471</v>
      </c>
      <c r="H200" s="38">
        <f t="shared" si="41"/>
        <v>112</v>
      </c>
      <c r="I200" s="39">
        <f t="shared" si="42"/>
        <v>112.04380561259411</v>
      </c>
      <c r="J200" s="40">
        <f t="shared" si="43"/>
        <v>17</v>
      </c>
      <c r="K200" s="43">
        <f>VLOOKUP(J200,Data!$Z$3:$AA$122,2)</f>
        <v>3.8472491745745888E-3</v>
      </c>
      <c r="L200" s="41">
        <f t="shared" si="44"/>
        <v>4.3805612594113086E-2</v>
      </c>
      <c r="M200" s="43">
        <f>VLOOKUP(H200,Data!$P$3:$X$122,9)</f>
        <v>0.50277478557627986</v>
      </c>
      <c r="N200" s="43">
        <f t="shared" si="47"/>
        <v>0.97821640787537212</v>
      </c>
      <c r="O200" s="43">
        <f t="shared" si="48"/>
        <v>3.7634422677538448E-3</v>
      </c>
      <c r="P200" s="30">
        <f t="shared" si="49"/>
        <v>38.38810266979516</v>
      </c>
      <c r="Q200" s="31">
        <f t="shared" si="51"/>
        <v>847563.50677204528</v>
      </c>
    </row>
    <row r="201" spans="1:17" x14ac:dyDescent="0.25">
      <c r="A201" s="6">
        <f t="shared" si="50"/>
        <v>49309</v>
      </c>
      <c r="B201" s="30">
        <f>IFERROR(VLOOKUP(A201, Data!$L$3:$N$123, 3),1)*Pension</f>
        <v>48990.218369625087</v>
      </c>
      <c r="C201" s="37">
        <f t="shared" si="39"/>
        <v>16.503764544832308</v>
      </c>
      <c r="D201" s="37">
        <f>IFERROR(VLOOKUP(A201,Data!$I$3:$J$1442,2),0)</f>
        <v>9.2849135999999999E-2</v>
      </c>
      <c r="E201" s="37">
        <f t="shared" si="40"/>
        <v>9.2649135999999993E-2</v>
      </c>
      <c r="F201" s="37">
        <f t="shared" si="45"/>
        <v>0.21673940931086075</v>
      </c>
      <c r="G201" s="30">
        <f t="shared" si="46"/>
        <v>10618.110991442622</v>
      </c>
      <c r="H201" s="38">
        <f t="shared" si="41"/>
        <v>112</v>
      </c>
      <c r="I201" s="39">
        <f t="shared" si="42"/>
        <v>112.12867898699521</v>
      </c>
      <c r="J201" s="40">
        <f t="shared" si="43"/>
        <v>17</v>
      </c>
      <c r="K201" s="43">
        <f>VLOOKUP(J201,Data!$Z$3:$AA$122,2)</f>
        <v>3.8472491745745888E-3</v>
      </c>
      <c r="L201" s="41">
        <f t="shared" si="44"/>
        <v>0.12867898699521163</v>
      </c>
      <c r="M201" s="43">
        <f>VLOOKUP(H201,Data!$P$3:$X$122,9)</f>
        <v>0.50277478557627986</v>
      </c>
      <c r="N201" s="43">
        <f t="shared" si="47"/>
        <v>0.93735185955824873</v>
      </c>
      <c r="O201" s="43">
        <f t="shared" si="48"/>
        <v>3.6062261679714281E-3</v>
      </c>
      <c r="P201" s="30">
        <f t="shared" si="49"/>
        <v>38.291309711765429</v>
      </c>
      <c r="Q201" s="31">
        <f t="shared" si="51"/>
        <v>847601.79808175704</v>
      </c>
    </row>
    <row r="202" spans="1:17" x14ac:dyDescent="0.25">
      <c r="A202" s="6">
        <f t="shared" si="50"/>
        <v>49340</v>
      </c>
      <c r="B202" s="30">
        <f>IFERROR(VLOOKUP(A202, Data!$L$3:$N$123, 3),1)*Pension</f>
        <v>48990.218369625087</v>
      </c>
      <c r="C202" s="37">
        <f t="shared" si="39"/>
        <v>16.588637919233403</v>
      </c>
      <c r="D202" s="37">
        <f>IFERROR(VLOOKUP(A202,Data!$I$3:$J$1442,2),0)</f>
        <v>9.2905913000000007E-2</v>
      </c>
      <c r="E202" s="37">
        <f t="shared" si="40"/>
        <v>9.2705913000000001E-2</v>
      </c>
      <c r="F202" s="37">
        <f t="shared" si="45"/>
        <v>0.21483933189502827</v>
      </c>
      <c r="G202" s="30">
        <f t="shared" si="46"/>
        <v>10525.025783921794</v>
      </c>
      <c r="H202" s="38">
        <f t="shared" si="41"/>
        <v>112</v>
      </c>
      <c r="I202" s="39">
        <f t="shared" si="42"/>
        <v>112.21355236139631</v>
      </c>
      <c r="J202" s="40">
        <f t="shared" si="43"/>
        <v>17</v>
      </c>
      <c r="K202" s="43">
        <f>VLOOKUP(J202,Data!$Z$3:$AA$122,2)</f>
        <v>3.8472491745745888E-3</v>
      </c>
      <c r="L202" s="41">
        <f t="shared" si="44"/>
        <v>0.21355236139631018</v>
      </c>
      <c r="M202" s="43">
        <f>VLOOKUP(H202,Data!$P$3:$X$122,9)</f>
        <v>0.50277478557627986</v>
      </c>
      <c r="N202" s="43">
        <f t="shared" si="47"/>
        <v>0.89819440927763194</v>
      </c>
      <c r="O202" s="43">
        <f t="shared" si="48"/>
        <v>3.4555776997008797E-3</v>
      </c>
      <c r="P202" s="30">
        <f t="shared" si="49"/>
        <v>36.370044387696922</v>
      </c>
      <c r="Q202" s="31">
        <f t="shared" si="51"/>
        <v>847638.16812614468</v>
      </c>
    </row>
    <row r="203" spans="1:17" x14ac:dyDescent="0.25">
      <c r="A203" s="6">
        <f t="shared" si="50"/>
        <v>49368</v>
      </c>
      <c r="B203" s="30">
        <f>IFERROR(VLOOKUP(A203, Data!$L$3:$N$123, 3),1)*Pension</f>
        <v>48990.218369625087</v>
      </c>
      <c r="C203" s="37">
        <f t="shared" si="39"/>
        <v>16.6652977412731</v>
      </c>
      <c r="D203" s="37">
        <f>IFERROR(VLOOKUP(A203,Data!$I$3:$J$1442,2),0)</f>
        <v>9.2956698000000004E-2</v>
      </c>
      <c r="E203" s="37">
        <f t="shared" si="40"/>
        <v>9.2756697999999999E-2</v>
      </c>
      <c r="F203" s="37">
        <f t="shared" si="45"/>
        <v>0.21313745566112044</v>
      </c>
      <c r="G203" s="30">
        <f t="shared" si="46"/>
        <v>10441.650495584576</v>
      </c>
      <c r="H203" s="38">
        <f t="shared" si="41"/>
        <v>112</v>
      </c>
      <c r="I203" s="39">
        <f t="shared" si="42"/>
        <v>112.290212183436</v>
      </c>
      <c r="J203" s="40">
        <f t="shared" si="43"/>
        <v>17</v>
      </c>
      <c r="K203" s="43">
        <f>VLOOKUP(J203,Data!$Z$3:$AA$122,2)</f>
        <v>3.8472491745745888E-3</v>
      </c>
      <c r="L203" s="41">
        <f t="shared" si="44"/>
        <v>0.29021218343599742</v>
      </c>
      <c r="M203" s="43">
        <f>VLOOKUP(H203,Data!$P$3:$X$122,9)</f>
        <v>0.50277478557627986</v>
      </c>
      <c r="N203" s="43">
        <f t="shared" si="47"/>
        <v>0.86423429834643373</v>
      </c>
      <c r="O203" s="43">
        <f t="shared" si="48"/>
        <v>3.324924690952366E-3</v>
      </c>
      <c r="P203" s="30">
        <f t="shared" si="49"/>
        <v>34.717701547064166</v>
      </c>
      <c r="Q203" s="31">
        <f t="shared" si="51"/>
        <v>847672.88582769176</v>
      </c>
    </row>
    <row r="204" spans="1:17" x14ac:dyDescent="0.25">
      <c r="A204" s="6">
        <f t="shared" si="50"/>
        <v>49399</v>
      </c>
      <c r="B204" s="30">
        <f>IFERROR(VLOOKUP(A204, Data!$L$3:$N$123, 3),1)*Pension</f>
        <v>48990.218369625087</v>
      </c>
      <c r="C204" s="37">
        <f t="shared" si="39"/>
        <v>16.750171115674195</v>
      </c>
      <c r="D204" s="37">
        <f>IFERROR(VLOOKUP(A204,Data!$I$3:$J$1442,2),0)</f>
        <v>9.3013723000000006E-2</v>
      </c>
      <c r="E204" s="37">
        <f t="shared" si="40"/>
        <v>9.2813723000000001E-2</v>
      </c>
      <c r="F204" s="37">
        <f t="shared" si="45"/>
        <v>0.21126421139479865</v>
      </c>
      <c r="G204" s="30">
        <f t="shared" si="46"/>
        <v>10349.879849917823</v>
      </c>
      <c r="H204" s="38">
        <f t="shared" si="41"/>
        <v>112</v>
      </c>
      <c r="I204" s="39">
        <f t="shared" si="42"/>
        <v>112.3750855578371</v>
      </c>
      <c r="J204" s="40">
        <f t="shared" si="43"/>
        <v>17</v>
      </c>
      <c r="K204" s="43">
        <f>VLOOKUP(J204,Data!$Z$3:$AA$122,2)</f>
        <v>3.8472491745745888E-3</v>
      </c>
      <c r="L204" s="41">
        <f t="shared" si="44"/>
        <v>0.37508555783709596</v>
      </c>
      <c r="M204" s="43">
        <f>VLOOKUP(H204,Data!$P$3:$X$122,9)</f>
        <v>0.50277478557627986</v>
      </c>
      <c r="N204" s="43">
        <f t="shared" si="47"/>
        <v>0.82813130113869071</v>
      </c>
      <c r="O204" s="43">
        <f t="shared" si="48"/>
        <v>3.1860274647452082E-3</v>
      </c>
      <c r="P204" s="30">
        <f t="shared" si="49"/>
        <v>32.975001458651199</v>
      </c>
      <c r="Q204" s="31">
        <f t="shared" si="51"/>
        <v>847705.86082915042</v>
      </c>
    </row>
    <row r="205" spans="1:17" x14ac:dyDescent="0.25">
      <c r="A205" s="6">
        <f t="shared" si="50"/>
        <v>49429</v>
      </c>
      <c r="B205" s="30">
        <f>IFERROR(VLOOKUP(A205, Data!$L$3:$N$123, 3),1)*Pension</f>
        <v>48990.218369625087</v>
      </c>
      <c r="C205" s="37">
        <f t="shared" si="39"/>
        <v>16.832306639288159</v>
      </c>
      <c r="D205" s="37">
        <f>IFERROR(VLOOKUP(A205,Data!$I$3:$J$1442,2),0)</f>
        <v>9.3087063999999997E-2</v>
      </c>
      <c r="E205" s="37">
        <f t="shared" si="40"/>
        <v>9.2887063999999991E-2</v>
      </c>
      <c r="F205" s="37">
        <f t="shared" si="45"/>
        <v>0.20940113840085822</v>
      </c>
      <c r="G205" s="30">
        <f t="shared" si="46"/>
        <v>10258.60749710613</v>
      </c>
      <c r="H205" s="38">
        <f t="shared" si="41"/>
        <v>112</v>
      </c>
      <c r="I205" s="39">
        <f t="shared" si="42"/>
        <v>112.45722108145107</v>
      </c>
      <c r="J205" s="40">
        <f t="shared" si="43"/>
        <v>17</v>
      </c>
      <c r="K205" s="43">
        <f>VLOOKUP(J205,Data!$Z$3:$AA$122,2)</f>
        <v>3.8472491745745888E-3</v>
      </c>
      <c r="L205" s="41">
        <f t="shared" si="44"/>
        <v>0.45722108145106688</v>
      </c>
      <c r="M205" s="43">
        <f>VLOOKUP(H205,Data!$P$3:$X$122,9)</f>
        <v>0.50277478557627986</v>
      </c>
      <c r="N205" s="43">
        <f t="shared" si="47"/>
        <v>0.79462956317739952</v>
      </c>
      <c r="O205" s="43">
        <f t="shared" si="48"/>
        <v>3.0571379310268165E-3</v>
      </c>
      <c r="P205" s="30">
        <f t="shared" si="49"/>
        <v>31.361978098919224</v>
      </c>
      <c r="Q205" s="31">
        <f t="shared" si="51"/>
        <v>847737.22280724929</v>
      </c>
    </row>
    <row r="206" spans="1:17" x14ac:dyDescent="0.25">
      <c r="A206" s="6">
        <f t="shared" si="50"/>
        <v>49460</v>
      </c>
      <c r="B206" s="30">
        <f>IFERROR(VLOOKUP(A206, Data!$L$3:$N$123, 3),1)*Pension</f>
        <v>48990.218369625087</v>
      </c>
      <c r="C206" s="37">
        <f t="shared" si="39"/>
        <v>16.917180013689254</v>
      </c>
      <c r="D206" s="37">
        <f>IFERROR(VLOOKUP(A206,Data!$I$3:$J$1442,2),0)</f>
        <v>9.3162102999999996E-2</v>
      </c>
      <c r="E206" s="37">
        <f t="shared" si="40"/>
        <v>9.296210299999999E-2</v>
      </c>
      <c r="F206" s="37">
        <f t="shared" si="45"/>
        <v>0.20749321660580253</v>
      </c>
      <c r="G206" s="30">
        <f t="shared" si="46"/>
        <v>10165.137991734184</v>
      </c>
      <c r="H206" s="38">
        <f t="shared" si="41"/>
        <v>112</v>
      </c>
      <c r="I206" s="39">
        <f t="shared" si="42"/>
        <v>112.54209445585215</v>
      </c>
      <c r="J206" s="40">
        <f t="shared" si="43"/>
        <v>17</v>
      </c>
      <c r="K206" s="43">
        <f>VLOOKUP(J206,Data!$Z$3:$AA$122,2)</f>
        <v>3.8472491745745888E-3</v>
      </c>
      <c r="L206" s="41">
        <f t="shared" si="44"/>
        <v>0.54209445585215121</v>
      </c>
      <c r="M206" s="43">
        <f>VLOOKUP(H206,Data!$P$3:$X$122,9)</f>
        <v>0.50277478557627986</v>
      </c>
      <c r="N206" s="43">
        <f t="shared" si="47"/>
        <v>0.761434272322281</v>
      </c>
      <c r="O206" s="43">
        <f t="shared" si="48"/>
        <v>2.9294273756846983E-3</v>
      </c>
      <c r="P206" s="30">
        <f t="shared" si="49"/>
        <v>29.778033510598693</v>
      </c>
      <c r="Q206" s="31">
        <f t="shared" si="51"/>
        <v>847767.00084075984</v>
      </c>
    </row>
    <row r="207" spans="1:17" x14ac:dyDescent="0.25">
      <c r="A207" s="6">
        <f t="shared" si="50"/>
        <v>49490</v>
      </c>
      <c r="B207" s="30">
        <f>IFERROR(VLOOKUP(A207, Data!$L$3:$N$123, 3),1)*Pension</f>
        <v>48990.218369625087</v>
      </c>
      <c r="C207" s="37">
        <f t="shared" si="39"/>
        <v>16.999315537303218</v>
      </c>
      <c r="D207" s="37">
        <f>IFERROR(VLOOKUP(A207,Data!$I$3:$J$1442,2),0)</f>
        <v>9.3234371999999996E-2</v>
      </c>
      <c r="E207" s="37">
        <f t="shared" si="40"/>
        <v>9.303437199999999E-2</v>
      </c>
      <c r="F207" s="37">
        <f t="shared" si="45"/>
        <v>0.20566212113434593</v>
      </c>
      <c r="G207" s="30">
        <f t="shared" si="46"/>
        <v>10075.432224731894</v>
      </c>
      <c r="H207" s="38">
        <f t="shared" si="41"/>
        <v>112</v>
      </c>
      <c r="I207" s="39">
        <f t="shared" si="42"/>
        <v>112.62422997946612</v>
      </c>
      <c r="J207" s="40">
        <f t="shared" si="43"/>
        <v>17</v>
      </c>
      <c r="K207" s="43">
        <f>VLOOKUP(J207,Data!$Z$3:$AA$122,2)</f>
        <v>3.8472491745745888E-3</v>
      </c>
      <c r="L207" s="41">
        <f t="shared" si="44"/>
        <v>0.62422997946612213</v>
      </c>
      <c r="M207" s="43">
        <f>VLOOKUP(H207,Data!$P$3:$X$122,9)</f>
        <v>0.50277478557627986</v>
      </c>
      <c r="N207" s="43">
        <f t="shared" si="47"/>
        <v>0.73063073738644202</v>
      </c>
      <c r="O207" s="43">
        <f t="shared" si="48"/>
        <v>2.8109185013288122E-3</v>
      </c>
      <c r="P207" s="30">
        <f t="shared" si="49"/>
        <v>28.321218849383396</v>
      </c>
      <c r="Q207" s="31">
        <f t="shared" si="51"/>
        <v>847795.32205960923</v>
      </c>
    </row>
    <row r="208" spans="1:17" x14ac:dyDescent="0.25">
      <c r="A208" s="6">
        <f t="shared" si="50"/>
        <v>49521</v>
      </c>
      <c r="B208" s="30">
        <f>IFERROR(VLOOKUP(A208, Data!$L$3:$N$123, 3),1)*Pension</f>
        <v>48990.218369625087</v>
      </c>
      <c r="C208" s="37">
        <f t="shared" si="39"/>
        <v>17.084188911704313</v>
      </c>
      <c r="D208" s="37">
        <f>IFERROR(VLOOKUP(A208,Data!$I$3:$J$1442,2),0)</f>
        <v>9.3319191999999995E-2</v>
      </c>
      <c r="E208" s="37">
        <f t="shared" si="40"/>
        <v>9.311919199999999E-2</v>
      </c>
      <c r="F208" s="37">
        <f t="shared" si="45"/>
        <v>0.20374911561035405</v>
      </c>
      <c r="G208" s="30">
        <f t="shared" si="46"/>
        <v>9981.7136663692327</v>
      </c>
      <c r="H208" s="38">
        <f t="shared" si="41"/>
        <v>112</v>
      </c>
      <c r="I208" s="39">
        <f t="shared" si="42"/>
        <v>112.70910335386722</v>
      </c>
      <c r="J208" s="40">
        <f t="shared" si="43"/>
        <v>17</v>
      </c>
      <c r="K208" s="43">
        <f>VLOOKUP(J208,Data!$Z$3:$AA$122,2)</f>
        <v>3.8472491745745888E-3</v>
      </c>
      <c r="L208" s="41">
        <f t="shared" si="44"/>
        <v>0.70910335386722068</v>
      </c>
      <c r="M208" s="43">
        <f>VLOOKUP(H208,Data!$P$3:$X$122,9)</f>
        <v>0.50277478557627986</v>
      </c>
      <c r="N208" s="43">
        <f t="shared" si="47"/>
        <v>0.70010896855335625</v>
      </c>
      <c r="O208" s="43">
        <f t="shared" si="48"/>
        <v>2.6934936513791667E-3</v>
      </c>
      <c r="P208" s="30">
        <f t="shared" si="49"/>
        <v>26.885682390250192</v>
      </c>
      <c r="Q208" s="31">
        <f t="shared" si="51"/>
        <v>847822.20774199953</v>
      </c>
    </row>
    <row r="209" spans="1:17" x14ac:dyDescent="0.25">
      <c r="A209" s="6">
        <f t="shared" si="50"/>
        <v>49552</v>
      </c>
      <c r="B209" s="30">
        <f>IFERROR(VLOOKUP(A209, Data!$L$3:$N$123, 3),1)*Pension</f>
        <v>48990.218369625087</v>
      </c>
      <c r="C209" s="37">
        <f t="shared" si="39"/>
        <v>17.169062286105408</v>
      </c>
      <c r="D209" s="37">
        <f>IFERROR(VLOOKUP(A209,Data!$I$3:$J$1442,2),0)</f>
        <v>9.3403173000000006E-2</v>
      </c>
      <c r="E209" s="37">
        <f t="shared" si="40"/>
        <v>9.3203173E-2</v>
      </c>
      <c r="F209" s="37">
        <f t="shared" si="45"/>
        <v>0.20185390567048106</v>
      </c>
      <c r="G209" s="30">
        <f t="shared" si="46"/>
        <v>9888.866917558571</v>
      </c>
      <c r="H209" s="38">
        <f t="shared" si="41"/>
        <v>112</v>
      </c>
      <c r="I209" s="39">
        <f t="shared" si="42"/>
        <v>112.79397672826831</v>
      </c>
      <c r="J209" s="40">
        <f t="shared" si="43"/>
        <v>17</v>
      </c>
      <c r="K209" s="43">
        <f>VLOOKUP(J209,Data!$Z$3:$AA$122,2)</f>
        <v>3.8472491745745888E-3</v>
      </c>
      <c r="L209" s="41">
        <f t="shared" si="44"/>
        <v>0.79397672826830501</v>
      </c>
      <c r="M209" s="43">
        <f>VLOOKUP(H209,Data!$P$3:$X$122,9)</f>
        <v>0.50277478557627986</v>
      </c>
      <c r="N209" s="43">
        <f t="shared" si="47"/>
        <v>0.6708622328184346</v>
      </c>
      <c r="O209" s="43">
        <f t="shared" si="48"/>
        <v>2.5809741714639882E-3</v>
      </c>
      <c r="P209" s="30">
        <f t="shared" si="49"/>
        <v>25.522910099263374</v>
      </c>
      <c r="Q209" s="31">
        <f t="shared" si="51"/>
        <v>847847.73065209878</v>
      </c>
    </row>
    <row r="210" spans="1:17" x14ac:dyDescent="0.25">
      <c r="A210" s="6">
        <f t="shared" si="50"/>
        <v>49582</v>
      </c>
      <c r="B210" s="30">
        <f>IFERROR(VLOOKUP(A210, Data!$L$3:$N$123, 3),1)*Pension</f>
        <v>48990.218369625087</v>
      </c>
      <c r="C210" s="37">
        <f t="shared" si="39"/>
        <v>17.251197809719372</v>
      </c>
      <c r="D210" s="37">
        <f>IFERROR(VLOOKUP(A210,Data!$I$3:$J$1442,2),0)</f>
        <v>9.3484435000000005E-2</v>
      </c>
      <c r="E210" s="37">
        <f t="shared" si="40"/>
        <v>9.3284434999999999E-2</v>
      </c>
      <c r="F210" s="37">
        <f t="shared" si="45"/>
        <v>0.20003393721524904</v>
      </c>
      <c r="G210" s="30">
        <f t="shared" si="46"/>
        <v>9799.7062655109239</v>
      </c>
      <c r="H210" s="38">
        <f t="shared" si="41"/>
        <v>112</v>
      </c>
      <c r="I210" s="39">
        <f t="shared" si="42"/>
        <v>112.87611225188228</v>
      </c>
      <c r="J210" s="40">
        <f t="shared" si="43"/>
        <v>17</v>
      </c>
      <c r="K210" s="43">
        <f>VLOOKUP(J210,Data!$Z$3:$AA$122,2)</f>
        <v>3.8472491745745888E-3</v>
      </c>
      <c r="L210" s="41">
        <f t="shared" si="44"/>
        <v>0.87611225188227593</v>
      </c>
      <c r="M210" s="43">
        <f>VLOOKUP(H210,Data!$P$3:$X$122,9)</f>
        <v>0.50277478557627986</v>
      </c>
      <c r="N210" s="43">
        <f t="shared" si="47"/>
        <v>0.643722755417802</v>
      </c>
      <c r="O210" s="43">
        <f t="shared" si="48"/>
        <v>2.4765618394360185E-3</v>
      </c>
      <c r="P210" s="30">
        <f t="shared" si="49"/>
        <v>24.26957857484641</v>
      </c>
      <c r="Q210" s="31">
        <f t="shared" si="51"/>
        <v>847872.00023067358</v>
      </c>
    </row>
    <row r="211" spans="1:17" x14ac:dyDescent="0.25">
      <c r="A211" s="6">
        <f t="shared" si="50"/>
        <v>49613</v>
      </c>
      <c r="B211" s="30">
        <f>IFERROR(VLOOKUP(A211, Data!$L$3:$N$123, 3),1)*Pension</f>
        <v>48990.218369625087</v>
      </c>
      <c r="C211" s="37">
        <f t="shared" si="39"/>
        <v>17.336071184120467</v>
      </c>
      <c r="D211" s="37">
        <f>IFERROR(VLOOKUP(A211,Data!$I$3:$J$1442,2),0)</f>
        <v>9.3590787999999994E-2</v>
      </c>
      <c r="E211" s="37">
        <f t="shared" si="40"/>
        <v>9.3390787999999988E-2</v>
      </c>
      <c r="F211" s="37">
        <f t="shared" si="45"/>
        <v>0.19809088296802568</v>
      </c>
      <c r="G211" s="30">
        <f t="shared" si="46"/>
        <v>9704.5156136354253</v>
      </c>
      <c r="H211" s="38">
        <f t="shared" si="41"/>
        <v>112</v>
      </c>
      <c r="I211" s="39">
        <f t="shared" si="42"/>
        <v>112.96098562628337</v>
      </c>
      <c r="J211" s="40">
        <f t="shared" si="43"/>
        <v>17</v>
      </c>
      <c r="K211" s="43">
        <f>VLOOKUP(J211,Data!$Z$3:$AA$122,2)</f>
        <v>3.8472491745745888E-3</v>
      </c>
      <c r="L211" s="41">
        <f t="shared" si="44"/>
        <v>0.96098562628337447</v>
      </c>
      <c r="M211" s="43">
        <f>VLOOKUP(H211,Data!$P$3:$X$122,9)</f>
        <v>0.50277478557627986</v>
      </c>
      <c r="N211" s="43">
        <f t="shared" si="47"/>
        <v>0.61683152825188647</v>
      </c>
      <c r="O211" s="43">
        <f t="shared" si="48"/>
        <v>2.3731045879186526E-3</v>
      </c>
      <c r="P211" s="30">
        <f t="shared" si="49"/>
        <v>23.029830526246425</v>
      </c>
      <c r="Q211" s="31">
        <f t="shared" si="51"/>
        <v>847895.0300611998</v>
      </c>
    </row>
    <row r="212" spans="1:17" x14ac:dyDescent="0.25">
      <c r="A212" s="6">
        <f t="shared" si="50"/>
        <v>49643</v>
      </c>
      <c r="B212" s="30">
        <f>IFERROR(VLOOKUP(A212, Data!$L$3:$N$123, 3),1)*Pension</f>
        <v>48990.218369625087</v>
      </c>
      <c r="C212" s="37">
        <f t="shared" si="39"/>
        <v>17.418206707734427</v>
      </c>
      <c r="D212" s="37">
        <f>IFERROR(VLOOKUP(A212,Data!$I$3:$J$1442,2),0)</f>
        <v>9.3692722000000006E-2</v>
      </c>
      <c r="E212" s="37">
        <f t="shared" si="40"/>
        <v>9.3492722E-2</v>
      </c>
      <c r="F212" s="37">
        <f t="shared" si="45"/>
        <v>0.19622848528217424</v>
      </c>
      <c r="G212" s="30">
        <f t="shared" si="46"/>
        <v>9613.2763443144777</v>
      </c>
      <c r="H212" s="38">
        <f t="shared" si="41"/>
        <v>113</v>
      </c>
      <c r="I212" s="39">
        <f t="shared" si="42"/>
        <v>113.04312114989733</v>
      </c>
      <c r="J212" s="40">
        <f t="shared" si="43"/>
        <v>18</v>
      </c>
      <c r="K212" s="43">
        <f>VLOOKUP(J212,Data!$Z$3:$AA$122,2)</f>
        <v>2.3270086632414398E-3</v>
      </c>
      <c r="L212" s="41">
        <f t="shared" si="44"/>
        <v>4.3121149897331179E-2</v>
      </c>
      <c r="M212" s="43">
        <f>VLOOKUP(H212,Data!$P$3:$X$122,9)</f>
        <v>0.5235630683480893</v>
      </c>
      <c r="N212" s="43">
        <f t="shared" si="47"/>
        <v>0.97767630369362635</v>
      </c>
      <c r="O212" s="43">
        <f t="shared" si="48"/>
        <v>2.2750612285409376E-3</v>
      </c>
      <c r="P212" s="30">
        <f t="shared" si="49"/>
        <v>21.870792290199628</v>
      </c>
      <c r="Q212" s="31">
        <f t="shared" si="51"/>
        <v>847916.90085348999</v>
      </c>
    </row>
    <row r="213" spans="1:17" x14ac:dyDescent="0.25">
      <c r="A213" s="6">
        <f t="shared" si="50"/>
        <v>49674</v>
      </c>
      <c r="B213" s="30">
        <f>IFERROR(VLOOKUP(A213, Data!$L$3:$N$123, 3),1)*Pension</f>
        <v>51439.72928810634</v>
      </c>
      <c r="C213" s="37">
        <f t="shared" si="39"/>
        <v>17.503080082135522</v>
      </c>
      <c r="D213" s="37">
        <f>IFERROR(VLOOKUP(A213,Data!$I$3:$J$1442,2),0)</f>
        <v>9.3797758999999994E-2</v>
      </c>
      <c r="E213" s="37">
        <f t="shared" si="40"/>
        <v>9.3597758999999989E-2</v>
      </c>
      <c r="F213" s="37">
        <f t="shared" si="45"/>
        <v>0.19431998503790457</v>
      </c>
      <c r="G213" s="30">
        <f t="shared" si="46"/>
        <v>9995.7674256186856</v>
      </c>
      <c r="H213" s="38">
        <f t="shared" si="41"/>
        <v>113</v>
      </c>
      <c r="I213" s="39">
        <f t="shared" si="42"/>
        <v>113.12799452429843</v>
      </c>
      <c r="J213" s="40">
        <f t="shared" si="43"/>
        <v>18</v>
      </c>
      <c r="K213" s="43">
        <f>VLOOKUP(J213,Data!$Z$3:$AA$122,2)</f>
        <v>2.3270086632414398E-3</v>
      </c>
      <c r="L213" s="41">
        <f t="shared" si="44"/>
        <v>0.12799452429842972</v>
      </c>
      <c r="M213" s="43">
        <f>VLOOKUP(H213,Data!$P$3:$X$122,9)</f>
        <v>0.5235630683480893</v>
      </c>
      <c r="N213" s="43">
        <f t="shared" si="47"/>
        <v>0.93518285134885248</v>
      </c>
      <c r="O213" s="43">
        <f t="shared" si="48"/>
        <v>2.1761785968036113E-3</v>
      </c>
      <c r="P213" s="30">
        <f t="shared" si="49"/>
        <v>21.752575130258116</v>
      </c>
      <c r="Q213" s="31">
        <f t="shared" si="51"/>
        <v>847938.65342862019</v>
      </c>
    </row>
    <row r="214" spans="1:17" x14ac:dyDescent="0.25">
      <c r="A214" s="6">
        <f t="shared" si="50"/>
        <v>49705</v>
      </c>
      <c r="B214" s="30">
        <f>IFERROR(VLOOKUP(A214, Data!$L$3:$N$123, 3),1)*Pension</f>
        <v>51439.72928810634</v>
      </c>
      <c r="C214" s="37">
        <f t="shared" si="39"/>
        <v>17.587953456536617</v>
      </c>
      <c r="D214" s="37">
        <f>IFERROR(VLOOKUP(A214,Data!$I$3:$J$1442,2),0)</f>
        <v>9.3912010000000004E-2</v>
      </c>
      <c r="E214" s="37">
        <f t="shared" si="40"/>
        <v>9.3712009999999998E-2</v>
      </c>
      <c r="F214" s="37">
        <f t="shared" si="45"/>
        <v>0.1923954345083804</v>
      </c>
      <c r="G214" s="30">
        <f t="shared" si="46"/>
        <v>9896.7690673786801</v>
      </c>
      <c r="H214" s="38">
        <f t="shared" si="41"/>
        <v>113</v>
      </c>
      <c r="I214" s="39">
        <f t="shared" si="42"/>
        <v>113.21286789869951</v>
      </c>
      <c r="J214" s="40">
        <f t="shared" si="43"/>
        <v>18</v>
      </c>
      <c r="K214" s="43">
        <f>VLOOKUP(J214,Data!$Z$3:$AA$122,2)</f>
        <v>2.3270086632414398E-3</v>
      </c>
      <c r="L214" s="41">
        <f t="shared" si="44"/>
        <v>0.21286789869951406</v>
      </c>
      <c r="M214" s="43">
        <f>VLOOKUP(H214,Data!$P$3:$X$122,9)</f>
        <v>0.5235630683480893</v>
      </c>
      <c r="N214" s="43">
        <f t="shared" si="47"/>
        <v>0.89453632265903693</v>
      </c>
      <c r="O214" s="43">
        <f t="shared" si="48"/>
        <v>2.0815937724117189E-3</v>
      </c>
      <c r="P214" s="30">
        <f t="shared" si="49"/>
        <v>20.601052857652395</v>
      </c>
      <c r="Q214" s="31">
        <f t="shared" si="51"/>
        <v>847959.2544814779</v>
      </c>
    </row>
    <row r="215" spans="1:17" x14ac:dyDescent="0.25">
      <c r="A215" s="6">
        <f t="shared" si="50"/>
        <v>49734</v>
      </c>
      <c r="B215" s="30">
        <f>IFERROR(VLOOKUP(A215, Data!$L$3:$N$123, 3),1)*Pension</f>
        <v>51439.72928810634</v>
      </c>
      <c r="C215" s="37">
        <f t="shared" si="39"/>
        <v>17.66735112936345</v>
      </c>
      <c r="D215" s="37">
        <f>IFERROR(VLOOKUP(A215,Data!$I$3:$J$1442,2),0)</f>
        <v>9.4017897000000003E-2</v>
      </c>
      <c r="E215" s="37">
        <f t="shared" si="40"/>
        <v>9.3817896999999997E-2</v>
      </c>
      <c r="F215" s="37">
        <f t="shared" si="45"/>
        <v>0.1906123053892263</v>
      </c>
      <c r="G215" s="30">
        <f t="shared" si="46"/>
        <v>9805.0453882036545</v>
      </c>
      <c r="H215" s="38">
        <f t="shared" si="41"/>
        <v>113</v>
      </c>
      <c r="I215" s="39">
        <f t="shared" si="42"/>
        <v>113.29226557152636</v>
      </c>
      <c r="J215" s="40">
        <f t="shared" si="43"/>
        <v>18</v>
      </c>
      <c r="K215" s="43">
        <f>VLOOKUP(J215,Data!$Z$3:$AA$122,2)</f>
        <v>2.3270086632414398E-3</v>
      </c>
      <c r="L215" s="41">
        <f t="shared" si="44"/>
        <v>0.29226557152635735</v>
      </c>
      <c r="M215" s="43">
        <f>VLOOKUP(H215,Data!$P$3:$X$122,9)</f>
        <v>0.5235630683480893</v>
      </c>
      <c r="N215" s="43">
        <f t="shared" si="47"/>
        <v>0.85811302328363004</v>
      </c>
      <c r="O215" s="43">
        <f t="shared" si="48"/>
        <v>1.9968364392213105E-3</v>
      </c>
      <c r="P215" s="30">
        <f t="shared" si="49"/>
        <v>19.579071919383917</v>
      </c>
      <c r="Q215" s="31">
        <f t="shared" si="51"/>
        <v>847978.83355339733</v>
      </c>
    </row>
    <row r="216" spans="1:17" x14ac:dyDescent="0.25">
      <c r="A216" s="6">
        <f t="shared" si="50"/>
        <v>49765</v>
      </c>
      <c r="B216" s="30">
        <f>IFERROR(VLOOKUP(A216, Data!$L$3:$N$123, 3),1)*Pension</f>
        <v>51439.72928810634</v>
      </c>
      <c r="C216" s="37">
        <f t="shared" si="39"/>
        <v>17.752224503764545</v>
      </c>
      <c r="D216" s="37">
        <f>IFERROR(VLOOKUP(A216,Data!$I$3:$J$1442,2),0)</f>
        <v>9.4131610000000004E-2</v>
      </c>
      <c r="E216" s="37">
        <f t="shared" si="40"/>
        <v>9.3931609999999999E-2</v>
      </c>
      <c r="F216" s="37">
        <f t="shared" si="45"/>
        <v>0.18871921023915023</v>
      </c>
      <c r="G216" s="30">
        <f t="shared" si="46"/>
        <v>9707.6650861671133</v>
      </c>
      <c r="H216" s="38">
        <f t="shared" si="41"/>
        <v>113</v>
      </c>
      <c r="I216" s="39">
        <f t="shared" si="42"/>
        <v>113.37713894592744</v>
      </c>
      <c r="J216" s="40">
        <f t="shared" si="43"/>
        <v>18</v>
      </c>
      <c r="K216" s="43">
        <f>VLOOKUP(J216,Data!$Z$3:$AA$122,2)</f>
        <v>2.3270086632414398E-3</v>
      </c>
      <c r="L216" s="41">
        <f t="shared" si="44"/>
        <v>0.37713894592744168</v>
      </c>
      <c r="M216" s="43">
        <f>VLOOKUP(H216,Data!$P$3:$X$122,9)</f>
        <v>0.5235630683480893</v>
      </c>
      <c r="N216" s="43">
        <f t="shared" si="47"/>
        <v>0.82081623627594003</v>
      </c>
      <c r="O216" s="43">
        <f t="shared" si="48"/>
        <v>1.9100464927433451E-3</v>
      </c>
      <c r="P216" s="30">
        <f t="shared" si="49"/>
        <v>18.542091650560518</v>
      </c>
      <c r="Q216" s="31">
        <f t="shared" si="51"/>
        <v>847997.37564504787</v>
      </c>
    </row>
    <row r="217" spans="1:17" x14ac:dyDescent="0.25">
      <c r="A217" s="6">
        <f t="shared" si="50"/>
        <v>49795</v>
      </c>
      <c r="B217" s="30">
        <f>IFERROR(VLOOKUP(A217, Data!$L$3:$N$123, 3),1)*Pension</f>
        <v>51439.72928810634</v>
      </c>
      <c r="C217" s="37">
        <f t="shared" si="39"/>
        <v>17.834360027378509</v>
      </c>
      <c r="D217" s="37">
        <f>IFERROR(VLOOKUP(A217,Data!$I$3:$J$1442,2),0)</f>
        <v>9.4262566000000006E-2</v>
      </c>
      <c r="E217" s="37">
        <f t="shared" si="40"/>
        <v>9.4062566E-2</v>
      </c>
      <c r="F217" s="37">
        <f t="shared" si="45"/>
        <v>0.18683196160709759</v>
      </c>
      <c r="G217" s="30">
        <f t="shared" si="46"/>
        <v>9610.5855274349778</v>
      </c>
      <c r="H217" s="38">
        <f t="shared" si="41"/>
        <v>113</v>
      </c>
      <c r="I217" s="39">
        <f t="shared" si="42"/>
        <v>113.45927446954141</v>
      </c>
      <c r="J217" s="40">
        <f t="shared" si="43"/>
        <v>18</v>
      </c>
      <c r="K217" s="43">
        <f>VLOOKUP(J217,Data!$Z$3:$AA$122,2)</f>
        <v>2.3270086632414398E-3</v>
      </c>
      <c r="L217" s="41">
        <f t="shared" si="44"/>
        <v>0.4592744695414126</v>
      </c>
      <c r="M217" s="43">
        <f>VLOOKUP(H217,Data!$P$3:$X$122,9)</f>
        <v>0.5235630683480893</v>
      </c>
      <c r="N217" s="43">
        <f t="shared" si="47"/>
        <v>0.78626676340645019</v>
      </c>
      <c r="O217" s="43">
        <f t="shared" si="48"/>
        <v>1.8296495700656171E-3</v>
      </c>
      <c r="P217" s="30">
        <f t="shared" si="49"/>
        <v>17.58400367835025</v>
      </c>
      <c r="Q217" s="31">
        <f t="shared" si="51"/>
        <v>848014.95964872628</v>
      </c>
    </row>
    <row r="218" spans="1:17" x14ac:dyDescent="0.25">
      <c r="A218" s="6">
        <f t="shared" si="50"/>
        <v>49826</v>
      </c>
      <c r="B218" s="30">
        <f>IFERROR(VLOOKUP(A218, Data!$L$3:$N$123, 3),1)*Pension</f>
        <v>51439.72928810634</v>
      </c>
      <c r="C218" s="37">
        <f t="shared" si="39"/>
        <v>17.919233401779604</v>
      </c>
      <c r="D218" s="37">
        <f>IFERROR(VLOOKUP(A218,Data!$I$3:$J$1442,2),0)</f>
        <v>9.4396625999999997E-2</v>
      </c>
      <c r="E218" s="37">
        <f t="shared" si="40"/>
        <v>9.4196625999999992E-2</v>
      </c>
      <c r="F218" s="37">
        <f t="shared" si="45"/>
        <v>0.18490162964827769</v>
      </c>
      <c r="G218" s="30">
        <f t="shared" si="46"/>
        <v>9511.2897740371009</v>
      </c>
      <c r="H218" s="38">
        <f t="shared" si="41"/>
        <v>113</v>
      </c>
      <c r="I218" s="39">
        <f t="shared" si="42"/>
        <v>113.54414784394251</v>
      </c>
      <c r="J218" s="40">
        <f t="shared" si="43"/>
        <v>18</v>
      </c>
      <c r="K218" s="43">
        <f>VLOOKUP(J218,Data!$Z$3:$AA$122,2)</f>
        <v>2.3270086632414398E-3</v>
      </c>
      <c r="L218" s="41">
        <f t="shared" si="44"/>
        <v>0.54414784394251114</v>
      </c>
      <c r="M218" s="43">
        <f>VLOOKUP(H218,Data!$P$3:$X$122,9)</f>
        <v>0.5235630683480893</v>
      </c>
      <c r="N218" s="43">
        <f t="shared" si="47"/>
        <v>0.75209268235849458</v>
      </c>
      <c r="O218" s="43">
        <f t="shared" si="48"/>
        <v>1.7501261874087093E-3</v>
      </c>
      <c r="P218" s="30">
        <f t="shared" si="49"/>
        <v>16.645957309574996</v>
      </c>
      <c r="Q218" s="31">
        <f t="shared" si="51"/>
        <v>848031.6056060358</v>
      </c>
    </row>
    <row r="219" spans="1:17" x14ac:dyDescent="0.25">
      <c r="A219" s="6">
        <f t="shared" si="50"/>
        <v>49856</v>
      </c>
      <c r="B219" s="30">
        <f>IFERROR(VLOOKUP(A219, Data!$L$3:$N$123, 3),1)*Pension</f>
        <v>51439.72928810634</v>
      </c>
      <c r="C219" s="37">
        <f t="shared" si="39"/>
        <v>18.001368925393567</v>
      </c>
      <c r="D219" s="37">
        <f>IFERROR(VLOOKUP(A219,Data!$I$3:$J$1442,2),0)</f>
        <v>9.4525274000000006E-2</v>
      </c>
      <c r="E219" s="37">
        <f t="shared" si="40"/>
        <v>9.4325274000000001E-2</v>
      </c>
      <c r="F219" s="37">
        <f t="shared" si="45"/>
        <v>0.18305217522409151</v>
      </c>
      <c r="G219" s="30">
        <f t="shared" si="46"/>
        <v>9416.154339126273</v>
      </c>
      <c r="H219" s="38">
        <f t="shared" si="41"/>
        <v>113</v>
      </c>
      <c r="I219" s="39">
        <f t="shared" si="42"/>
        <v>113.62628336755647</v>
      </c>
      <c r="J219" s="40">
        <f t="shared" si="43"/>
        <v>18</v>
      </c>
      <c r="K219" s="43">
        <f>VLOOKUP(J219,Data!$Z$3:$AA$122,2)</f>
        <v>2.3270086632414398E-3</v>
      </c>
      <c r="L219" s="41">
        <f t="shared" si="44"/>
        <v>0.62628336755646785</v>
      </c>
      <c r="M219" s="43">
        <f>VLOOKUP(H219,Data!$P$3:$X$122,9)</f>
        <v>0.5235630683480893</v>
      </c>
      <c r="N219" s="43">
        <f t="shared" si="47"/>
        <v>0.72043589418094345</v>
      </c>
      <c r="O219" s="43">
        <f t="shared" si="48"/>
        <v>1.6764605670691486E-3</v>
      </c>
      <c r="P219" s="30">
        <f t="shared" si="49"/>
        <v>15.785811442982256</v>
      </c>
      <c r="Q219" s="31">
        <f t="shared" si="51"/>
        <v>848047.39141747879</v>
      </c>
    </row>
    <row r="220" spans="1:17" x14ac:dyDescent="0.25">
      <c r="A220" s="6">
        <f t="shared" si="50"/>
        <v>49887</v>
      </c>
      <c r="B220" s="30">
        <f>IFERROR(VLOOKUP(A220, Data!$L$3:$N$123, 3),1)*Pension</f>
        <v>51439.72928810634</v>
      </c>
      <c r="C220" s="37">
        <f t="shared" si="39"/>
        <v>18.086242299794662</v>
      </c>
      <c r="D220" s="37">
        <f>IFERROR(VLOOKUP(A220,Data!$I$3:$J$1442,2),0)</f>
        <v>9.4660428000000005E-2</v>
      </c>
      <c r="E220" s="37">
        <f t="shared" si="40"/>
        <v>9.4460427999999999E-2</v>
      </c>
      <c r="F220" s="37">
        <f t="shared" si="45"/>
        <v>0.18114921618208382</v>
      </c>
      <c r="G220" s="30">
        <f t="shared" si="46"/>
        <v>9318.2666411590435</v>
      </c>
      <c r="H220" s="38">
        <f t="shared" si="41"/>
        <v>113</v>
      </c>
      <c r="I220" s="39">
        <f t="shared" si="42"/>
        <v>113.71115674195757</v>
      </c>
      <c r="J220" s="40">
        <f t="shared" si="43"/>
        <v>18</v>
      </c>
      <c r="K220" s="43">
        <f>VLOOKUP(J220,Data!$Z$3:$AA$122,2)</f>
        <v>2.3270086632414398E-3</v>
      </c>
      <c r="L220" s="41">
        <f t="shared" si="44"/>
        <v>0.7111567419575664</v>
      </c>
      <c r="M220" s="43">
        <f>VLOOKUP(H220,Data!$P$3:$X$122,9)</f>
        <v>0.5235630683480893</v>
      </c>
      <c r="N220" s="43">
        <f t="shared" si="47"/>
        <v>0.68912306781787758</v>
      </c>
      <c r="O220" s="43">
        <f t="shared" si="48"/>
        <v>1.6035953488517194E-3</v>
      </c>
      <c r="P220" s="30">
        <f t="shared" si="49"/>
        <v>14.942729045122777</v>
      </c>
      <c r="Q220" s="31">
        <f t="shared" si="51"/>
        <v>848062.33414652396</v>
      </c>
    </row>
    <row r="221" spans="1:17" x14ac:dyDescent="0.25">
      <c r="A221" s="6">
        <f t="shared" si="50"/>
        <v>49918</v>
      </c>
      <c r="B221" s="30">
        <f>IFERROR(VLOOKUP(A221, Data!$L$3:$N$123, 3),1)*Pension</f>
        <v>51439.72928810634</v>
      </c>
      <c r="C221" s="37">
        <f t="shared" si="39"/>
        <v>18.171115674195757</v>
      </c>
      <c r="D221" s="37">
        <f>IFERROR(VLOOKUP(A221,Data!$I$3:$J$1442,2),0)</f>
        <v>9.4794319000000002E-2</v>
      </c>
      <c r="E221" s="37">
        <f t="shared" si="40"/>
        <v>9.4594318999999996E-2</v>
      </c>
      <c r="F221" s="37">
        <f t="shared" si="45"/>
        <v>0.17926604123229917</v>
      </c>
      <c r="G221" s="30">
        <f t="shared" si="46"/>
        <v>9221.3966315399775</v>
      </c>
      <c r="H221" s="38">
        <f t="shared" si="41"/>
        <v>113</v>
      </c>
      <c r="I221" s="39">
        <f t="shared" si="42"/>
        <v>113.79603011635866</v>
      </c>
      <c r="J221" s="40">
        <f t="shared" si="43"/>
        <v>18</v>
      </c>
      <c r="K221" s="43">
        <f>VLOOKUP(J221,Data!$Z$3:$AA$122,2)</f>
        <v>2.3270086632414398E-3</v>
      </c>
      <c r="L221" s="41">
        <f t="shared" si="44"/>
        <v>0.79603011635866494</v>
      </c>
      <c r="M221" s="43">
        <f>VLOOKUP(H221,Data!$P$3:$X$122,9)</f>
        <v>0.5235630683480893</v>
      </c>
      <c r="N221" s="43">
        <f t="shared" si="47"/>
        <v>0.65917121347572727</v>
      </c>
      <c r="O221" s="43">
        <f t="shared" si="48"/>
        <v>1.5338971243173899E-3</v>
      </c>
      <c r="P221" s="30">
        <f t="shared" si="49"/>
        <v>14.144673775309238</v>
      </c>
      <c r="Q221" s="31">
        <f t="shared" si="51"/>
        <v>848076.47882029926</v>
      </c>
    </row>
    <row r="222" spans="1:17" x14ac:dyDescent="0.25">
      <c r="A222" s="6">
        <f t="shared" si="50"/>
        <v>49948</v>
      </c>
      <c r="B222" s="30">
        <f>IFERROR(VLOOKUP(A222, Data!$L$3:$N$123, 3),1)*Pension</f>
        <v>51439.72928810634</v>
      </c>
      <c r="C222" s="37">
        <f t="shared" si="39"/>
        <v>18.253251197809718</v>
      </c>
      <c r="D222" s="37">
        <f>IFERROR(VLOOKUP(A222,Data!$I$3:$J$1442,2),0)</f>
        <v>9.4922699999999999E-2</v>
      </c>
      <c r="E222" s="37">
        <f t="shared" si="40"/>
        <v>9.4722699999999993E-2</v>
      </c>
      <c r="F222" s="37">
        <f t="shared" si="45"/>
        <v>0.17746227333752854</v>
      </c>
      <c r="G222" s="30">
        <f t="shared" si="46"/>
        <v>9128.6112993343995</v>
      </c>
      <c r="H222" s="38">
        <f t="shared" si="41"/>
        <v>113</v>
      </c>
      <c r="I222" s="39">
        <f t="shared" si="42"/>
        <v>113.87816563997262</v>
      </c>
      <c r="J222" s="40">
        <f t="shared" si="43"/>
        <v>18</v>
      </c>
      <c r="K222" s="43">
        <f>VLOOKUP(J222,Data!$Z$3:$AA$122,2)</f>
        <v>2.3270086632414398E-3</v>
      </c>
      <c r="L222" s="41">
        <f t="shared" si="44"/>
        <v>0.87816563997262165</v>
      </c>
      <c r="M222" s="43">
        <f>VLOOKUP(H222,Data!$P$3:$X$122,9)</f>
        <v>0.5235630683480893</v>
      </c>
      <c r="N222" s="43">
        <f t="shared" si="47"/>
        <v>0.63142563907085114</v>
      </c>
      <c r="O222" s="43">
        <f t="shared" si="48"/>
        <v>1.4693329323106333E-3</v>
      </c>
      <c r="P222" s="30">
        <f t="shared" si="49"/>
        <v>13.412969208374994</v>
      </c>
      <c r="Q222" s="31">
        <f t="shared" si="51"/>
        <v>848089.89178950759</v>
      </c>
    </row>
    <row r="223" spans="1:17" x14ac:dyDescent="0.25">
      <c r="A223" s="6">
        <f t="shared" si="50"/>
        <v>49979</v>
      </c>
      <c r="B223" s="30">
        <f>IFERROR(VLOOKUP(A223, Data!$L$3:$N$123, 3),1)*Pension</f>
        <v>51439.72928810634</v>
      </c>
      <c r="C223" s="37">
        <f t="shared" si="39"/>
        <v>18.338124572210816</v>
      </c>
      <c r="D223" s="37">
        <f>IFERROR(VLOOKUP(A223,Data!$I$3:$J$1442,2),0)</f>
        <v>9.5054006999999996E-2</v>
      </c>
      <c r="E223" s="37">
        <f t="shared" si="40"/>
        <v>9.485400699999999E-2</v>
      </c>
      <c r="F223" s="37">
        <f t="shared" si="45"/>
        <v>0.17561791233157831</v>
      </c>
      <c r="G223" s="30">
        <f t="shared" si="46"/>
        <v>9033.73786847878</v>
      </c>
      <c r="H223" s="38">
        <f t="shared" si="41"/>
        <v>113</v>
      </c>
      <c r="I223" s="39">
        <f t="shared" si="42"/>
        <v>113.96303901437372</v>
      </c>
      <c r="J223" s="40">
        <f t="shared" si="43"/>
        <v>18</v>
      </c>
      <c r="K223" s="43">
        <f>VLOOKUP(J223,Data!$Z$3:$AA$122,2)</f>
        <v>2.3270086632414398E-3</v>
      </c>
      <c r="L223" s="41">
        <f t="shared" si="44"/>
        <v>0.96303901437372019</v>
      </c>
      <c r="M223" s="43">
        <f>VLOOKUP(H223,Data!$P$3:$X$122,9)</f>
        <v>0.5235630683480893</v>
      </c>
      <c r="N223" s="43">
        <f t="shared" si="47"/>
        <v>0.60398152980712316</v>
      </c>
      <c r="O223" s="43">
        <f t="shared" si="48"/>
        <v>1.4054702522989936E-3</v>
      </c>
      <c r="P223" s="30">
        <f t="shared" si="49"/>
        <v>12.696649841213844</v>
      </c>
      <c r="Q223" s="31">
        <f t="shared" si="51"/>
        <v>848102.58843934885</v>
      </c>
    </row>
    <row r="224" spans="1:17" x14ac:dyDescent="0.25">
      <c r="A224" s="6">
        <f t="shared" si="50"/>
        <v>50009</v>
      </c>
      <c r="B224" s="30">
        <f>IFERROR(VLOOKUP(A224, Data!$L$3:$N$123, 3),1)*Pension</f>
        <v>51439.72928810634</v>
      </c>
      <c r="C224" s="37">
        <f t="shared" si="39"/>
        <v>18.420260095824776</v>
      </c>
      <c r="D224" s="37">
        <f>IFERROR(VLOOKUP(A224,Data!$I$3:$J$1442,2),0)</f>
        <v>9.5179926999999998E-2</v>
      </c>
      <c r="E224" s="37">
        <f t="shared" si="40"/>
        <v>9.4979926999999992E-2</v>
      </c>
      <c r="F224" s="37">
        <f t="shared" si="45"/>
        <v>0.17385129715285541</v>
      </c>
      <c r="G224" s="30">
        <f t="shared" si="46"/>
        <v>8942.8636619290155</v>
      </c>
      <c r="H224" s="38">
        <f t="shared" si="41"/>
        <v>114</v>
      </c>
      <c r="I224" s="39">
        <f t="shared" si="42"/>
        <v>114.04517453798768</v>
      </c>
      <c r="J224" s="40">
        <f t="shared" si="43"/>
        <v>19</v>
      </c>
      <c r="K224" s="43">
        <f>VLOOKUP(J224,Data!$Z$3:$AA$122,2)</f>
        <v>1.3785338941562084E-3</v>
      </c>
      <c r="L224" s="41">
        <f t="shared" si="44"/>
        <v>4.5174537987676899E-2</v>
      </c>
      <c r="M224" s="43">
        <f>VLOOKUP(H224,Data!$P$3:$X$122,9)</f>
        <v>0.54421006778557435</v>
      </c>
      <c r="N224" s="43">
        <f t="shared" si="47"/>
        <v>0.97571529762044551</v>
      </c>
      <c r="O224" s="43">
        <f t="shared" si="48"/>
        <v>1.3450566088164966E-3</v>
      </c>
      <c r="P224" s="30">
        <f t="shared" si="49"/>
        <v>12.028657870222519</v>
      </c>
      <c r="Q224" s="31">
        <f t="shared" si="51"/>
        <v>848114.6170972191</v>
      </c>
    </row>
    <row r="225" spans="1:17" x14ac:dyDescent="0.25">
      <c r="A225" s="6">
        <f t="shared" si="50"/>
        <v>50040</v>
      </c>
      <c r="B225" s="30">
        <f>IFERROR(VLOOKUP(A225, Data!$L$3:$N$123, 3),1)*Pension</f>
        <v>54011.715752511664</v>
      </c>
      <c r="C225" s="37">
        <f t="shared" si="39"/>
        <v>18.505133470225871</v>
      </c>
      <c r="D225" s="37">
        <f>IFERROR(VLOOKUP(A225,Data!$I$3:$J$1442,2),0)</f>
        <v>9.5307476000000002E-2</v>
      </c>
      <c r="E225" s="37">
        <f t="shared" si="40"/>
        <v>9.5107475999999996E-2</v>
      </c>
      <c r="F225" s="37">
        <f t="shared" si="45"/>
        <v>0.17204890049086358</v>
      </c>
      <c r="G225" s="30">
        <f t="shared" si="46"/>
        <v>9292.6563088446874</v>
      </c>
      <c r="H225" s="38">
        <f t="shared" si="41"/>
        <v>114</v>
      </c>
      <c r="I225" s="39">
        <f t="shared" si="42"/>
        <v>114.13004791238878</v>
      </c>
      <c r="J225" s="40">
        <f t="shared" si="43"/>
        <v>19</v>
      </c>
      <c r="K225" s="43">
        <f>VLOOKUP(J225,Data!$Z$3:$AA$122,2)</f>
        <v>1.3785338941562084E-3</v>
      </c>
      <c r="L225" s="41">
        <f t="shared" si="44"/>
        <v>0.13004791238877544</v>
      </c>
      <c r="M225" s="43">
        <f>VLOOKUP(H225,Data!$P$3:$X$122,9)</f>
        <v>0.54421006778557435</v>
      </c>
      <c r="N225" s="43">
        <f t="shared" si="47"/>
        <v>0.93167300094506589</v>
      </c>
      <c r="O225" s="43">
        <f t="shared" si="48"/>
        <v>1.2843428100730025E-3</v>
      </c>
      <c r="P225" s="30">
        <f t="shared" si="49"/>
        <v>11.934956316744202</v>
      </c>
      <c r="Q225" s="31">
        <f t="shared" si="51"/>
        <v>848126.55205353582</v>
      </c>
    </row>
    <row r="226" spans="1:17" x14ac:dyDescent="0.25">
      <c r="A226" s="6">
        <f t="shared" si="50"/>
        <v>50071</v>
      </c>
      <c r="B226" s="30">
        <f>IFERROR(VLOOKUP(A226, Data!$L$3:$N$123, 3),1)*Pension</f>
        <v>54011.715752511664</v>
      </c>
      <c r="C226" s="37">
        <f t="shared" si="39"/>
        <v>18.590006844626966</v>
      </c>
      <c r="D226" s="37">
        <f>IFERROR(VLOOKUP(A226,Data!$I$3:$J$1442,2),0)</f>
        <v>9.5413753000000004E-2</v>
      </c>
      <c r="E226" s="37">
        <f t="shared" si="40"/>
        <v>9.5213752999999998E-2</v>
      </c>
      <c r="F226" s="37">
        <f t="shared" si="45"/>
        <v>0.17032884638215695</v>
      </c>
      <c r="G226" s="30">
        <f t="shared" si="46"/>
        <v>9199.7532352462858</v>
      </c>
      <c r="H226" s="38">
        <f t="shared" si="41"/>
        <v>114</v>
      </c>
      <c r="I226" s="39">
        <f t="shared" si="42"/>
        <v>114.21492128678987</v>
      </c>
      <c r="J226" s="40">
        <f t="shared" si="43"/>
        <v>19</v>
      </c>
      <c r="K226" s="43">
        <f>VLOOKUP(J226,Data!$Z$3:$AA$122,2)</f>
        <v>1.3785338941562084E-3</v>
      </c>
      <c r="L226" s="41">
        <f t="shared" si="44"/>
        <v>0.21492128678987399</v>
      </c>
      <c r="M226" s="43">
        <f>VLOOKUP(H226,Data!$P$3:$X$122,9)</f>
        <v>0.54421006778557435</v>
      </c>
      <c r="N226" s="43">
        <f t="shared" si="47"/>
        <v>0.88961870620136929</v>
      </c>
      <c r="O226" s="43">
        <f t="shared" si="48"/>
        <v>1.2263695393739814E-3</v>
      </c>
      <c r="P226" s="30">
        <f t="shared" si="49"/>
        <v>11.282297137463283</v>
      </c>
      <c r="Q226" s="31">
        <f t="shared" si="51"/>
        <v>848137.83435067325</v>
      </c>
    </row>
    <row r="227" spans="1:17" x14ac:dyDescent="0.25">
      <c r="A227" s="6">
        <f t="shared" si="50"/>
        <v>50099</v>
      </c>
      <c r="B227" s="30">
        <f>IFERROR(VLOOKUP(A227, Data!$L$3:$N$123, 3),1)*Pension</f>
        <v>54011.715752511664</v>
      </c>
      <c r="C227" s="37">
        <f t="shared" si="39"/>
        <v>18.666666666666668</v>
      </c>
      <c r="D227" s="37">
        <f>IFERROR(VLOOKUP(A227,Data!$I$3:$J$1442,2),0)</f>
        <v>9.5508914E-2</v>
      </c>
      <c r="E227" s="37">
        <f t="shared" si="40"/>
        <v>9.5308913999999995E-2</v>
      </c>
      <c r="F227" s="37">
        <f t="shared" si="45"/>
        <v>0.16879003583096452</v>
      </c>
      <c r="G227" s="30">
        <f t="shared" si="46"/>
        <v>9116.6394371583156</v>
      </c>
      <c r="H227" s="38">
        <f t="shared" si="41"/>
        <v>114</v>
      </c>
      <c r="I227" s="39">
        <f t="shared" si="42"/>
        <v>114.29158110882958</v>
      </c>
      <c r="J227" s="40">
        <f t="shared" si="43"/>
        <v>19</v>
      </c>
      <c r="K227" s="43">
        <f>VLOOKUP(J227,Data!$Z$3:$AA$122,2)</f>
        <v>1.3785338941562084E-3</v>
      </c>
      <c r="L227" s="41">
        <f t="shared" si="44"/>
        <v>0.29158110882957544</v>
      </c>
      <c r="M227" s="43">
        <f>VLOOKUP(H227,Data!$P$3:$X$122,9)</f>
        <v>0.54421006778557435</v>
      </c>
      <c r="N227" s="43">
        <f t="shared" si="47"/>
        <v>0.85326818823653916</v>
      </c>
      <c r="O227" s="43">
        <f t="shared" si="48"/>
        <v>1.1762591182893291E-3</v>
      </c>
      <c r="P227" s="30">
        <f t="shared" si="49"/>
        <v>10.723530266113565</v>
      </c>
      <c r="Q227" s="31">
        <f t="shared" si="51"/>
        <v>848148.55788093933</v>
      </c>
    </row>
    <row r="228" spans="1:17" x14ac:dyDescent="0.25">
      <c r="A228" s="6">
        <f t="shared" si="50"/>
        <v>50130</v>
      </c>
      <c r="B228" s="30">
        <f>IFERROR(VLOOKUP(A228, Data!$L$3:$N$123, 3),1)*Pension</f>
        <v>54011.715752511664</v>
      </c>
      <c r="C228" s="37">
        <f t="shared" si="39"/>
        <v>18.751540041067763</v>
      </c>
      <c r="D228" s="37">
        <f>IFERROR(VLOOKUP(A228,Data!$I$3:$J$1442,2),0)</f>
        <v>9.5612615999999997E-2</v>
      </c>
      <c r="E228" s="37">
        <f t="shared" si="40"/>
        <v>9.5412615999999992E-2</v>
      </c>
      <c r="F228" s="37">
        <f t="shared" si="45"/>
        <v>0.16710490513103471</v>
      </c>
      <c r="G228" s="30">
        <f t="shared" si="46"/>
        <v>9025.6226367878753</v>
      </c>
      <c r="H228" s="38">
        <f t="shared" si="41"/>
        <v>114</v>
      </c>
      <c r="I228" s="39">
        <f t="shared" si="42"/>
        <v>114.37645448323066</v>
      </c>
      <c r="J228" s="40">
        <f t="shared" si="43"/>
        <v>19</v>
      </c>
      <c r="K228" s="43">
        <f>VLOOKUP(J228,Data!$Z$3:$AA$122,2)</f>
        <v>1.3785338941562084E-3</v>
      </c>
      <c r="L228" s="41">
        <f t="shared" si="44"/>
        <v>0.37645448323065978</v>
      </c>
      <c r="M228" s="43">
        <f>VLOOKUP(H228,Data!$P$3:$X$122,9)</f>
        <v>0.54421006778557435</v>
      </c>
      <c r="N228" s="43">
        <f t="shared" si="47"/>
        <v>0.81475296685831522</v>
      </c>
      <c r="O228" s="43">
        <f t="shared" si="48"/>
        <v>1.1231645801785175E-3</v>
      </c>
      <c r="P228" s="30">
        <f t="shared" si="49"/>
        <v>10.137259659697579</v>
      </c>
      <c r="Q228" s="31">
        <f t="shared" si="51"/>
        <v>848158.69514059904</v>
      </c>
    </row>
    <row r="229" spans="1:17" x14ac:dyDescent="0.25">
      <c r="A229" s="6">
        <f t="shared" si="50"/>
        <v>50160</v>
      </c>
      <c r="B229" s="30">
        <f>IFERROR(VLOOKUP(A229, Data!$L$3:$N$123, 3),1)*Pension</f>
        <v>54011.715752511664</v>
      </c>
      <c r="C229" s="37">
        <f t="shared" si="39"/>
        <v>18.833675564681723</v>
      </c>
      <c r="D229" s="37">
        <f>IFERROR(VLOOKUP(A229,Data!$I$3:$J$1442,2),0)</f>
        <v>9.5701631999999995E-2</v>
      </c>
      <c r="E229" s="37">
        <f t="shared" si="40"/>
        <v>9.5501631999999989E-2</v>
      </c>
      <c r="F229" s="37">
        <f t="shared" si="45"/>
        <v>0.1655227298709139</v>
      </c>
      <c r="G229" s="30">
        <f t="shared" si="46"/>
        <v>8940.166636367574</v>
      </c>
      <c r="H229" s="38">
        <f t="shared" si="41"/>
        <v>114</v>
      </c>
      <c r="I229" s="39">
        <f t="shared" si="42"/>
        <v>114.45859000684463</v>
      </c>
      <c r="J229" s="40">
        <f t="shared" si="43"/>
        <v>19</v>
      </c>
      <c r="K229" s="43">
        <f>VLOOKUP(J229,Data!$Z$3:$AA$122,2)</f>
        <v>1.3785338941562084E-3</v>
      </c>
      <c r="L229" s="41">
        <f t="shared" si="44"/>
        <v>0.45859000684463069</v>
      </c>
      <c r="M229" s="43">
        <f>VLOOKUP(H229,Data!$P$3:$X$122,9)</f>
        <v>0.54421006778557435</v>
      </c>
      <c r="N229" s="43">
        <f t="shared" si="47"/>
        <v>0.77913628581832528</v>
      </c>
      <c r="O229" s="43">
        <f t="shared" si="48"/>
        <v>1.0740657781675405E-3</v>
      </c>
      <c r="P229" s="30">
        <f t="shared" si="49"/>
        <v>9.6023270352376215</v>
      </c>
      <c r="Q229" s="31">
        <f t="shared" si="51"/>
        <v>848168.29746763431</v>
      </c>
    </row>
    <row r="230" spans="1:17" x14ac:dyDescent="0.25">
      <c r="A230" s="6">
        <f t="shared" si="50"/>
        <v>50191</v>
      </c>
      <c r="B230" s="30">
        <f>IFERROR(VLOOKUP(A230, Data!$L$3:$N$123, 3),1)*Pension</f>
        <v>54011.715752511664</v>
      </c>
      <c r="C230" s="37">
        <f t="shared" si="39"/>
        <v>18.918548939082822</v>
      </c>
      <c r="D230" s="37">
        <f>IFERROR(VLOOKUP(A230,Data!$I$3:$J$1442,2),0)</f>
        <v>9.5792802999999996E-2</v>
      </c>
      <c r="E230" s="37">
        <f t="shared" si="40"/>
        <v>9.559280299999999E-2</v>
      </c>
      <c r="F230" s="37">
        <f t="shared" si="45"/>
        <v>0.163903551989594</v>
      </c>
      <c r="G230" s="30">
        <f t="shared" si="46"/>
        <v>8852.7120608889691</v>
      </c>
      <c r="H230" s="38">
        <f t="shared" si="41"/>
        <v>114</v>
      </c>
      <c r="I230" s="39">
        <f t="shared" si="42"/>
        <v>114.54346338124572</v>
      </c>
      <c r="J230" s="40">
        <f t="shared" si="43"/>
        <v>19</v>
      </c>
      <c r="K230" s="43">
        <f>VLOOKUP(J230,Data!$Z$3:$AA$122,2)</f>
        <v>1.3785338941562084E-3</v>
      </c>
      <c r="L230" s="41">
        <f t="shared" si="44"/>
        <v>0.54346338124571503</v>
      </c>
      <c r="M230" s="43">
        <f>VLOOKUP(H230,Data!$P$3:$X$122,9)</f>
        <v>0.54421006778557435</v>
      </c>
      <c r="N230" s="43">
        <f t="shared" si="47"/>
        <v>0.74396726516830058</v>
      </c>
      <c r="O230" s="43">
        <f t="shared" si="48"/>
        <v>1.025584091177202E-3</v>
      </c>
      <c r="P230" s="30">
        <f t="shared" si="49"/>
        <v>9.0792006534202692</v>
      </c>
      <c r="Q230" s="31">
        <f t="shared" si="51"/>
        <v>848177.37666828779</v>
      </c>
    </row>
    <row r="231" spans="1:17" x14ac:dyDescent="0.25">
      <c r="A231" s="6">
        <f t="shared" si="50"/>
        <v>50221</v>
      </c>
      <c r="B231" s="30">
        <f>IFERROR(VLOOKUP(A231, Data!$L$3:$N$123, 3),1)*Pension</f>
        <v>54011.715752511664</v>
      </c>
      <c r="C231" s="37">
        <f t="shared" si="39"/>
        <v>19.000684462696782</v>
      </c>
      <c r="D231" s="37">
        <f>IFERROR(VLOOKUP(A231,Data!$I$3:$J$1442,2),0)</f>
        <v>9.5879698999999999E-2</v>
      </c>
      <c r="E231" s="37">
        <f t="shared" si="40"/>
        <v>9.5679698999999993E-2</v>
      </c>
      <c r="F231" s="37">
        <f t="shared" si="45"/>
        <v>0.16235341104967368</v>
      </c>
      <c r="G231" s="30">
        <f t="shared" si="46"/>
        <v>8768.9862890656605</v>
      </c>
      <c r="H231" s="38">
        <f t="shared" si="41"/>
        <v>114</v>
      </c>
      <c r="I231" s="39">
        <f t="shared" si="42"/>
        <v>114.62559890485969</v>
      </c>
      <c r="J231" s="40">
        <f t="shared" si="43"/>
        <v>19</v>
      </c>
      <c r="K231" s="43">
        <f>VLOOKUP(J231,Data!$Z$3:$AA$122,2)</f>
        <v>1.3785338941562084E-3</v>
      </c>
      <c r="L231" s="41">
        <f t="shared" si="44"/>
        <v>0.62559890485968594</v>
      </c>
      <c r="M231" s="43">
        <f>VLOOKUP(H231,Data!$P$3:$X$122,9)</f>
        <v>0.54421006778557435</v>
      </c>
      <c r="N231" s="43">
        <f t="shared" si="47"/>
        <v>0.71144495980024802</v>
      </c>
      <c r="O231" s="43">
        <f t="shared" si="48"/>
        <v>9.807509909112431E-4</v>
      </c>
      <c r="P231" s="30">
        <f t="shared" si="49"/>
        <v>8.6001919922882504</v>
      </c>
      <c r="Q231" s="31">
        <f t="shared" si="51"/>
        <v>848185.97686028003</v>
      </c>
    </row>
    <row r="232" spans="1:17" x14ac:dyDescent="0.25">
      <c r="A232" s="6">
        <f t="shared" si="50"/>
        <v>50252</v>
      </c>
      <c r="B232" s="30">
        <f>IFERROR(VLOOKUP(A232, Data!$L$3:$N$123, 3),1)*Pension</f>
        <v>54011.715752511664</v>
      </c>
      <c r="C232" s="37">
        <f t="shared" si="39"/>
        <v>19.085557837097877</v>
      </c>
      <c r="D232" s="37">
        <f>IFERROR(VLOOKUP(A232,Data!$I$3:$J$1442,2),0)</f>
        <v>9.5952046999999999E-2</v>
      </c>
      <c r="E232" s="37">
        <f t="shared" si="40"/>
        <v>9.5752046999999993E-2</v>
      </c>
      <c r="F232" s="37">
        <f t="shared" si="45"/>
        <v>0.16081812176574228</v>
      </c>
      <c r="G232" s="30">
        <f t="shared" si="46"/>
        <v>8686.0626806640812</v>
      </c>
      <c r="H232" s="38">
        <f t="shared" si="41"/>
        <v>114</v>
      </c>
      <c r="I232" s="39">
        <f t="shared" si="42"/>
        <v>114.71047227926078</v>
      </c>
      <c r="J232" s="40">
        <f t="shared" si="43"/>
        <v>19</v>
      </c>
      <c r="K232" s="43">
        <f>VLOOKUP(J232,Data!$Z$3:$AA$122,2)</f>
        <v>1.3785338941562084E-3</v>
      </c>
      <c r="L232" s="41">
        <f t="shared" si="44"/>
        <v>0.71047227926078449</v>
      </c>
      <c r="M232" s="43">
        <f>VLOOKUP(H232,Data!$P$3:$X$122,9)</f>
        <v>0.54421006778557435</v>
      </c>
      <c r="N232" s="43">
        <f t="shared" si="47"/>
        <v>0.67933142210729391</v>
      </c>
      <c r="O232" s="43">
        <f t="shared" si="48"/>
        <v>9.3648139074024286E-4</v>
      </c>
      <c r="P232" s="30">
        <f t="shared" si="49"/>
        <v>8.1343360592452214</v>
      </c>
      <c r="Q232" s="31">
        <f t="shared" si="51"/>
        <v>848194.11119633925</v>
      </c>
    </row>
    <row r="233" spans="1:17" x14ac:dyDescent="0.25">
      <c r="A233" s="6">
        <f t="shared" si="50"/>
        <v>50283</v>
      </c>
      <c r="B233" s="30">
        <f>IFERROR(VLOOKUP(A233, Data!$L$3:$N$123, 3),1)*Pension</f>
        <v>54011.715752511664</v>
      </c>
      <c r="C233" s="37">
        <f t="shared" si="39"/>
        <v>19.170431211498972</v>
      </c>
      <c r="D233" s="37">
        <f>IFERROR(VLOOKUP(A233,Data!$I$3:$J$1442,2),0)</f>
        <v>9.6023754000000003E-2</v>
      </c>
      <c r="E233" s="37">
        <f t="shared" si="40"/>
        <v>9.5823753999999997E-2</v>
      </c>
      <c r="F233" s="37">
        <f t="shared" si="45"/>
        <v>0.15929735207074605</v>
      </c>
      <c r="G233" s="30">
        <f t="shared" si="46"/>
        <v>8603.9233001729117</v>
      </c>
      <c r="H233" s="38">
        <f t="shared" si="41"/>
        <v>114</v>
      </c>
      <c r="I233" s="39">
        <f t="shared" si="42"/>
        <v>114.79534565366187</v>
      </c>
      <c r="J233" s="40">
        <f t="shared" si="43"/>
        <v>19</v>
      </c>
      <c r="K233" s="43">
        <f>VLOOKUP(J233,Data!$Z$3:$AA$122,2)</f>
        <v>1.3785338941562084E-3</v>
      </c>
      <c r="L233" s="41">
        <f t="shared" si="44"/>
        <v>0.79534565366186882</v>
      </c>
      <c r="M233" s="43">
        <f>VLOOKUP(H233,Data!$P$3:$X$122,9)</f>
        <v>0.54421006778557435</v>
      </c>
      <c r="N233" s="43">
        <f t="shared" si="47"/>
        <v>0.64866744040451785</v>
      </c>
      <c r="O233" s="43">
        <f t="shared" si="48"/>
        <v>8.9421005263318025E-4</v>
      </c>
      <c r="P233" s="30">
        <f t="shared" si="49"/>
        <v>7.6937147070994651</v>
      </c>
      <c r="Q233" s="31">
        <f t="shared" si="51"/>
        <v>848201.80491104629</v>
      </c>
    </row>
    <row r="234" spans="1:17" x14ac:dyDescent="0.25">
      <c r="A234" s="6">
        <f t="shared" si="50"/>
        <v>50313</v>
      </c>
      <c r="B234" s="30">
        <f>IFERROR(VLOOKUP(A234, Data!$L$3:$N$123, 3),1)*Pension</f>
        <v>54011.715752511664</v>
      </c>
      <c r="C234" s="37">
        <f t="shared" si="39"/>
        <v>19.252566735112936</v>
      </c>
      <c r="D234" s="37">
        <f>IFERROR(VLOOKUP(A234,Data!$I$3:$J$1442,2),0)</f>
        <v>9.6092324000000007E-2</v>
      </c>
      <c r="E234" s="37">
        <f t="shared" si="40"/>
        <v>9.5892324000000001E-2</v>
      </c>
      <c r="F234" s="37">
        <f t="shared" si="45"/>
        <v>0.15784000790347602</v>
      </c>
      <c r="G234" s="30">
        <f t="shared" si="46"/>
        <v>8525.2096412567407</v>
      </c>
      <c r="H234" s="38">
        <f t="shared" si="41"/>
        <v>114</v>
      </c>
      <c r="I234" s="39">
        <f t="shared" si="42"/>
        <v>114.87748117727584</v>
      </c>
      <c r="J234" s="40">
        <f t="shared" si="43"/>
        <v>19</v>
      </c>
      <c r="K234" s="43">
        <f>VLOOKUP(J234,Data!$Z$3:$AA$122,2)</f>
        <v>1.3785338941562084E-3</v>
      </c>
      <c r="L234" s="41">
        <f t="shared" si="44"/>
        <v>0.87748117727583974</v>
      </c>
      <c r="M234" s="43">
        <f>VLOOKUP(H234,Data!$P$3:$X$122,9)</f>
        <v>0.54421006778557435</v>
      </c>
      <c r="N234" s="43">
        <f t="shared" si="47"/>
        <v>0.62031113822988337</v>
      </c>
      <c r="O234" s="43">
        <f t="shared" si="48"/>
        <v>8.5511992897251122E-4</v>
      </c>
      <c r="P234" s="30">
        <f t="shared" si="49"/>
        <v>7.2900766629072322</v>
      </c>
      <c r="Q234" s="31">
        <f t="shared" si="51"/>
        <v>848209.09498770919</v>
      </c>
    </row>
    <row r="235" spans="1:17" x14ac:dyDescent="0.25">
      <c r="A235" s="6">
        <f t="shared" si="50"/>
        <v>50344</v>
      </c>
      <c r="B235" s="30">
        <f>IFERROR(VLOOKUP(A235, Data!$L$3:$N$123, 3),1)*Pension</f>
        <v>54011.715752511664</v>
      </c>
      <c r="C235" s="37">
        <f t="shared" si="39"/>
        <v>19.337440109514031</v>
      </c>
      <c r="D235" s="37">
        <f>IFERROR(VLOOKUP(A235,Data!$I$3:$J$1442,2),0)</f>
        <v>9.6155931E-2</v>
      </c>
      <c r="E235" s="37">
        <f t="shared" si="40"/>
        <v>9.5955930999999994E-2</v>
      </c>
      <c r="F235" s="37">
        <f t="shared" si="45"/>
        <v>0.15636815738767618</v>
      </c>
      <c r="G235" s="30">
        <f t="shared" si="46"/>
        <v>8445.7124695671719</v>
      </c>
      <c r="H235" s="38">
        <f t="shared" si="41"/>
        <v>114</v>
      </c>
      <c r="I235" s="39">
        <f t="shared" si="42"/>
        <v>114.96235455167694</v>
      </c>
      <c r="J235" s="40">
        <f t="shared" si="43"/>
        <v>19</v>
      </c>
      <c r="K235" s="43">
        <f>VLOOKUP(J235,Data!$Z$3:$AA$122,2)</f>
        <v>1.3785338941562084E-3</v>
      </c>
      <c r="L235" s="41">
        <f t="shared" si="44"/>
        <v>0.96235455167693829</v>
      </c>
      <c r="M235" s="43">
        <f>VLOOKUP(H235,Data!$P$3:$X$122,9)</f>
        <v>0.54421006778557435</v>
      </c>
      <c r="N235" s="43">
        <f t="shared" si="47"/>
        <v>0.59231124189988804</v>
      </c>
      <c r="O235" s="43">
        <f t="shared" si="48"/>
        <v>8.1652112284875261E-4</v>
      </c>
      <c r="P235" s="30">
        <f t="shared" si="49"/>
        <v>6.8961026289086984</v>
      </c>
      <c r="Q235" s="31">
        <f t="shared" si="51"/>
        <v>848215.9910903381</v>
      </c>
    </row>
    <row r="236" spans="1:17" x14ac:dyDescent="0.25">
      <c r="A236" s="6">
        <f t="shared" si="50"/>
        <v>50374</v>
      </c>
      <c r="B236" s="30">
        <f>IFERROR(VLOOKUP(A236, Data!$L$3:$N$123, 3),1)*Pension</f>
        <v>54011.715752511664</v>
      </c>
      <c r="C236" s="37">
        <f t="shared" si="39"/>
        <v>19.419575633127995</v>
      </c>
      <c r="D236" s="37">
        <f>IFERROR(VLOOKUP(A236,Data!$I$3:$J$1442,2),0)</f>
        <v>9.6216958000000005E-2</v>
      </c>
      <c r="E236" s="37">
        <f t="shared" si="40"/>
        <v>9.6016957999999999E-2</v>
      </c>
      <c r="F236" s="37">
        <f t="shared" si="45"/>
        <v>0.15495685154533376</v>
      </c>
      <c r="G236" s="30">
        <f t="shared" si="46"/>
        <v>8369.4854195707139</v>
      </c>
      <c r="H236" s="38">
        <f t="shared" si="41"/>
        <v>115</v>
      </c>
      <c r="I236" s="39">
        <f t="shared" si="42"/>
        <v>115.04449007529089</v>
      </c>
      <c r="J236" s="40">
        <f t="shared" si="43"/>
        <v>20</v>
      </c>
      <c r="K236" s="43">
        <f>VLOOKUP(J236,Data!$Z$3:$AA$122,2)</f>
        <v>7.9996321877884779E-4</v>
      </c>
      <c r="L236" s="41">
        <f t="shared" si="44"/>
        <v>4.4490075290894993E-2</v>
      </c>
      <c r="M236" s="43">
        <f>VLOOKUP(H236,Data!$P$3:$X$122,9)</f>
        <v>0.56463260112487312</v>
      </c>
      <c r="N236" s="43">
        <f t="shared" si="47"/>
        <v>0.97519234849314562</v>
      </c>
      <c r="O236" s="43">
        <f t="shared" si="48"/>
        <v>7.8011801002908065E-4</v>
      </c>
      <c r="P236" s="30">
        <f t="shared" si="49"/>
        <v>6.5291863104829106</v>
      </c>
      <c r="Q236" s="31">
        <f t="shared" si="51"/>
        <v>848222.52027664857</v>
      </c>
    </row>
    <row r="237" spans="1:17" x14ac:dyDescent="0.25">
      <c r="A237" s="6">
        <f t="shared" si="50"/>
        <v>50405</v>
      </c>
      <c r="B237" s="30">
        <f>IFERROR(VLOOKUP(A237, Data!$L$3:$N$123, 3),1)*Pension</f>
        <v>56712.301540137239</v>
      </c>
      <c r="C237" s="37">
        <f t="shared" si="39"/>
        <v>19.504449007529089</v>
      </c>
      <c r="D237" s="37">
        <f>IFERROR(VLOOKUP(A237,Data!$I$3:$J$1442,2),0)</f>
        <v>9.6278548000000005E-2</v>
      </c>
      <c r="E237" s="37">
        <f t="shared" si="40"/>
        <v>9.6078548E-2</v>
      </c>
      <c r="F237" s="37">
        <f t="shared" si="45"/>
        <v>0.1535146709679715</v>
      </c>
      <c r="G237" s="30">
        <f t="shared" si="46"/>
        <v>8706.1703107705525</v>
      </c>
      <c r="H237" s="38">
        <f t="shared" si="41"/>
        <v>115</v>
      </c>
      <c r="I237" s="39">
        <f t="shared" si="42"/>
        <v>115.12936344969199</v>
      </c>
      <c r="J237" s="40">
        <f t="shared" si="43"/>
        <v>20</v>
      </c>
      <c r="K237" s="43">
        <f>VLOOKUP(J237,Data!$Z$3:$AA$122,2)</f>
        <v>7.9996321877884779E-4</v>
      </c>
      <c r="L237" s="41">
        <f t="shared" si="44"/>
        <v>0.12936344969199354</v>
      </c>
      <c r="M237" s="43">
        <f>VLOOKUP(H237,Data!$P$3:$X$122,9)</f>
        <v>0.56463260112487312</v>
      </c>
      <c r="N237" s="43">
        <f t="shared" si="47"/>
        <v>0.92956102435718169</v>
      </c>
      <c r="O237" s="43">
        <f t="shared" si="48"/>
        <v>7.4361462909613399E-4</v>
      </c>
      <c r="P237" s="30">
        <f t="shared" si="49"/>
        <v>6.4740356064914177</v>
      </c>
      <c r="Q237" s="31">
        <f t="shared" si="51"/>
        <v>848228.99431225506</v>
      </c>
    </row>
    <row r="238" spans="1:17" x14ac:dyDescent="0.25">
      <c r="A238" s="6">
        <f t="shared" si="50"/>
        <v>50436</v>
      </c>
      <c r="B238" s="30">
        <f>IFERROR(VLOOKUP(A238, Data!$L$3:$N$123, 3),1)*Pension</f>
        <v>56712.301540137239</v>
      </c>
      <c r="C238" s="37">
        <f t="shared" si="39"/>
        <v>19.589322381930184</v>
      </c>
      <c r="D238" s="37">
        <f>IFERROR(VLOOKUP(A238,Data!$I$3:$J$1442,2),0)</f>
        <v>9.6326176999999999E-2</v>
      </c>
      <c r="E238" s="37">
        <f t="shared" si="40"/>
        <v>9.6126176999999993E-2</v>
      </c>
      <c r="F238" s="37">
        <f t="shared" si="45"/>
        <v>0.1521259214359279</v>
      </c>
      <c r="G238" s="30">
        <f t="shared" si="46"/>
        <v>8627.411128545571</v>
      </c>
      <c r="H238" s="38">
        <f t="shared" si="41"/>
        <v>115</v>
      </c>
      <c r="I238" s="39">
        <f t="shared" si="42"/>
        <v>115.21423682409309</v>
      </c>
      <c r="J238" s="40">
        <f t="shared" si="43"/>
        <v>20</v>
      </c>
      <c r="K238" s="43">
        <f>VLOOKUP(J238,Data!$Z$3:$AA$122,2)</f>
        <v>7.9996321877884779E-4</v>
      </c>
      <c r="L238" s="41">
        <f t="shared" si="44"/>
        <v>0.21423682409309208</v>
      </c>
      <c r="M238" s="43">
        <f>VLOOKUP(H238,Data!$P$3:$X$122,9)</f>
        <v>0.56463260112487312</v>
      </c>
      <c r="N238" s="43">
        <f t="shared" si="47"/>
        <v>0.88606488693142815</v>
      </c>
      <c r="O238" s="43">
        <f t="shared" si="48"/>
        <v>7.0881931899658107E-4</v>
      </c>
      <c r="P238" s="30">
        <f t="shared" si="49"/>
        <v>6.1152756808391961</v>
      </c>
      <c r="Q238" s="31">
        <f t="shared" si="51"/>
        <v>848235.10958793585</v>
      </c>
    </row>
    <row r="239" spans="1:17" x14ac:dyDescent="0.25">
      <c r="A239" s="6">
        <f t="shared" si="50"/>
        <v>50464</v>
      </c>
      <c r="B239" s="30">
        <f>IFERROR(VLOOKUP(A239, Data!$L$3:$N$123, 3),1)*Pension</f>
        <v>56712.301540137239</v>
      </c>
      <c r="C239" s="37">
        <f t="shared" si="39"/>
        <v>19.665982203969882</v>
      </c>
      <c r="D239" s="37">
        <f>IFERROR(VLOOKUP(A239,Data!$I$3:$J$1442,2),0)</f>
        <v>9.6368843999999995E-2</v>
      </c>
      <c r="E239" s="37">
        <f t="shared" si="40"/>
        <v>9.6168843999999989E-2</v>
      </c>
      <c r="F239" s="37">
        <f t="shared" si="45"/>
        <v>0.15088236663422253</v>
      </c>
      <c r="G239" s="30">
        <f t="shared" si="46"/>
        <v>8556.8862736495703</v>
      </c>
      <c r="H239" s="38">
        <f t="shared" si="41"/>
        <v>115</v>
      </c>
      <c r="I239" s="39">
        <f t="shared" si="42"/>
        <v>115.29089664613278</v>
      </c>
      <c r="J239" s="40">
        <f t="shared" si="43"/>
        <v>20</v>
      </c>
      <c r="K239" s="43">
        <f>VLOOKUP(J239,Data!$Z$3:$AA$122,2)</f>
        <v>7.9996321877884779E-4</v>
      </c>
      <c r="L239" s="41">
        <f t="shared" si="44"/>
        <v>0.29089664613277932</v>
      </c>
      <c r="M239" s="43">
        <f>VLOOKUP(H239,Data!$P$3:$X$122,9)</f>
        <v>0.56463260112487312</v>
      </c>
      <c r="N239" s="43">
        <f t="shared" si="47"/>
        <v>0.84853009202897145</v>
      </c>
      <c r="O239" s="43">
        <f t="shared" si="48"/>
        <v>6.7879286365020799E-4</v>
      </c>
      <c r="P239" s="30">
        <f t="shared" si="49"/>
        <v>5.8083533376197494</v>
      </c>
      <c r="Q239" s="31">
        <f t="shared" si="51"/>
        <v>848240.91794127342</v>
      </c>
    </row>
    <row r="240" spans="1:17" x14ac:dyDescent="0.25">
      <c r="A240" s="6">
        <f t="shared" si="50"/>
        <v>50495</v>
      </c>
      <c r="B240" s="30">
        <f>IFERROR(VLOOKUP(A240, Data!$L$3:$N$123, 3),1)*Pension</f>
        <v>56712.301540137239</v>
      </c>
      <c r="C240" s="37">
        <f t="shared" si="39"/>
        <v>19.750855578370977</v>
      </c>
      <c r="D240" s="37">
        <f>IFERROR(VLOOKUP(A240,Data!$I$3:$J$1442,2),0)</f>
        <v>9.6415332000000006E-2</v>
      </c>
      <c r="E240" s="37">
        <f t="shared" si="40"/>
        <v>9.6215332000000001E-2</v>
      </c>
      <c r="F240" s="37">
        <f t="shared" si="45"/>
        <v>0.14951850317440707</v>
      </c>
      <c r="G240" s="30">
        <f t="shared" si="46"/>
        <v>8479.5384378569415</v>
      </c>
      <c r="H240" s="38">
        <f t="shared" si="41"/>
        <v>115</v>
      </c>
      <c r="I240" s="39">
        <f t="shared" si="42"/>
        <v>115.37577002053388</v>
      </c>
      <c r="J240" s="40">
        <f t="shared" si="43"/>
        <v>20</v>
      </c>
      <c r="K240" s="43">
        <f>VLOOKUP(J240,Data!$Z$3:$AA$122,2)</f>
        <v>7.9996321877884779E-4</v>
      </c>
      <c r="L240" s="41">
        <f t="shared" si="44"/>
        <v>0.37577002053387787</v>
      </c>
      <c r="M240" s="43">
        <f>VLOOKUP(H240,Data!$P$3:$X$122,9)</f>
        <v>0.56463260112487312</v>
      </c>
      <c r="N240" s="43">
        <f t="shared" si="47"/>
        <v>0.80882556427265517</v>
      </c>
      <c r="O240" s="43">
        <f t="shared" si="48"/>
        <v>6.4703070182617112E-4</v>
      </c>
      <c r="P240" s="30">
        <f t="shared" si="49"/>
        <v>5.4865217066085714</v>
      </c>
      <c r="Q240" s="31">
        <f t="shared" si="51"/>
        <v>848246.40446297999</v>
      </c>
    </row>
    <row r="241" spans="1:17" x14ac:dyDescent="0.25">
      <c r="A241" s="6">
        <f t="shared" si="50"/>
        <v>50525</v>
      </c>
      <c r="B241" s="30">
        <f>IFERROR(VLOOKUP(A241, Data!$L$3:$N$123, 3),1)*Pension</f>
        <v>56712.301540137239</v>
      </c>
      <c r="C241" s="37">
        <f t="shared" si="39"/>
        <v>19.832991101984941</v>
      </c>
      <c r="D241" s="37">
        <f>IFERROR(VLOOKUP(A241,Data!$I$3:$J$1442,2),0)</f>
        <v>9.6454869999999998E-2</v>
      </c>
      <c r="E241" s="37">
        <f t="shared" si="40"/>
        <v>9.6254869999999992E-2</v>
      </c>
      <c r="F241" s="37">
        <f t="shared" si="45"/>
        <v>0.14822528298491655</v>
      </c>
      <c r="G241" s="30">
        <f t="shared" si="46"/>
        <v>8406.1969445127615</v>
      </c>
      <c r="H241" s="38">
        <f t="shared" si="41"/>
        <v>115</v>
      </c>
      <c r="I241" s="39">
        <f t="shared" si="42"/>
        <v>115.45790554414785</v>
      </c>
      <c r="J241" s="40">
        <f t="shared" si="43"/>
        <v>20</v>
      </c>
      <c r="K241" s="43">
        <f>VLOOKUP(J241,Data!$Z$3:$AA$122,2)</f>
        <v>7.9996321877884779E-4</v>
      </c>
      <c r="L241" s="41">
        <f t="shared" si="44"/>
        <v>0.45790554414784879</v>
      </c>
      <c r="M241" s="43">
        <f>VLOOKUP(H241,Data!$P$3:$X$122,9)</f>
        <v>0.56463260112487312</v>
      </c>
      <c r="N241" s="43">
        <f t="shared" si="47"/>
        <v>0.77217165822437195</v>
      </c>
      <c r="O241" s="43">
        <f t="shared" si="48"/>
        <v>6.1770892516296893E-4</v>
      </c>
      <c r="P241" s="30">
        <f t="shared" si="49"/>
        <v>5.1925828793032114</v>
      </c>
      <c r="Q241" s="31">
        <f t="shared" si="51"/>
        <v>848251.59704585932</v>
      </c>
    </row>
    <row r="242" spans="1:17" x14ac:dyDescent="0.25">
      <c r="A242" s="6">
        <f t="shared" si="50"/>
        <v>50556</v>
      </c>
      <c r="B242" s="30">
        <f>IFERROR(VLOOKUP(A242, Data!$L$3:$N$123, 3),1)*Pension</f>
        <v>56712.301540137239</v>
      </c>
      <c r="C242" s="37">
        <f t="shared" si="39"/>
        <v>19.917864476386036</v>
      </c>
      <c r="D242" s="37">
        <f>IFERROR(VLOOKUP(A242,Data!$I$3:$J$1442,2),0)</f>
        <v>9.6495383000000004E-2</v>
      </c>
      <c r="E242" s="37">
        <f t="shared" si="40"/>
        <v>9.6295382999999998E-2</v>
      </c>
      <c r="F242" s="37">
        <f t="shared" si="45"/>
        <v>0.14690070622441972</v>
      </c>
      <c r="G242" s="30">
        <f t="shared" si="46"/>
        <v>8331.0771478584065</v>
      </c>
      <c r="H242" s="38">
        <f t="shared" si="41"/>
        <v>115</v>
      </c>
      <c r="I242" s="39">
        <f t="shared" si="42"/>
        <v>115.54277891854893</v>
      </c>
      <c r="J242" s="40">
        <f t="shared" si="43"/>
        <v>20</v>
      </c>
      <c r="K242" s="43">
        <f>VLOOKUP(J242,Data!$Z$3:$AA$122,2)</f>
        <v>7.9996321877884779E-4</v>
      </c>
      <c r="L242" s="41">
        <f t="shared" si="44"/>
        <v>0.54277891854893312</v>
      </c>
      <c r="M242" s="43">
        <f>VLOOKUP(H242,Data!$P$3:$X$122,9)</f>
        <v>0.56463260112487312</v>
      </c>
      <c r="N242" s="43">
        <f t="shared" si="47"/>
        <v>0.73604010399357811</v>
      </c>
      <c r="O242" s="43">
        <f t="shared" si="48"/>
        <v>5.8880501074102057E-4</v>
      </c>
      <c r="P242" s="30">
        <f t="shared" si="49"/>
        <v>4.9053799695290401</v>
      </c>
      <c r="Q242" s="31">
        <f t="shared" si="51"/>
        <v>848256.50242582883</v>
      </c>
    </row>
    <row r="243" spans="1:17" x14ac:dyDescent="0.25">
      <c r="A243" s="6">
        <f t="shared" si="50"/>
        <v>50586</v>
      </c>
      <c r="B243" s="30">
        <f>IFERROR(VLOOKUP(A243, Data!$L$3:$N$123, 3),1)*Pension</f>
        <v>56712.301540137239</v>
      </c>
      <c r="C243" s="37">
        <f t="shared" si="39"/>
        <v>20</v>
      </c>
      <c r="D243" s="37">
        <f>IFERROR(VLOOKUP(A243,Data!$I$3:$J$1442,2),0)</f>
        <v>9.6533905000000003E-2</v>
      </c>
      <c r="E243" s="37">
        <f t="shared" si="40"/>
        <v>9.6333904999999997E-2</v>
      </c>
      <c r="F243" s="37">
        <f t="shared" si="45"/>
        <v>0.14563116802830026</v>
      </c>
      <c r="G243" s="30">
        <f t="shared" si="46"/>
        <v>8259.0787148633572</v>
      </c>
      <c r="H243" s="38">
        <f t="shared" si="41"/>
        <v>115</v>
      </c>
      <c r="I243" s="39">
        <f t="shared" si="42"/>
        <v>115.6249144421629</v>
      </c>
      <c r="J243" s="40">
        <f t="shared" si="43"/>
        <v>20</v>
      </c>
      <c r="K243" s="43">
        <f>VLOOKUP(J243,Data!$Z$3:$AA$122,2)</f>
        <v>7.9996321877884779E-4</v>
      </c>
      <c r="L243" s="41">
        <f t="shared" si="44"/>
        <v>0.62491444216290404</v>
      </c>
      <c r="M243" s="43">
        <f>VLOOKUP(H243,Data!$P$3:$X$122,9)</f>
        <v>0.56463260112487312</v>
      </c>
      <c r="N243" s="43">
        <f t="shared" si="47"/>
        <v>0.70268464886054183</v>
      </c>
      <c r="O243" s="43">
        <f t="shared" si="48"/>
        <v>5.6212187348896351E-4</v>
      </c>
      <c r="P243" s="30">
        <f t="shared" si="49"/>
        <v>4.6426088004918116</v>
      </c>
      <c r="Q243" s="31">
        <f t="shared" si="51"/>
        <v>848261.14503462927</v>
      </c>
    </row>
    <row r="244" spans="1:17" x14ac:dyDescent="0.25">
      <c r="A244" s="6">
        <f t="shared" si="50"/>
        <v>50617</v>
      </c>
      <c r="B244" s="30">
        <f>IFERROR(VLOOKUP(A244, Data!$L$3:$N$123, 3),1)*Pension</f>
        <v>56712.301540137239</v>
      </c>
      <c r="C244" s="37">
        <f t="shared" si="39"/>
        <v>20.084873374401095</v>
      </c>
      <c r="D244" s="37">
        <f>IFERROR(VLOOKUP(A244,Data!$I$3:$J$1442,2),0)</f>
        <v>9.6562734999999997E-2</v>
      </c>
      <c r="E244" s="37">
        <f t="shared" si="40"/>
        <v>9.6362734999999991E-2</v>
      </c>
      <c r="F244" s="37">
        <f t="shared" si="45"/>
        <v>0.14436169894264458</v>
      </c>
      <c r="G244" s="30">
        <f t="shared" si="46"/>
        <v>8187.0842012817711</v>
      </c>
      <c r="H244" s="38">
        <f t="shared" si="41"/>
        <v>115</v>
      </c>
      <c r="I244" s="39">
        <f t="shared" si="42"/>
        <v>115.709787816564</v>
      </c>
      <c r="J244" s="40">
        <f t="shared" si="43"/>
        <v>20</v>
      </c>
      <c r="K244" s="43">
        <f>VLOOKUP(J244,Data!$Z$3:$AA$122,2)</f>
        <v>7.9996321877884779E-4</v>
      </c>
      <c r="L244" s="41">
        <f t="shared" si="44"/>
        <v>0.70978781656400258</v>
      </c>
      <c r="M244" s="43">
        <f>VLOOKUP(H244,Data!$P$3:$X$122,9)</f>
        <v>0.56463260112487312</v>
      </c>
      <c r="N244" s="43">
        <f t="shared" si="47"/>
        <v>0.66980453959074815</v>
      </c>
      <c r="O244" s="43">
        <f t="shared" si="48"/>
        <v>5.3581899544369912E-4</v>
      </c>
      <c r="P244" s="30">
        <f t="shared" si="49"/>
        <v>4.3867952323437782</v>
      </c>
      <c r="Q244" s="31">
        <f t="shared" si="51"/>
        <v>848265.53182986157</v>
      </c>
    </row>
    <row r="245" spans="1:17" x14ac:dyDescent="0.25">
      <c r="A245" s="6">
        <f t="shared" si="50"/>
        <v>50648</v>
      </c>
      <c r="B245" s="30">
        <f>IFERROR(VLOOKUP(A245, Data!$L$3:$N$123, 3),1)*Pension</f>
        <v>56712.301540137239</v>
      </c>
      <c r="C245" s="37">
        <f t="shared" si="39"/>
        <v>20.16974674880219</v>
      </c>
      <c r="D245" s="37">
        <f>IFERROR(VLOOKUP(A245,Data!$I$3:$J$1442,2),0)</f>
        <v>9.6591324000000006E-2</v>
      </c>
      <c r="E245" s="37">
        <f t="shared" si="40"/>
        <v>9.6391324E-2</v>
      </c>
      <c r="F245" s="37">
        <f t="shared" si="45"/>
        <v>0.14310329113149434</v>
      </c>
      <c r="G245" s="30">
        <f t="shared" si="46"/>
        <v>8115.7169980353538</v>
      </c>
      <c r="H245" s="38">
        <f t="shared" si="41"/>
        <v>115</v>
      </c>
      <c r="I245" s="39">
        <f t="shared" si="42"/>
        <v>115.79466119096509</v>
      </c>
      <c r="J245" s="40">
        <f t="shared" si="43"/>
        <v>20</v>
      </c>
      <c r="K245" s="43">
        <f>VLOOKUP(J245,Data!$Z$3:$AA$122,2)</f>
        <v>7.9996321877884779E-4</v>
      </c>
      <c r="L245" s="41">
        <f t="shared" si="44"/>
        <v>0.79466119096508692</v>
      </c>
      <c r="M245" s="43">
        <f>VLOOKUP(H245,Data!$P$3:$X$122,9)</f>
        <v>0.56463260112487312</v>
      </c>
      <c r="N245" s="43">
        <f t="shared" si="47"/>
        <v>0.63846296056684815</v>
      </c>
      <c r="O245" s="43">
        <f t="shared" si="48"/>
        <v>5.1074688500612846E-4</v>
      </c>
      <c r="P245" s="30">
        <f t="shared" si="49"/>
        <v>4.1450771763378444</v>
      </c>
      <c r="Q245" s="31">
        <f t="shared" si="51"/>
        <v>848269.67690703797</v>
      </c>
    </row>
    <row r="246" spans="1:17" x14ac:dyDescent="0.25">
      <c r="A246" s="6">
        <f t="shared" si="50"/>
        <v>50678</v>
      </c>
      <c r="B246" s="30">
        <f>IFERROR(VLOOKUP(A246, Data!$L$3:$N$123, 3),1)*Pension</f>
        <v>56712.301540137239</v>
      </c>
      <c r="C246" s="37">
        <f t="shared" si="39"/>
        <v>20.251882272416154</v>
      </c>
      <c r="D246" s="37">
        <f>IFERROR(VLOOKUP(A246,Data!$I$3:$J$1442,2),0)</f>
        <v>9.6618626999999999E-2</v>
      </c>
      <c r="E246" s="37">
        <f t="shared" si="40"/>
        <v>9.6418626999999993E-2</v>
      </c>
      <c r="F246" s="37">
        <f t="shared" si="45"/>
        <v>0.14189631234279043</v>
      </c>
      <c r="G246" s="30">
        <f t="shared" si="46"/>
        <v>8047.266453017829</v>
      </c>
      <c r="H246" s="38">
        <f t="shared" si="41"/>
        <v>115</v>
      </c>
      <c r="I246" s="39">
        <f t="shared" si="42"/>
        <v>115.87679671457906</v>
      </c>
      <c r="J246" s="40">
        <f t="shared" si="43"/>
        <v>20</v>
      </c>
      <c r="K246" s="43">
        <f>VLOOKUP(J246,Data!$Z$3:$AA$122,2)</f>
        <v>7.9996321877884779E-4</v>
      </c>
      <c r="L246" s="41">
        <f t="shared" si="44"/>
        <v>0.87679671457905783</v>
      </c>
      <c r="M246" s="43">
        <f>VLOOKUP(H246,Data!$P$3:$X$122,9)</f>
        <v>0.56463260112487312</v>
      </c>
      <c r="N246" s="43">
        <f t="shared" si="47"/>
        <v>0.60952945202601627</v>
      </c>
      <c r="O246" s="43">
        <f t="shared" si="48"/>
        <v>4.8760114238323925E-4</v>
      </c>
      <c r="P246" s="30">
        <f t="shared" si="49"/>
        <v>3.9238563155538113</v>
      </c>
      <c r="Q246" s="31">
        <f t="shared" si="51"/>
        <v>848273.60076335352</v>
      </c>
    </row>
    <row r="247" spans="1:17" x14ac:dyDescent="0.25">
      <c r="A247" s="6">
        <f t="shared" si="50"/>
        <v>50709</v>
      </c>
      <c r="B247" s="30">
        <f>IFERROR(VLOOKUP(A247, Data!$L$3:$N$123, 3),1)*Pension</f>
        <v>56712.301540137239</v>
      </c>
      <c r="C247" s="37">
        <f t="shared" si="39"/>
        <v>20.336755646817249</v>
      </c>
      <c r="D247" s="37">
        <f>IFERROR(VLOOKUP(A247,Data!$I$3:$J$1442,2),0)</f>
        <v>9.6642597999999996E-2</v>
      </c>
      <c r="E247" s="37">
        <f t="shared" si="40"/>
        <v>9.644259799999999E-2</v>
      </c>
      <c r="F247" s="37">
        <f t="shared" si="45"/>
        <v>0.14067126712481726</v>
      </c>
      <c r="G247" s="30">
        <f t="shared" si="46"/>
        <v>7977.7913192158303</v>
      </c>
      <c r="H247" s="38">
        <f t="shared" si="41"/>
        <v>115</v>
      </c>
      <c r="I247" s="39">
        <f t="shared" si="42"/>
        <v>115.96167008898016</v>
      </c>
      <c r="J247" s="40">
        <f t="shared" si="43"/>
        <v>20</v>
      </c>
      <c r="K247" s="43">
        <f>VLOOKUP(J247,Data!$Z$3:$AA$122,2)</f>
        <v>7.9996321877884779E-4</v>
      </c>
      <c r="L247" s="41">
        <f t="shared" si="44"/>
        <v>0.96167008898015638</v>
      </c>
      <c r="M247" s="43">
        <f>VLOOKUP(H247,Data!$P$3:$X$122,9)</f>
        <v>0.56463260112487312</v>
      </c>
      <c r="N247" s="43">
        <f t="shared" si="47"/>
        <v>0.58100827254917475</v>
      </c>
      <c r="O247" s="43">
        <f t="shared" si="48"/>
        <v>4.6478524784557593E-4</v>
      </c>
      <c r="P247" s="30">
        <f t="shared" si="49"/>
        <v>3.7079597155620139</v>
      </c>
      <c r="Q247" s="31">
        <f t="shared" si="51"/>
        <v>848277.30872306903</v>
      </c>
    </row>
    <row r="248" spans="1:17" x14ac:dyDescent="0.25">
      <c r="A248" s="6">
        <f t="shared" si="50"/>
        <v>50739</v>
      </c>
      <c r="B248" s="30">
        <f>IFERROR(VLOOKUP(A248, Data!$L$3:$N$123, 3),1)*Pension</f>
        <v>56712.301540137239</v>
      </c>
      <c r="C248" s="37">
        <f t="shared" si="39"/>
        <v>20.418891170431213</v>
      </c>
      <c r="D248" s="37">
        <f>IFERROR(VLOOKUP(A248,Data!$I$3:$J$1442,2),0)</f>
        <v>9.6665606000000001E-2</v>
      </c>
      <c r="E248" s="37">
        <f t="shared" si="40"/>
        <v>9.6465605999999995E-2</v>
      </c>
      <c r="F248" s="37">
        <f t="shared" si="45"/>
        <v>0.13949581047573645</v>
      </c>
      <c r="G248" s="30">
        <f t="shared" si="46"/>
        <v>7911.128467285801</v>
      </c>
      <c r="H248" s="38">
        <f t="shared" si="41"/>
        <v>116</v>
      </c>
      <c r="I248" s="39">
        <f t="shared" si="42"/>
        <v>116.04380561259411</v>
      </c>
      <c r="J248" s="40">
        <f t="shared" si="43"/>
        <v>21</v>
      </c>
      <c r="K248" s="43">
        <f>VLOOKUP(J248,Data!$Z$3:$AA$122,2)</f>
        <v>4.5483428733787072E-4</v>
      </c>
      <c r="L248" s="41">
        <f t="shared" si="44"/>
        <v>4.3805612594113086E-2</v>
      </c>
      <c r="M248" s="43">
        <f>VLOOKUP(H248,Data!$P$3:$X$122,9)</f>
        <v>0.58474489577598676</v>
      </c>
      <c r="N248" s="43">
        <f t="shared" si="47"/>
        <v>0.97471017520784953</v>
      </c>
      <c r="O248" s="43">
        <f t="shared" si="48"/>
        <v>4.4333160790163332E-4</v>
      </c>
      <c r="P248" s="30">
        <f t="shared" si="49"/>
        <v>3.5072533037181981</v>
      </c>
      <c r="Q248" s="31">
        <f t="shared" si="51"/>
        <v>848280.8159763728</v>
      </c>
    </row>
    <row r="249" spans="1:17" x14ac:dyDescent="0.25">
      <c r="A249" s="6">
        <f t="shared" si="50"/>
        <v>50770</v>
      </c>
      <c r="B249" s="30">
        <f>IFERROR(VLOOKUP(A249, Data!$L$3:$N$123, 3),1)*Pension</f>
        <v>59547.916617144103</v>
      </c>
      <c r="C249" s="37">
        <f t="shared" si="39"/>
        <v>20.503764544832308</v>
      </c>
      <c r="D249" s="37">
        <f>IFERROR(VLOOKUP(A249,Data!$I$3:$J$1442,2),0)</f>
        <v>9.6688618000000004E-2</v>
      </c>
      <c r="E249" s="37">
        <f t="shared" si="40"/>
        <v>9.6488617999999998E-2</v>
      </c>
      <c r="F249" s="37">
        <f t="shared" si="45"/>
        <v>0.13829310392308636</v>
      </c>
      <c r="G249" s="30">
        <f t="shared" si="46"/>
        <v>8235.0662211379913</v>
      </c>
      <c r="H249" s="38">
        <f t="shared" si="41"/>
        <v>116</v>
      </c>
      <c r="I249" s="39">
        <f t="shared" si="42"/>
        <v>116.12867898699521</v>
      </c>
      <c r="J249" s="40">
        <f t="shared" si="43"/>
        <v>21</v>
      </c>
      <c r="K249" s="43">
        <f>VLOOKUP(J249,Data!$Z$3:$AA$122,2)</f>
        <v>4.5483428733787072E-4</v>
      </c>
      <c r="L249" s="41">
        <f t="shared" si="44"/>
        <v>0.12867898699521163</v>
      </c>
      <c r="M249" s="43">
        <f>VLOOKUP(H249,Data!$P$3:$X$122,9)</f>
        <v>0.58474489577598676</v>
      </c>
      <c r="N249" s="43">
        <f t="shared" si="47"/>
        <v>0.92751679129800702</v>
      </c>
      <c r="O249" s="43">
        <f t="shared" si="48"/>
        <v>4.2186643876393758E-4</v>
      </c>
      <c r="P249" s="30">
        <f t="shared" si="49"/>
        <v>3.4740980596966811</v>
      </c>
      <c r="Q249" s="31">
        <f t="shared" si="51"/>
        <v>848284.2900744325</v>
      </c>
    </row>
    <row r="250" spans="1:17" x14ac:dyDescent="0.25">
      <c r="A250" s="6">
        <f t="shared" si="50"/>
        <v>50801</v>
      </c>
      <c r="B250" s="30">
        <f>IFERROR(VLOOKUP(A250, Data!$L$3:$N$123, 3),1)*Pension</f>
        <v>59547.916617144103</v>
      </c>
      <c r="C250" s="37">
        <f t="shared" si="39"/>
        <v>20.588637919233403</v>
      </c>
      <c r="D250" s="37">
        <f>IFERROR(VLOOKUP(A250,Data!$I$3:$J$1442,2),0)</f>
        <v>9.6703233E-2</v>
      </c>
      <c r="E250" s="37">
        <f t="shared" si="40"/>
        <v>9.6503232999999994E-2</v>
      </c>
      <c r="F250" s="37">
        <f t="shared" si="45"/>
        <v>0.13712393565555769</v>
      </c>
      <c r="G250" s="30">
        <f t="shared" si="46"/>
        <v>8165.444686631783</v>
      </c>
      <c r="H250" s="38">
        <f t="shared" si="41"/>
        <v>116</v>
      </c>
      <c r="I250" s="39">
        <f t="shared" si="42"/>
        <v>116.21355236139631</v>
      </c>
      <c r="J250" s="40">
        <f t="shared" si="43"/>
        <v>21</v>
      </c>
      <c r="K250" s="43">
        <f>VLOOKUP(J250,Data!$Z$3:$AA$122,2)</f>
        <v>4.5483428733787072E-4</v>
      </c>
      <c r="L250" s="41">
        <f t="shared" si="44"/>
        <v>0.21355236139631018</v>
      </c>
      <c r="M250" s="43">
        <f>VLOOKUP(H250,Data!$P$3:$X$122,9)</f>
        <v>0.58474489577598676</v>
      </c>
      <c r="N250" s="43">
        <f t="shared" si="47"/>
        <v>0.88260841019362601</v>
      </c>
      <c r="O250" s="43">
        <f t="shared" si="48"/>
        <v>4.0144056724882894E-4</v>
      </c>
      <c r="P250" s="30">
        <f t="shared" si="49"/>
        <v>3.2779407468403994</v>
      </c>
      <c r="Q250" s="31">
        <f t="shared" si="51"/>
        <v>848287.56801517936</v>
      </c>
    </row>
    <row r="251" spans="1:17" x14ac:dyDescent="0.25">
      <c r="A251" s="6">
        <f t="shared" si="50"/>
        <v>50829</v>
      </c>
      <c r="B251" s="30">
        <f>IFERROR(VLOOKUP(A251, Data!$L$3:$N$123, 3),1)*Pension</f>
        <v>59547.916617144103</v>
      </c>
      <c r="C251" s="37">
        <f t="shared" si="39"/>
        <v>20.6652977412731</v>
      </c>
      <c r="D251" s="37">
        <f>IFERROR(VLOOKUP(A251,Data!$I$3:$J$1442,2),0)</f>
        <v>9.6716331000000003E-2</v>
      </c>
      <c r="E251" s="37">
        <f t="shared" si="40"/>
        <v>9.6516330999999997E-2</v>
      </c>
      <c r="F251" s="37">
        <f t="shared" si="45"/>
        <v>0.1360764094247415</v>
      </c>
      <c r="G251" s="30">
        <f t="shared" si="46"/>
        <v>8103.0666819848684</v>
      </c>
      <c r="H251" s="38">
        <f t="shared" si="41"/>
        <v>116</v>
      </c>
      <c r="I251" s="39">
        <f t="shared" si="42"/>
        <v>116.290212183436</v>
      </c>
      <c r="J251" s="40">
        <f t="shared" si="43"/>
        <v>21</v>
      </c>
      <c r="K251" s="43">
        <f>VLOOKUP(J251,Data!$Z$3:$AA$122,2)</f>
        <v>4.5483428733787072E-4</v>
      </c>
      <c r="L251" s="41">
        <f t="shared" si="44"/>
        <v>0.29021218343599742</v>
      </c>
      <c r="M251" s="43">
        <f>VLOOKUP(H251,Data!$P$3:$X$122,9)</f>
        <v>0.58474489577598676</v>
      </c>
      <c r="N251" s="43">
        <f t="shared" si="47"/>
        <v>0.84391787556267039</v>
      </c>
      <c r="O251" s="43">
        <f t="shared" si="48"/>
        <v>3.8384278550323707E-4</v>
      </c>
      <c r="P251" s="30">
        <f t="shared" si="49"/>
        <v>3.1103036863315445</v>
      </c>
      <c r="Q251" s="31">
        <f t="shared" si="51"/>
        <v>848290.67831886571</v>
      </c>
    </row>
    <row r="252" spans="1:17" x14ac:dyDescent="0.25">
      <c r="A252" s="6">
        <f t="shared" si="50"/>
        <v>50860</v>
      </c>
      <c r="B252" s="30">
        <f>IFERROR(VLOOKUP(A252, Data!$L$3:$N$123, 3),1)*Pension</f>
        <v>59547.916617144103</v>
      </c>
      <c r="C252" s="37">
        <f t="shared" si="39"/>
        <v>20.750171115674195</v>
      </c>
      <c r="D252" s="37">
        <f>IFERROR(VLOOKUP(A252,Data!$I$3:$J$1442,2),0)</f>
        <v>9.6730518000000001E-2</v>
      </c>
      <c r="E252" s="37">
        <f t="shared" si="40"/>
        <v>9.6530517999999996E-2</v>
      </c>
      <c r="F252" s="37">
        <f t="shared" si="45"/>
        <v>0.13492654410305138</v>
      </c>
      <c r="G252" s="30">
        <f t="shared" si="46"/>
        <v>8034.5945976879202</v>
      </c>
      <c r="H252" s="38">
        <f t="shared" si="41"/>
        <v>116</v>
      </c>
      <c r="I252" s="39">
        <f t="shared" si="42"/>
        <v>116.3750855578371</v>
      </c>
      <c r="J252" s="40">
        <f t="shared" si="43"/>
        <v>21</v>
      </c>
      <c r="K252" s="43">
        <f>VLOOKUP(J252,Data!$Z$3:$AA$122,2)</f>
        <v>4.5483428733787072E-4</v>
      </c>
      <c r="L252" s="41">
        <f t="shared" si="44"/>
        <v>0.37508555783709596</v>
      </c>
      <c r="M252" s="43">
        <f>VLOOKUP(H252,Data!$P$3:$X$122,9)</f>
        <v>0.58474489577598676</v>
      </c>
      <c r="N252" s="43">
        <f t="shared" si="47"/>
        <v>0.80305717532291465</v>
      </c>
      <c r="O252" s="43">
        <f t="shared" si="48"/>
        <v>3.6525793802956138E-4</v>
      </c>
      <c r="P252" s="30">
        <f t="shared" si="49"/>
        <v>2.9346994556549428</v>
      </c>
      <c r="Q252" s="31">
        <f t="shared" si="51"/>
        <v>848293.61301832134</v>
      </c>
    </row>
    <row r="253" spans="1:17" x14ac:dyDescent="0.25">
      <c r="A253" s="6">
        <f t="shared" si="50"/>
        <v>50890</v>
      </c>
      <c r="B253" s="30">
        <f>IFERROR(VLOOKUP(A253, Data!$L$3:$N$123, 3),1)*Pension</f>
        <v>59547.916617144103</v>
      </c>
      <c r="C253" s="37">
        <f t="shared" si="39"/>
        <v>20.832306639288159</v>
      </c>
      <c r="D253" s="37">
        <f>IFERROR(VLOOKUP(A253,Data!$I$3:$J$1442,2),0)</f>
        <v>9.6741334999999998E-2</v>
      </c>
      <c r="E253" s="37">
        <f t="shared" si="40"/>
        <v>9.6541334999999992E-2</v>
      </c>
      <c r="F253" s="37">
        <f t="shared" si="45"/>
        <v>0.13383083605034649</v>
      </c>
      <c r="G253" s="30">
        <f t="shared" si="46"/>
        <v>7969.3474659287158</v>
      </c>
      <c r="H253" s="38">
        <f t="shared" si="41"/>
        <v>116</v>
      </c>
      <c r="I253" s="39">
        <f t="shared" si="42"/>
        <v>116.45722108145107</v>
      </c>
      <c r="J253" s="40">
        <f t="shared" si="43"/>
        <v>21</v>
      </c>
      <c r="K253" s="43">
        <f>VLOOKUP(J253,Data!$Z$3:$AA$122,2)</f>
        <v>4.5483428733787072E-4</v>
      </c>
      <c r="L253" s="41">
        <f t="shared" si="44"/>
        <v>0.45722108145106688</v>
      </c>
      <c r="M253" s="43">
        <f>VLOOKUP(H253,Data!$P$3:$X$122,9)</f>
        <v>0.58474489577598676</v>
      </c>
      <c r="N253" s="43">
        <f t="shared" si="47"/>
        <v>0.76539924406901971</v>
      </c>
      <c r="O253" s="43">
        <f t="shared" si="48"/>
        <v>3.4812981970507755E-4</v>
      </c>
      <c r="P253" s="30">
        <f t="shared" si="49"/>
        <v>2.7743674964808807</v>
      </c>
      <c r="Q253" s="31">
        <f t="shared" si="51"/>
        <v>848296.38738581783</v>
      </c>
    </row>
    <row r="254" spans="1:17" x14ac:dyDescent="0.25">
      <c r="A254" s="6">
        <f t="shared" si="50"/>
        <v>50921</v>
      </c>
      <c r="B254" s="30">
        <f>IFERROR(VLOOKUP(A254, Data!$L$3:$N$123, 3),1)*Pension</f>
        <v>59547.916617144103</v>
      </c>
      <c r="C254" s="37">
        <f t="shared" si="39"/>
        <v>20.917180013689254</v>
      </c>
      <c r="D254" s="37">
        <f>IFERROR(VLOOKUP(A254,Data!$I$3:$J$1442,2),0)</f>
        <v>9.6752424000000004E-2</v>
      </c>
      <c r="E254" s="37">
        <f t="shared" si="40"/>
        <v>9.6552423999999998E-2</v>
      </c>
      <c r="F254" s="37">
        <f t="shared" si="45"/>
        <v>0.1327079495092422</v>
      </c>
      <c r="G254" s="30">
        <f t="shared" si="46"/>
        <v>7902.4819118085243</v>
      </c>
      <c r="H254" s="38">
        <f t="shared" si="41"/>
        <v>116</v>
      </c>
      <c r="I254" s="39">
        <f t="shared" si="42"/>
        <v>116.54209445585215</v>
      </c>
      <c r="J254" s="40">
        <f t="shared" si="43"/>
        <v>21</v>
      </c>
      <c r="K254" s="43">
        <f>VLOOKUP(J254,Data!$Z$3:$AA$122,2)</f>
        <v>4.5483428733787072E-4</v>
      </c>
      <c r="L254" s="41">
        <f t="shared" si="44"/>
        <v>0.54209445585215121</v>
      </c>
      <c r="M254" s="43">
        <f>VLOOKUP(H254,Data!$P$3:$X$122,9)</f>
        <v>0.58474489577598676</v>
      </c>
      <c r="N254" s="43">
        <f t="shared" si="47"/>
        <v>0.72834024818653198</v>
      </c>
      <c r="O254" s="43">
        <f t="shared" si="48"/>
        <v>3.3127411772340915E-4</v>
      </c>
      <c r="P254" s="30">
        <f t="shared" si="49"/>
        <v>2.6178877231595683</v>
      </c>
      <c r="Q254" s="31">
        <f t="shared" si="51"/>
        <v>848299.00527354097</v>
      </c>
    </row>
    <row r="255" spans="1:17" x14ac:dyDescent="0.25">
      <c r="A255" s="6">
        <f t="shared" si="50"/>
        <v>50951</v>
      </c>
      <c r="B255" s="30">
        <f>IFERROR(VLOOKUP(A255, Data!$L$3:$N$123, 3),1)*Pension</f>
        <v>59547.916617144103</v>
      </c>
      <c r="C255" s="37">
        <f t="shared" si="39"/>
        <v>20.999315537303218</v>
      </c>
      <c r="D255" s="37">
        <f>IFERROR(VLOOKUP(A255,Data!$I$3:$J$1442,2),0)</f>
        <v>9.6762843000000001E-2</v>
      </c>
      <c r="E255" s="37">
        <f t="shared" si="40"/>
        <v>9.6562842999999995E-2</v>
      </c>
      <c r="F255" s="37">
        <f t="shared" si="45"/>
        <v>0.13163088366263381</v>
      </c>
      <c r="G255" s="30">
        <f t="shared" si="46"/>
        <v>7838.3448845835146</v>
      </c>
      <c r="H255" s="38">
        <f t="shared" si="41"/>
        <v>116</v>
      </c>
      <c r="I255" s="39">
        <f t="shared" si="42"/>
        <v>116.62422997946612</v>
      </c>
      <c r="J255" s="40">
        <f t="shared" si="43"/>
        <v>21</v>
      </c>
      <c r="K255" s="43">
        <f>VLOOKUP(J255,Data!$Z$3:$AA$122,2)</f>
        <v>4.5483428733787072E-4</v>
      </c>
      <c r="L255" s="41">
        <f t="shared" si="44"/>
        <v>0.62422997946612213</v>
      </c>
      <c r="M255" s="43">
        <f>VLOOKUP(H255,Data!$P$3:$X$122,9)</f>
        <v>0.58474489577598676</v>
      </c>
      <c r="N255" s="43">
        <f t="shared" si="47"/>
        <v>0.69418603371901999</v>
      </c>
      <c r="O255" s="43">
        <f t="shared" si="48"/>
        <v>3.1573960992649353E-4</v>
      </c>
      <c r="P255" s="30">
        <f t="shared" si="49"/>
        <v>2.4748759563277249</v>
      </c>
      <c r="Q255" s="31">
        <f t="shared" si="51"/>
        <v>848301.48014949728</v>
      </c>
    </row>
    <row r="256" spans="1:17" x14ac:dyDescent="0.25">
      <c r="A256" s="6">
        <f t="shared" si="50"/>
        <v>50982</v>
      </c>
      <c r="B256" s="30">
        <f>IFERROR(VLOOKUP(A256, Data!$L$3:$N$123, 3),1)*Pension</f>
        <v>59547.916617144103</v>
      </c>
      <c r="C256" s="37">
        <f t="shared" si="39"/>
        <v>21.084188911704313</v>
      </c>
      <c r="D256" s="37">
        <f>IFERROR(VLOOKUP(A256,Data!$I$3:$J$1442,2),0)</f>
        <v>9.6766767000000004E-2</v>
      </c>
      <c r="E256" s="37">
        <f t="shared" si="40"/>
        <v>9.6566766999999998E-2</v>
      </c>
      <c r="F256" s="37">
        <f t="shared" si="45"/>
        <v>0.13054569529131205</v>
      </c>
      <c r="G256" s="30">
        <f t="shared" si="46"/>
        <v>7773.7241779341512</v>
      </c>
      <c r="H256" s="38">
        <f t="shared" si="41"/>
        <v>116</v>
      </c>
      <c r="I256" s="39">
        <f t="shared" si="42"/>
        <v>116.70910335386722</v>
      </c>
      <c r="J256" s="40">
        <f t="shared" si="43"/>
        <v>21</v>
      </c>
      <c r="K256" s="43">
        <f>VLOOKUP(J256,Data!$Z$3:$AA$122,2)</f>
        <v>4.5483428733787072E-4</v>
      </c>
      <c r="L256" s="41">
        <f t="shared" si="44"/>
        <v>0.70910335386722068</v>
      </c>
      <c r="M256" s="43">
        <f>VLOOKUP(H256,Data!$P$3:$X$122,9)</f>
        <v>0.58474489577598676</v>
      </c>
      <c r="N256" s="43">
        <f t="shared" si="47"/>
        <v>0.66057502931233414</v>
      </c>
      <c r="O256" s="43">
        <f t="shared" si="48"/>
        <v>3.0045217269046858E-4</v>
      </c>
      <c r="P256" s="30">
        <f t="shared" si="49"/>
        <v>2.3356323191567423</v>
      </c>
      <c r="Q256" s="31">
        <f t="shared" si="51"/>
        <v>848303.81578181649</v>
      </c>
    </row>
    <row r="257" spans="1:17" x14ac:dyDescent="0.25">
      <c r="A257" s="6">
        <f t="shared" si="50"/>
        <v>51013</v>
      </c>
      <c r="B257" s="30">
        <f>IFERROR(VLOOKUP(A257, Data!$L$3:$N$123, 3),1)*Pension</f>
        <v>59547.916617144103</v>
      </c>
      <c r="C257" s="37">
        <f t="shared" si="39"/>
        <v>21.169062286105408</v>
      </c>
      <c r="D257" s="37">
        <f>IFERROR(VLOOKUP(A257,Data!$I$3:$J$1442,2),0)</f>
        <v>9.6770659999999994E-2</v>
      </c>
      <c r="E257" s="37">
        <f t="shared" si="40"/>
        <v>9.6570659999999989E-2</v>
      </c>
      <c r="F257" s="37">
        <f t="shared" si="45"/>
        <v>0.12946945213089323</v>
      </c>
      <c r="G257" s="30">
        <f t="shared" si="46"/>
        <v>7709.63613995776</v>
      </c>
      <c r="H257" s="38">
        <f t="shared" si="41"/>
        <v>116</v>
      </c>
      <c r="I257" s="39">
        <f t="shared" si="42"/>
        <v>116.79397672826831</v>
      </c>
      <c r="J257" s="40">
        <f t="shared" si="43"/>
        <v>21</v>
      </c>
      <c r="K257" s="43">
        <f>VLOOKUP(J257,Data!$Z$3:$AA$122,2)</f>
        <v>4.5483428733787072E-4</v>
      </c>
      <c r="L257" s="41">
        <f t="shared" si="44"/>
        <v>0.79397672826830501</v>
      </c>
      <c r="M257" s="43">
        <f>VLOOKUP(H257,Data!$P$3:$X$122,9)</f>
        <v>0.58474489577598676</v>
      </c>
      <c r="N257" s="43">
        <f t="shared" si="47"/>
        <v>0.6285913979185821</v>
      </c>
      <c r="O257" s="43">
        <f t="shared" si="48"/>
        <v>2.8590492049901422E-4</v>
      </c>
      <c r="P257" s="30">
        <f t="shared" si="49"/>
        <v>2.2042229076709501</v>
      </c>
      <c r="Q257" s="31">
        <f t="shared" si="51"/>
        <v>848306.02000472415</v>
      </c>
    </row>
    <row r="258" spans="1:17" x14ac:dyDescent="0.25">
      <c r="A258" s="6">
        <f t="shared" si="50"/>
        <v>51043</v>
      </c>
      <c r="B258" s="30">
        <f>IFERROR(VLOOKUP(A258, Data!$L$3:$N$123, 3),1)*Pension</f>
        <v>59547.916617144103</v>
      </c>
      <c r="C258" s="37">
        <f t="shared" si="39"/>
        <v>21.251197809719372</v>
      </c>
      <c r="D258" s="37">
        <f>IFERROR(VLOOKUP(A258,Data!$I$3:$J$1442,2),0)</f>
        <v>9.6774330000000006E-2</v>
      </c>
      <c r="E258" s="37">
        <f t="shared" si="40"/>
        <v>9.657433E-2</v>
      </c>
      <c r="F258" s="37">
        <f t="shared" si="45"/>
        <v>0.12843656037015969</v>
      </c>
      <c r="G258" s="30">
        <f t="shared" si="46"/>
        <v>7648.1295875150636</v>
      </c>
      <c r="H258" s="38">
        <f t="shared" si="41"/>
        <v>116</v>
      </c>
      <c r="I258" s="39">
        <f t="shared" si="42"/>
        <v>116.87611225188228</v>
      </c>
      <c r="J258" s="40">
        <f t="shared" si="43"/>
        <v>21</v>
      </c>
      <c r="K258" s="43">
        <f>VLOOKUP(J258,Data!$Z$3:$AA$122,2)</f>
        <v>4.5483428733787072E-4</v>
      </c>
      <c r="L258" s="41">
        <f t="shared" si="44"/>
        <v>0.87611225188227593</v>
      </c>
      <c r="M258" s="43">
        <f>VLOOKUP(H258,Data!$P$3:$X$122,9)</f>
        <v>0.58474489577598676</v>
      </c>
      <c r="N258" s="43">
        <f t="shared" si="47"/>
        <v>0.5991147275431643</v>
      </c>
      <c r="O258" s="43">
        <f t="shared" si="48"/>
        <v>2.7249792013571774E-4</v>
      </c>
      <c r="P258" s="30">
        <f t="shared" si="49"/>
        <v>2.0840994055262998</v>
      </c>
      <c r="Q258" s="31">
        <f t="shared" si="51"/>
        <v>848308.10410412971</v>
      </c>
    </row>
    <row r="259" spans="1:17" x14ac:dyDescent="0.25">
      <c r="A259" s="6">
        <f t="shared" si="50"/>
        <v>51074</v>
      </c>
      <c r="B259" s="30">
        <f>IFERROR(VLOOKUP(A259, Data!$L$3:$N$123, 3),1)*Pension</f>
        <v>59547.916617144103</v>
      </c>
      <c r="C259" s="37">
        <f t="shared" ref="C259:C322" si="52">(A259-EffDate)/365.25</f>
        <v>21.336071184120467</v>
      </c>
      <c r="D259" s="37">
        <f>IFERROR(VLOOKUP(A259,Data!$I$3:$J$1442,2),0)</f>
        <v>9.6776081999999999E-2</v>
      </c>
      <c r="E259" s="37">
        <f t="shared" ref="E259:E322" si="53">D259-Fees</f>
        <v>9.6576081999999994E-2</v>
      </c>
      <c r="F259" s="37">
        <f t="shared" si="45"/>
        <v>0.1273833595393867</v>
      </c>
      <c r="G259" s="30">
        <f t="shared" si="46"/>
        <v>7585.4136722630874</v>
      </c>
      <c r="H259" s="38">
        <f t="shared" ref="H259:H322" si="54">IF(OR(A259 = DATE(YEAR(A259), MONTH(Date_of_Birth), DAY(Date_of_Birth)),AND(A259 = DATE(YEAR(A259), MONTH(Date_of_Birth), DAY(Date_of_Birth)-1), AND(MONTH(Date_of_Birth)=2, DAY(Date_of_Birth) = 29))), ROUND((A259-Date_of_Birth)/365.25,0),ROUNDDOWN((A259-Date_of_Birth)/365.25,0))</f>
        <v>116</v>
      </c>
      <c r="I259" s="39">
        <f t="shared" ref="I259:I322" si="55">IF(OR(A259 = DATE(YEAR(A259), MONTH(Date_of_Birth), DAY(Date_of_Birth)),AND(A259 = DATE(YEAR(A259), MONTH(Date_of_Birth), DAY(Date_of_Birth)-1), AND(MONTH(Date_of_Birth)=2, DAY(Date_of_Birth) = 29))), ROUND((A259-Date_of_Birth)/365.25,0),(A259-Date_of_Birth)/365.25)</f>
        <v>116.96098562628337</v>
      </c>
      <c r="J259" s="40">
        <f t="shared" ref="J259:J322" si="56">H259-StartAge</f>
        <v>21</v>
      </c>
      <c r="K259" s="43">
        <f>VLOOKUP(J259,Data!$Z$3:$AA$122,2)</f>
        <v>4.5483428733787072E-4</v>
      </c>
      <c r="L259" s="41">
        <f t="shared" ref="L259:L322" si="57">IF(A259&lt;=NextBirth,(A259-EffDate)/365.25,(I259-H259))</f>
        <v>0.96098562628337447</v>
      </c>
      <c r="M259" s="43">
        <f>VLOOKUP(H259,Data!$P$3:$X$122,9)</f>
        <v>0.58474489577598676</v>
      </c>
      <c r="N259" s="43">
        <f t="shared" si="47"/>
        <v>0.57010687263187643</v>
      </c>
      <c r="O259" s="43">
        <f t="shared" si="48"/>
        <v>2.5930415311994177E-4</v>
      </c>
      <c r="P259" s="30">
        <f t="shared" si="49"/>
        <v>1.9669292683506074</v>
      </c>
      <c r="Q259" s="31">
        <f t="shared" si="51"/>
        <v>848310.07103339804</v>
      </c>
    </row>
    <row r="260" spans="1:17" x14ac:dyDescent="0.25">
      <c r="A260" s="6">
        <f t="shared" si="50"/>
        <v>51104</v>
      </c>
      <c r="B260" s="30">
        <f>IFERROR(VLOOKUP(A260, Data!$L$3:$N$123, 3),1)*Pension</f>
        <v>59547.916617144103</v>
      </c>
      <c r="C260" s="37">
        <f t="shared" si="52"/>
        <v>21.418206707734427</v>
      </c>
      <c r="D260" s="37">
        <f>IFERROR(VLOOKUP(A260,Data!$I$3:$J$1442,2),0)</f>
        <v>9.6777765000000002E-2</v>
      </c>
      <c r="E260" s="37">
        <f t="shared" si="53"/>
        <v>9.6577764999999996E-2</v>
      </c>
      <c r="F260" s="37">
        <f t="shared" ref="F260:F323" si="58">EXP(-E260*C260)</f>
        <v>0.12637235468306263</v>
      </c>
      <c r="G260" s="30">
        <f t="shared" ref="G260:G323" si="59">B260*F260</f>
        <v>7525.2104393791733</v>
      </c>
      <c r="H260" s="38">
        <f t="shared" si="54"/>
        <v>117</v>
      </c>
      <c r="I260" s="39">
        <f t="shared" si="55"/>
        <v>117.04312114989733</v>
      </c>
      <c r="J260" s="40">
        <f t="shared" si="56"/>
        <v>22</v>
      </c>
      <c r="K260" s="43">
        <f>VLOOKUP(J260,Data!$Z$3:$AA$122,2)</f>
        <v>2.5345549695045375E-4</v>
      </c>
      <c r="L260" s="41">
        <f t="shared" si="57"/>
        <v>4.3121149897331179E-2</v>
      </c>
      <c r="M260" s="43">
        <f>VLOOKUP(H260,Data!$P$3:$X$122,9)</f>
        <v>0.60445887706450729</v>
      </c>
      <c r="N260" s="43">
        <f t="shared" ref="N260:N323" si="60">IF(M260=0, 0, EXP(-L260*M260))</f>
        <v>0.97427179705982314</v>
      </c>
      <c r="O260" s="43">
        <f t="shared" ref="O260:O323" si="61">K260*N260</f>
        <v>2.4693454248860908E-4</v>
      </c>
      <c r="P260" s="30">
        <f t="shared" ref="P260:P323" si="62">G260*O260</f>
        <v>1.858234396978601</v>
      </c>
      <c r="Q260" s="31">
        <f t="shared" si="51"/>
        <v>848311.92926779506</v>
      </c>
    </row>
    <row r="261" spans="1:17" x14ac:dyDescent="0.25">
      <c r="A261" s="6">
        <f t="shared" ref="A261:A324" si="63">EOMONTH(A260,1)</f>
        <v>51135</v>
      </c>
      <c r="B261" s="30">
        <f>IFERROR(VLOOKUP(A261, Data!$L$3:$N$123, 3),1)*Pension</f>
        <v>62525.312448001307</v>
      </c>
      <c r="C261" s="37">
        <f t="shared" si="52"/>
        <v>21.503080082135522</v>
      </c>
      <c r="D261" s="37">
        <f>IFERROR(VLOOKUP(A261,Data!$I$3:$J$1442,2),0)</f>
        <v>9.6779140999999999E-2</v>
      </c>
      <c r="E261" s="37">
        <f t="shared" si="53"/>
        <v>9.6579140999999993E-2</v>
      </c>
      <c r="F261" s="37">
        <f t="shared" si="58"/>
        <v>0.12533702082878939</v>
      </c>
      <c r="G261" s="30">
        <f t="shared" si="59"/>
        <v>7836.7363886217045</v>
      </c>
      <c r="H261" s="38">
        <f t="shared" si="54"/>
        <v>117</v>
      </c>
      <c r="I261" s="39">
        <f t="shared" si="55"/>
        <v>117.12799452429843</v>
      </c>
      <c r="J261" s="40">
        <f t="shared" si="56"/>
        <v>22</v>
      </c>
      <c r="K261" s="43">
        <f>VLOOKUP(J261,Data!$Z$3:$AA$122,2)</f>
        <v>2.5345549695045375E-4</v>
      </c>
      <c r="L261" s="41">
        <f t="shared" si="57"/>
        <v>0.12799452429842972</v>
      </c>
      <c r="M261" s="43">
        <f>VLOOKUP(H261,Data!$P$3:$X$122,9)</f>
        <v>0.60445887706450729</v>
      </c>
      <c r="N261" s="43">
        <f t="shared" si="60"/>
        <v>0.92554971969593691</v>
      </c>
      <c r="O261" s="43">
        <f t="shared" si="61"/>
        <v>2.3458566415788685E-4</v>
      </c>
      <c r="P261" s="30">
        <f t="shared" si="62"/>
        <v>1.8383860105551022</v>
      </c>
      <c r="Q261" s="31">
        <f t="shared" ref="Q261:Q324" si="64">Q260+P261</f>
        <v>848313.76765380567</v>
      </c>
    </row>
    <row r="262" spans="1:17" x14ac:dyDescent="0.25">
      <c r="A262" s="6">
        <f t="shared" si="63"/>
        <v>51166</v>
      </c>
      <c r="B262" s="30">
        <f>IFERROR(VLOOKUP(A262, Data!$L$3:$N$123, 3),1)*Pension</f>
        <v>62525.312448001307</v>
      </c>
      <c r="C262" s="37">
        <f t="shared" si="52"/>
        <v>21.587953456536617</v>
      </c>
      <c r="D262" s="37">
        <f>IFERROR(VLOOKUP(A262,Data!$I$3:$J$1442,2),0)</f>
        <v>9.6775464000000005E-2</v>
      </c>
      <c r="E262" s="37">
        <f t="shared" si="53"/>
        <v>9.6575464E-2</v>
      </c>
      <c r="F262" s="37">
        <f t="shared" si="58"/>
        <v>0.12432370112208195</v>
      </c>
      <c r="G262" s="30">
        <f t="shared" si="59"/>
        <v>7773.3782573501048</v>
      </c>
      <c r="H262" s="38">
        <f t="shared" si="54"/>
        <v>117</v>
      </c>
      <c r="I262" s="39">
        <f t="shared" si="55"/>
        <v>117.21286789869951</v>
      </c>
      <c r="J262" s="40">
        <f t="shared" si="56"/>
        <v>22</v>
      </c>
      <c r="K262" s="43">
        <f>VLOOKUP(J262,Data!$Z$3:$AA$122,2)</f>
        <v>2.5345549695045375E-4</v>
      </c>
      <c r="L262" s="41">
        <f t="shared" si="57"/>
        <v>0.21286789869951406</v>
      </c>
      <c r="M262" s="43">
        <f>VLOOKUP(H262,Data!$P$3:$X$122,9)</f>
        <v>0.60445887706450729</v>
      </c>
      <c r="N262" s="43">
        <f t="shared" si="60"/>
        <v>0.87926417064973739</v>
      </c>
      <c r="O262" s="43">
        <f t="shared" si="61"/>
        <v>2.2285433732275776E-4</v>
      </c>
      <c r="P262" s="30">
        <f t="shared" si="62"/>
        <v>1.732331060300891</v>
      </c>
      <c r="Q262" s="31">
        <f t="shared" si="64"/>
        <v>848315.49998486601</v>
      </c>
    </row>
    <row r="263" spans="1:17" x14ac:dyDescent="0.25">
      <c r="A263" s="6">
        <f t="shared" si="63"/>
        <v>51195</v>
      </c>
      <c r="B263" s="30">
        <f>IFERROR(VLOOKUP(A263, Data!$L$3:$N$123, 3),1)*Pension</f>
        <v>62525.312448001307</v>
      </c>
      <c r="C263" s="37">
        <f t="shared" si="52"/>
        <v>21.66735112936345</v>
      </c>
      <c r="D263" s="37">
        <f>IFERROR(VLOOKUP(A263,Data!$I$3:$J$1442,2),0)</f>
        <v>9.6772050999999998E-2</v>
      </c>
      <c r="E263" s="37">
        <f t="shared" si="53"/>
        <v>9.6572050999999992E-2</v>
      </c>
      <c r="F263" s="37">
        <f t="shared" si="58"/>
        <v>0.12338317299202646</v>
      </c>
      <c r="G263" s="30">
        <f t="shared" si="59"/>
        <v>7714.5714421522507</v>
      </c>
      <c r="H263" s="38">
        <f t="shared" si="54"/>
        <v>117</v>
      </c>
      <c r="I263" s="39">
        <f t="shared" si="55"/>
        <v>117.29226557152636</v>
      </c>
      <c r="J263" s="40">
        <f t="shared" si="56"/>
        <v>22</v>
      </c>
      <c r="K263" s="43">
        <f>VLOOKUP(J263,Data!$Z$3:$AA$122,2)</f>
        <v>2.5345549695045375E-4</v>
      </c>
      <c r="L263" s="41">
        <f t="shared" si="57"/>
        <v>0.29226557152635735</v>
      </c>
      <c r="M263" s="43">
        <f>VLOOKUP(H263,Data!$P$3:$X$122,9)</f>
        <v>0.60445887706450729</v>
      </c>
      <c r="N263" s="43">
        <f t="shared" si="60"/>
        <v>0.83806256685462654</v>
      </c>
      <c r="O263" s="43">
        <f t="shared" si="61"/>
        <v>2.1241156435771225E-4</v>
      </c>
      <c r="P263" s="30">
        <f t="shared" si="62"/>
        <v>1.6386641883768918</v>
      </c>
      <c r="Q263" s="31">
        <f t="shared" si="64"/>
        <v>848317.13864905434</v>
      </c>
    </row>
    <row r="264" spans="1:17" x14ac:dyDescent="0.25">
      <c r="A264" s="6">
        <f t="shared" si="63"/>
        <v>51226</v>
      </c>
      <c r="B264" s="30">
        <f>IFERROR(VLOOKUP(A264, Data!$L$3:$N$123, 3),1)*Pension</f>
        <v>62525.312448001307</v>
      </c>
      <c r="C264" s="37">
        <f t="shared" si="52"/>
        <v>21.752224503764545</v>
      </c>
      <c r="D264" s="37">
        <f>IFERROR(VLOOKUP(A264,Data!$I$3:$J$1442,2),0)</f>
        <v>9.6768358999999998E-2</v>
      </c>
      <c r="E264" s="37">
        <f t="shared" si="53"/>
        <v>9.6568358999999993E-2</v>
      </c>
      <c r="F264" s="37">
        <f t="shared" si="58"/>
        <v>0.122385837178084</v>
      </c>
      <c r="G264" s="30">
        <f t="shared" si="59"/>
        <v>7652.2127087699164</v>
      </c>
      <c r="H264" s="38">
        <f t="shared" si="54"/>
        <v>117</v>
      </c>
      <c r="I264" s="39">
        <f t="shared" si="55"/>
        <v>117.37713894592744</v>
      </c>
      <c r="J264" s="40">
        <f t="shared" si="56"/>
        <v>22</v>
      </c>
      <c r="K264" s="43">
        <f>VLOOKUP(J264,Data!$Z$3:$AA$122,2)</f>
        <v>2.5345549695045375E-4</v>
      </c>
      <c r="L264" s="41">
        <f t="shared" si="57"/>
        <v>0.37713894592744168</v>
      </c>
      <c r="M264" s="43">
        <f>VLOOKUP(H264,Data!$P$3:$X$122,9)</f>
        <v>0.60445887706450729</v>
      </c>
      <c r="N264" s="43">
        <f t="shared" si="60"/>
        <v>0.79615213760758718</v>
      </c>
      <c r="O264" s="43">
        <f t="shared" si="61"/>
        <v>2.0178913568549703E-4</v>
      </c>
      <c r="P264" s="30">
        <f t="shared" si="62"/>
        <v>1.5441333885842574</v>
      </c>
      <c r="Q264" s="31">
        <f t="shared" si="64"/>
        <v>848318.68278244289</v>
      </c>
    </row>
    <row r="265" spans="1:17" x14ac:dyDescent="0.25">
      <c r="A265" s="6">
        <f t="shared" si="63"/>
        <v>51256</v>
      </c>
      <c r="B265" s="30">
        <f>IFERROR(VLOOKUP(A265, Data!$L$3:$N$123, 3),1)*Pension</f>
        <v>62525.312448001307</v>
      </c>
      <c r="C265" s="37">
        <f t="shared" si="52"/>
        <v>21.834360027378509</v>
      </c>
      <c r="D265" s="37">
        <f>IFERROR(VLOOKUP(A265,Data!$I$3:$J$1442,2),0)</f>
        <v>9.6763826999999997E-2</v>
      </c>
      <c r="E265" s="37">
        <f t="shared" si="53"/>
        <v>9.6563826999999991E-2</v>
      </c>
      <c r="F265" s="37">
        <f t="shared" si="58"/>
        <v>0.12143096532096188</v>
      </c>
      <c r="G265" s="30">
        <f t="shared" si="59"/>
        <v>7592.5090475555535</v>
      </c>
      <c r="H265" s="38">
        <f t="shared" si="54"/>
        <v>117</v>
      </c>
      <c r="I265" s="39">
        <f t="shared" si="55"/>
        <v>117.45927446954141</v>
      </c>
      <c r="J265" s="40">
        <f t="shared" si="56"/>
        <v>22</v>
      </c>
      <c r="K265" s="43">
        <f>VLOOKUP(J265,Data!$Z$3:$AA$122,2)</f>
        <v>2.5345549695045375E-4</v>
      </c>
      <c r="L265" s="41">
        <f t="shared" si="57"/>
        <v>0.4592744695414126</v>
      </c>
      <c r="M265" s="43">
        <f>VLOOKUP(H265,Data!$P$3:$X$122,9)</f>
        <v>0.60445887706450729</v>
      </c>
      <c r="N265" s="43">
        <f t="shared" si="60"/>
        <v>0.75759030807524652</v>
      </c>
      <c r="O265" s="43">
        <f t="shared" si="61"/>
        <v>1.9201542801805895E-4</v>
      </c>
      <c r="P265" s="30">
        <f t="shared" si="62"/>
        <v>1.4578788744973648</v>
      </c>
      <c r="Q265" s="31">
        <f t="shared" si="64"/>
        <v>848320.14066131739</v>
      </c>
    </row>
    <row r="266" spans="1:17" x14ac:dyDescent="0.25">
      <c r="A266" s="6">
        <f t="shared" si="63"/>
        <v>51287</v>
      </c>
      <c r="B266" s="30">
        <f>IFERROR(VLOOKUP(A266, Data!$L$3:$N$123, 3),1)*Pension</f>
        <v>62525.312448001307</v>
      </c>
      <c r="C266" s="37">
        <f t="shared" si="52"/>
        <v>21.919233401779604</v>
      </c>
      <c r="D266" s="37">
        <f>IFERROR(VLOOKUP(A266,Data!$I$3:$J$1442,2),0)</f>
        <v>9.6759179000000001E-2</v>
      </c>
      <c r="E266" s="37">
        <f t="shared" si="53"/>
        <v>9.6559178999999995E-2</v>
      </c>
      <c r="F266" s="37">
        <f t="shared" si="58"/>
        <v>0.12045209203424367</v>
      </c>
      <c r="G266" s="30">
        <f t="shared" si="59"/>
        <v>7531.304689456495</v>
      </c>
      <c r="H266" s="38">
        <f t="shared" si="54"/>
        <v>117</v>
      </c>
      <c r="I266" s="39">
        <f t="shared" si="55"/>
        <v>117.54414784394251</v>
      </c>
      <c r="J266" s="40">
        <f t="shared" si="56"/>
        <v>22</v>
      </c>
      <c r="K266" s="43">
        <f>VLOOKUP(J266,Data!$Z$3:$AA$122,2)</f>
        <v>2.5345549695045375E-4</v>
      </c>
      <c r="L266" s="41">
        <f t="shared" si="57"/>
        <v>0.54414784394251114</v>
      </c>
      <c r="M266" s="43">
        <f>VLOOKUP(H266,Data!$P$3:$X$122,9)</f>
        <v>0.60445887706450729</v>
      </c>
      <c r="N266" s="43">
        <f t="shared" si="60"/>
        <v>0.71970419281299169</v>
      </c>
      <c r="O266" s="43">
        <f t="shared" si="61"/>
        <v>1.8241298384674199E-4</v>
      </c>
      <c r="P266" s="30">
        <f t="shared" si="62"/>
        <v>1.3738077606627199</v>
      </c>
      <c r="Q266" s="31">
        <f t="shared" si="64"/>
        <v>848321.51446907804</v>
      </c>
    </row>
    <row r="267" spans="1:17" x14ac:dyDescent="0.25">
      <c r="A267" s="6">
        <f t="shared" si="63"/>
        <v>51317</v>
      </c>
      <c r="B267" s="30">
        <f>IFERROR(VLOOKUP(A267, Data!$L$3:$N$123, 3),1)*Pension</f>
        <v>62525.312448001307</v>
      </c>
      <c r="C267" s="37">
        <f t="shared" si="52"/>
        <v>22.001368925393567</v>
      </c>
      <c r="D267" s="37">
        <f>IFERROR(VLOOKUP(A267,Data!$I$3:$J$1442,2),0)</f>
        <v>9.6754581000000006E-2</v>
      </c>
      <c r="E267" s="37">
        <f t="shared" si="53"/>
        <v>9.6554581E-2</v>
      </c>
      <c r="F267" s="37">
        <f t="shared" si="58"/>
        <v>0.11951266164707301</v>
      </c>
      <c r="G267" s="30">
        <f t="shared" si="59"/>
        <v>7472.5665109755028</v>
      </c>
      <c r="H267" s="38">
        <f t="shared" si="54"/>
        <v>117</v>
      </c>
      <c r="I267" s="39">
        <f t="shared" si="55"/>
        <v>117.62628336755647</v>
      </c>
      <c r="J267" s="40">
        <f t="shared" si="56"/>
        <v>22</v>
      </c>
      <c r="K267" s="43">
        <f>VLOOKUP(J267,Data!$Z$3:$AA$122,2)</f>
        <v>2.5345549695045375E-4</v>
      </c>
      <c r="L267" s="41">
        <f t="shared" si="57"/>
        <v>0.62628336755646785</v>
      </c>
      <c r="M267" s="43">
        <f>VLOOKUP(H267,Data!$P$3:$X$122,9)</f>
        <v>0.60445887706450729</v>
      </c>
      <c r="N267" s="43">
        <f t="shared" si="60"/>
        <v>0.68484513876289776</v>
      </c>
      <c r="O267" s="43">
        <f t="shared" si="61"/>
        <v>1.7357776497925269E-4</v>
      </c>
      <c r="P267" s="30">
        <f t="shared" si="62"/>
        <v>1.2970713936339402</v>
      </c>
      <c r="Q267" s="31">
        <f t="shared" si="64"/>
        <v>848322.81154047162</v>
      </c>
    </row>
    <row r="268" spans="1:17" x14ac:dyDescent="0.25">
      <c r="A268" s="6">
        <f t="shared" si="63"/>
        <v>51348</v>
      </c>
      <c r="B268" s="30">
        <f>IFERROR(VLOOKUP(A268, Data!$L$3:$N$123, 3),1)*Pension</f>
        <v>62525.312448001307</v>
      </c>
      <c r="C268" s="37">
        <f t="shared" si="52"/>
        <v>22.086242299794662</v>
      </c>
      <c r="D268" s="37">
        <f>IFERROR(VLOOKUP(A268,Data!$I$3:$J$1442,2),0)</f>
        <v>9.6745853000000007E-2</v>
      </c>
      <c r="E268" s="37">
        <f t="shared" si="53"/>
        <v>9.6545853000000001E-2</v>
      </c>
      <c r="F268" s="37">
        <f t="shared" si="58"/>
        <v>0.1185601203427296</v>
      </c>
      <c r="G268" s="30">
        <f t="shared" si="59"/>
        <v>7413.0085683018042</v>
      </c>
      <c r="H268" s="38">
        <f t="shared" si="54"/>
        <v>117</v>
      </c>
      <c r="I268" s="39">
        <f t="shared" si="55"/>
        <v>117.71115674195757</v>
      </c>
      <c r="J268" s="40">
        <f t="shared" si="56"/>
        <v>22</v>
      </c>
      <c r="K268" s="43">
        <f>VLOOKUP(J268,Data!$Z$3:$AA$122,2)</f>
        <v>2.5345549695045375E-4</v>
      </c>
      <c r="L268" s="41">
        <f t="shared" si="57"/>
        <v>0.7111567419575664</v>
      </c>
      <c r="M268" s="43">
        <f>VLOOKUP(H268,Data!$P$3:$X$122,9)</f>
        <v>0.60445887706450729</v>
      </c>
      <c r="N268" s="43">
        <f t="shared" si="60"/>
        <v>0.65059691569641553</v>
      </c>
      <c r="O268" s="43">
        <f t="shared" si="61"/>
        <v>1.6489736458226746E-4</v>
      </c>
      <c r="P268" s="30">
        <f t="shared" si="62"/>
        <v>1.222385576538735</v>
      </c>
      <c r="Q268" s="31">
        <f t="shared" si="64"/>
        <v>848324.0339260482</v>
      </c>
    </row>
    <row r="269" spans="1:17" x14ac:dyDescent="0.25">
      <c r="A269" s="6">
        <f t="shared" si="63"/>
        <v>51379</v>
      </c>
      <c r="B269" s="30">
        <f>IFERROR(VLOOKUP(A269, Data!$L$3:$N$123, 3),1)*Pension</f>
        <v>62525.312448001307</v>
      </c>
      <c r="C269" s="37">
        <f t="shared" si="52"/>
        <v>22.171115674195757</v>
      </c>
      <c r="D269" s="37">
        <f>IFERROR(VLOOKUP(A269,Data!$I$3:$J$1442,2),0)</f>
        <v>9.6737191E-2</v>
      </c>
      <c r="E269" s="37">
        <f t="shared" si="53"/>
        <v>9.6537190999999994E-2</v>
      </c>
      <c r="F269" s="37">
        <f t="shared" si="58"/>
        <v>0.11761517314213485</v>
      </c>
      <c r="G269" s="30">
        <f t="shared" si="59"/>
        <v>7353.925449337753</v>
      </c>
      <c r="H269" s="38">
        <f t="shared" si="54"/>
        <v>117</v>
      </c>
      <c r="I269" s="39">
        <f t="shared" si="55"/>
        <v>117.79603011635866</v>
      </c>
      <c r="J269" s="40">
        <f t="shared" si="56"/>
        <v>22</v>
      </c>
      <c r="K269" s="43">
        <f>VLOOKUP(J269,Data!$Z$3:$AA$122,2)</f>
        <v>2.5345549695045375E-4</v>
      </c>
      <c r="L269" s="41">
        <f t="shared" si="57"/>
        <v>0.79603011635866494</v>
      </c>
      <c r="M269" s="43">
        <f>VLOOKUP(H269,Data!$P$3:$X$122,9)</f>
        <v>0.60445887706450729</v>
      </c>
      <c r="N269" s="43">
        <f t="shared" si="60"/>
        <v>0.61806140214164906</v>
      </c>
      <c r="O269" s="43">
        <f t="shared" si="61"/>
        <v>1.5665105982570591E-4</v>
      </c>
      <c r="P269" s="30">
        <f t="shared" si="62"/>
        <v>1.1520002155179896</v>
      </c>
      <c r="Q269" s="31">
        <f t="shared" si="64"/>
        <v>848325.18592626369</v>
      </c>
    </row>
    <row r="270" spans="1:17" x14ac:dyDescent="0.25">
      <c r="A270" s="6">
        <f t="shared" si="63"/>
        <v>51409</v>
      </c>
      <c r="B270" s="30">
        <f>IFERROR(VLOOKUP(A270, Data!$L$3:$N$123, 3),1)*Pension</f>
        <v>62525.312448001307</v>
      </c>
      <c r="C270" s="37">
        <f t="shared" si="52"/>
        <v>22.253251197809718</v>
      </c>
      <c r="D270" s="37">
        <f>IFERROR(VLOOKUP(A270,Data!$I$3:$J$1442,2),0)</f>
        <v>9.6728862999999998E-2</v>
      </c>
      <c r="E270" s="37">
        <f t="shared" si="53"/>
        <v>9.6528862999999993E-2</v>
      </c>
      <c r="F270" s="37">
        <f t="shared" si="58"/>
        <v>0.11670790126728026</v>
      </c>
      <c r="G270" s="30">
        <f t="shared" si="59"/>
        <v>7297.1979918871857</v>
      </c>
      <c r="H270" s="38">
        <f t="shared" si="54"/>
        <v>117</v>
      </c>
      <c r="I270" s="39">
        <f t="shared" si="55"/>
        <v>117.87816563997262</v>
      </c>
      <c r="J270" s="40">
        <f t="shared" si="56"/>
        <v>22</v>
      </c>
      <c r="K270" s="43">
        <f>VLOOKUP(J270,Data!$Z$3:$AA$122,2)</f>
        <v>2.5345549695045375E-4</v>
      </c>
      <c r="L270" s="41">
        <f t="shared" si="57"/>
        <v>0.87816563997262165</v>
      </c>
      <c r="M270" s="43">
        <f>VLOOKUP(H270,Data!$P$3:$X$122,9)</f>
        <v>0.60445887706450729</v>
      </c>
      <c r="N270" s="43">
        <f t="shared" si="60"/>
        <v>0.58812544228663832</v>
      </c>
      <c r="O270" s="43">
        <f t="shared" si="61"/>
        <v>1.4906362624396533E-4</v>
      </c>
      <c r="P270" s="30">
        <f t="shared" si="62"/>
        <v>1.0877467940908858</v>
      </c>
      <c r="Q270" s="31">
        <f t="shared" si="64"/>
        <v>848326.27367305779</v>
      </c>
    </row>
    <row r="271" spans="1:17" x14ac:dyDescent="0.25">
      <c r="A271" s="6">
        <f t="shared" si="63"/>
        <v>51440</v>
      </c>
      <c r="B271" s="30">
        <f>IFERROR(VLOOKUP(A271, Data!$L$3:$N$123, 3),1)*Pension</f>
        <v>62525.312448001307</v>
      </c>
      <c r="C271" s="37">
        <f t="shared" si="52"/>
        <v>22.338124572210816</v>
      </c>
      <c r="D271" s="37">
        <f>IFERROR(VLOOKUP(A271,Data!$I$3:$J$1442,2),0)</f>
        <v>9.6720049000000002E-2</v>
      </c>
      <c r="E271" s="37">
        <f t="shared" si="53"/>
        <v>9.6520048999999997E-2</v>
      </c>
      <c r="F271" s="37">
        <f t="shared" si="58"/>
        <v>0.11577844416499475</v>
      </c>
      <c r="G271" s="30">
        <f t="shared" si="59"/>
        <v>7239.08339615977</v>
      </c>
      <c r="H271" s="38">
        <f t="shared" si="54"/>
        <v>117</v>
      </c>
      <c r="I271" s="39">
        <f t="shared" si="55"/>
        <v>117.96303901437372</v>
      </c>
      <c r="J271" s="40">
        <f t="shared" si="56"/>
        <v>22</v>
      </c>
      <c r="K271" s="43">
        <f>VLOOKUP(J271,Data!$Z$3:$AA$122,2)</f>
        <v>2.5345549695045375E-4</v>
      </c>
      <c r="L271" s="41">
        <f t="shared" si="57"/>
        <v>0.96303901437372019</v>
      </c>
      <c r="M271" s="43">
        <f>VLOOKUP(H271,Data!$P$3:$X$122,9)</f>
        <v>0.60445887706450729</v>
      </c>
      <c r="N271" s="43">
        <f t="shared" si="60"/>
        <v>0.5587140466317152</v>
      </c>
      <c r="O271" s="43">
        <f t="shared" si="61"/>
        <v>1.4160914634224036E-4</v>
      </c>
      <c r="P271" s="30">
        <f t="shared" si="62"/>
        <v>1.0251204200304713</v>
      </c>
      <c r="Q271" s="31">
        <f t="shared" si="64"/>
        <v>848327.29879347782</v>
      </c>
    </row>
    <row r="272" spans="1:17" x14ac:dyDescent="0.25">
      <c r="A272" s="6">
        <f t="shared" si="63"/>
        <v>51470</v>
      </c>
      <c r="B272" s="30">
        <f>IFERROR(VLOOKUP(A272, Data!$L$3:$N$123, 3),1)*Pension</f>
        <v>62525.312448001307</v>
      </c>
      <c r="C272" s="37">
        <f t="shared" si="52"/>
        <v>22.420260095824776</v>
      </c>
      <c r="D272" s="37">
        <f>IFERROR(VLOOKUP(A272,Data!$I$3:$J$1442,2),0)</f>
        <v>9.6711582000000004E-2</v>
      </c>
      <c r="E272" s="37">
        <f t="shared" si="53"/>
        <v>9.6511581999999999E-2</v>
      </c>
      <c r="F272" s="37">
        <f t="shared" si="58"/>
        <v>0.11488602021239003</v>
      </c>
      <c r="G272" s="30">
        <f t="shared" si="59"/>
        <v>7183.2843096870802</v>
      </c>
      <c r="H272" s="38">
        <f t="shared" si="54"/>
        <v>118</v>
      </c>
      <c r="I272" s="39">
        <f t="shared" si="55"/>
        <v>118.04517453798768</v>
      </c>
      <c r="J272" s="40">
        <f t="shared" si="56"/>
        <v>23</v>
      </c>
      <c r="K272" s="43">
        <f>VLOOKUP(J272,Data!$Z$3:$AA$122,2)</f>
        <v>1.3848047986881942E-4</v>
      </c>
      <c r="L272" s="41">
        <f t="shared" si="57"/>
        <v>4.5174537987676899E-2</v>
      </c>
      <c r="M272" s="43">
        <f>VLOOKUP(H272,Data!$P$3:$X$122,9)</f>
        <v>0.62369201594692936</v>
      </c>
      <c r="N272" s="43">
        <f t="shared" si="60"/>
        <v>0.97221821502184669</v>
      </c>
      <c r="O272" s="43">
        <f t="shared" si="61"/>
        <v>1.346332449534324E-4</v>
      </c>
      <c r="P272" s="30">
        <f t="shared" si="62"/>
        <v>0.96710887603624818</v>
      </c>
      <c r="Q272" s="31">
        <f t="shared" si="64"/>
        <v>848328.2659023538</v>
      </c>
    </row>
    <row r="273" spans="1:17" x14ac:dyDescent="0.25">
      <c r="A273" s="6">
        <f t="shared" si="63"/>
        <v>51501</v>
      </c>
      <c r="B273" s="30">
        <f>IFERROR(VLOOKUP(A273, Data!$L$3:$N$123, 3),1)*Pension</f>
        <v>65651.578070401389</v>
      </c>
      <c r="C273" s="37">
        <f t="shared" si="52"/>
        <v>22.505133470225871</v>
      </c>
      <c r="D273" s="37">
        <f>IFERROR(VLOOKUP(A273,Data!$I$3:$J$1442,2),0)</f>
        <v>9.6702692000000007E-2</v>
      </c>
      <c r="E273" s="37">
        <f t="shared" si="53"/>
        <v>9.6502692000000001E-2</v>
      </c>
      <c r="F273" s="37">
        <f t="shared" si="58"/>
        <v>0.11397160236317856</v>
      </c>
      <c r="G273" s="30">
        <f t="shared" si="59"/>
        <v>7482.4155503549609</v>
      </c>
      <c r="H273" s="38">
        <f t="shared" si="54"/>
        <v>118</v>
      </c>
      <c r="I273" s="39">
        <f t="shared" si="55"/>
        <v>118.13004791238878</v>
      </c>
      <c r="J273" s="40">
        <f t="shared" si="56"/>
        <v>23</v>
      </c>
      <c r="K273" s="43">
        <f>VLOOKUP(J273,Data!$Z$3:$AA$122,2)</f>
        <v>1.3848047986881942E-4</v>
      </c>
      <c r="L273" s="41">
        <f t="shared" si="57"/>
        <v>0.13004791238877544</v>
      </c>
      <c r="M273" s="43">
        <f>VLOOKUP(H273,Data!$P$3:$X$122,9)</f>
        <v>0.62369201594692936</v>
      </c>
      <c r="N273" s="43">
        <f t="shared" si="60"/>
        <v>0.92209239896701545</v>
      </c>
      <c r="O273" s="43">
        <f t="shared" si="61"/>
        <v>1.2769179789234319E-4</v>
      </c>
      <c r="P273" s="30">
        <f t="shared" si="62"/>
        <v>0.95544309420245144</v>
      </c>
      <c r="Q273" s="31">
        <f t="shared" si="64"/>
        <v>848329.22134544805</v>
      </c>
    </row>
    <row r="274" spans="1:17" x14ac:dyDescent="0.25">
      <c r="A274" s="6">
        <f t="shared" si="63"/>
        <v>51532</v>
      </c>
      <c r="B274" s="30">
        <f>IFERROR(VLOOKUP(A274, Data!$L$3:$N$123, 3),1)*Pension</f>
        <v>65651.578070401389</v>
      </c>
      <c r="C274" s="37">
        <f t="shared" si="52"/>
        <v>22.590006844626966</v>
      </c>
      <c r="D274" s="37">
        <f>IFERROR(VLOOKUP(A274,Data!$I$3:$J$1442,2),0)</f>
        <v>9.6690896999999998E-2</v>
      </c>
      <c r="E274" s="37">
        <f t="shared" si="53"/>
        <v>9.6490896999999992E-2</v>
      </c>
      <c r="F274" s="37">
        <f t="shared" si="58"/>
        <v>0.11307205329756749</v>
      </c>
      <c r="G274" s="30">
        <f t="shared" si="59"/>
        <v>7423.3587346458389</v>
      </c>
      <c r="H274" s="38">
        <f t="shared" si="54"/>
        <v>118</v>
      </c>
      <c r="I274" s="39">
        <f t="shared" si="55"/>
        <v>118.21492128678987</v>
      </c>
      <c r="J274" s="40">
        <f t="shared" si="56"/>
        <v>23</v>
      </c>
      <c r="K274" s="43">
        <f>VLOOKUP(J274,Data!$Z$3:$AA$122,2)</f>
        <v>1.3848047986881942E-4</v>
      </c>
      <c r="L274" s="41">
        <f t="shared" si="57"/>
        <v>0.21492128678987399</v>
      </c>
      <c r="M274" s="43">
        <f>VLOOKUP(H274,Data!$P$3:$X$122,9)</f>
        <v>0.62369201594692936</v>
      </c>
      <c r="N274" s="43">
        <f t="shared" si="60"/>
        <v>0.87455097949758065</v>
      </c>
      <c r="O274" s="43">
        <f t="shared" si="61"/>
        <v>1.2110823931057103E-4</v>
      </c>
      <c r="P274" s="30">
        <f t="shared" si="62"/>
        <v>0.89902990612370604</v>
      </c>
      <c r="Q274" s="31">
        <f t="shared" si="64"/>
        <v>848330.12037535419</v>
      </c>
    </row>
    <row r="275" spans="1:17" x14ac:dyDescent="0.25">
      <c r="A275" s="6">
        <f t="shared" si="63"/>
        <v>51560</v>
      </c>
      <c r="B275" s="30">
        <f>IFERROR(VLOOKUP(A275, Data!$L$3:$N$123, 3),1)*Pension</f>
        <v>65651.578070401389</v>
      </c>
      <c r="C275" s="37">
        <f t="shared" si="52"/>
        <v>22.666666666666668</v>
      </c>
      <c r="D275" s="37">
        <f>IFERROR(VLOOKUP(A275,Data!$I$3:$J$1442,2),0)</f>
        <v>9.6680318000000001E-2</v>
      </c>
      <c r="E275" s="37">
        <f t="shared" si="53"/>
        <v>9.6480317999999995E-2</v>
      </c>
      <c r="F275" s="37">
        <f t="shared" si="58"/>
        <v>0.11226566494733667</v>
      </c>
      <c r="G275" s="30">
        <f t="shared" si="59"/>
        <v>7370.4180669155976</v>
      </c>
      <c r="H275" s="38">
        <f t="shared" si="54"/>
        <v>118</v>
      </c>
      <c r="I275" s="39">
        <f t="shared" si="55"/>
        <v>118.29158110882958</v>
      </c>
      <c r="J275" s="40">
        <f t="shared" si="56"/>
        <v>23</v>
      </c>
      <c r="K275" s="43">
        <f>VLOOKUP(J275,Data!$Z$3:$AA$122,2)</f>
        <v>1.3848047986881942E-4</v>
      </c>
      <c r="L275" s="41">
        <f t="shared" si="57"/>
        <v>0.29158110882957544</v>
      </c>
      <c r="M275" s="43">
        <f>VLOOKUP(H275,Data!$P$3:$X$122,9)</f>
        <v>0.62369201594692936</v>
      </c>
      <c r="N275" s="43">
        <f t="shared" si="60"/>
        <v>0.83372071268976267</v>
      </c>
      <c r="O275" s="43">
        <f t="shared" si="61"/>
        <v>1.1545404436985246E-4</v>
      </c>
      <c r="P275" s="30">
        <f t="shared" si="62"/>
        <v>0.85094457452203565</v>
      </c>
      <c r="Q275" s="31">
        <f t="shared" si="64"/>
        <v>848330.97131992877</v>
      </c>
    </row>
    <row r="276" spans="1:17" x14ac:dyDescent="0.25">
      <c r="A276" s="6">
        <f t="shared" si="63"/>
        <v>51591</v>
      </c>
      <c r="B276" s="30">
        <f>IFERROR(VLOOKUP(A276, Data!$L$3:$N$123, 3),1)*Pension</f>
        <v>65651.578070401389</v>
      </c>
      <c r="C276" s="37">
        <f t="shared" si="52"/>
        <v>22.751540041067763</v>
      </c>
      <c r="D276" s="37">
        <f>IFERROR(VLOOKUP(A276,Data!$I$3:$J$1442,2),0)</f>
        <v>9.6668727999999995E-2</v>
      </c>
      <c r="E276" s="37">
        <f t="shared" si="53"/>
        <v>9.646872799999999E-2</v>
      </c>
      <c r="F276" s="37">
        <f t="shared" si="58"/>
        <v>0.11137948464790812</v>
      </c>
      <c r="G276" s="30">
        <f t="shared" si="59"/>
        <v>7312.2389318032128</v>
      </c>
      <c r="H276" s="38">
        <f t="shared" si="54"/>
        <v>118</v>
      </c>
      <c r="I276" s="39">
        <f t="shared" si="55"/>
        <v>118.37645448323066</v>
      </c>
      <c r="J276" s="40">
        <f t="shared" si="56"/>
        <v>23</v>
      </c>
      <c r="K276" s="43">
        <f>VLOOKUP(J276,Data!$Z$3:$AA$122,2)</f>
        <v>1.3848047986881942E-4</v>
      </c>
      <c r="L276" s="41">
        <f t="shared" si="57"/>
        <v>0.37645448323065978</v>
      </c>
      <c r="M276" s="43">
        <f>VLOOKUP(H276,Data!$P$3:$X$122,9)</f>
        <v>0.62369201594692936</v>
      </c>
      <c r="N276" s="43">
        <f t="shared" si="60"/>
        <v>0.79073557783046156</v>
      </c>
      <c r="O276" s="43">
        <f t="shared" si="61"/>
        <v>1.0950144226731052E-4</v>
      </c>
      <c r="P276" s="30">
        <f t="shared" si="62"/>
        <v>0.80070070923562986</v>
      </c>
      <c r="Q276" s="31">
        <f t="shared" si="64"/>
        <v>848331.77202063799</v>
      </c>
    </row>
    <row r="277" spans="1:17" x14ac:dyDescent="0.25">
      <c r="A277" s="6">
        <f t="shared" si="63"/>
        <v>51621</v>
      </c>
      <c r="B277" s="30">
        <f>IFERROR(VLOOKUP(A277, Data!$L$3:$N$123, 3),1)*Pension</f>
        <v>65651.578070401389</v>
      </c>
      <c r="C277" s="37">
        <f t="shared" si="52"/>
        <v>22.833675564681723</v>
      </c>
      <c r="D277" s="37">
        <f>IFERROR(VLOOKUP(A277,Data!$I$3:$J$1442,2),0)</f>
        <v>9.6658129999999995E-2</v>
      </c>
      <c r="E277" s="37">
        <f t="shared" si="53"/>
        <v>9.6458129999999989E-2</v>
      </c>
      <c r="F277" s="37">
        <f t="shared" si="58"/>
        <v>0.11052719872597178</v>
      </c>
      <c r="G277" s="30">
        <f t="shared" si="59"/>
        <v>7256.285016060905</v>
      </c>
      <c r="H277" s="38">
        <f t="shared" si="54"/>
        <v>118</v>
      </c>
      <c r="I277" s="39">
        <f t="shared" si="55"/>
        <v>118.45859000684463</v>
      </c>
      <c r="J277" s="40">
        <f t="shared" si="56"/>
        <v>23</v>
      </c>
      <c r="K277" s="43">
        <f>VLOOKUP(J277,Data!$Z$3:$AA$122,2)</f>
        <v>1.3848047986881942E-4</v>
      </c>
      <c r="L277" s="41">
        <f t="shared" si="57"/>
        <v>0.45859000684463069</v>
      </c>
      <c r="M277" s="43">
        <f>VLOOKUP(H277,Data!$P$3:$X$122,9)</f>
        <v>0.62369201594692936</v>
      </c>
      <c r="N277" s="43">
        <f t="shared" si="60"/>
        <v>0.75124839778880381</v>
      </c>
      <c r="O277" s="43">
        <f t="shared" si="61"/>
        <v>1.0403323862647529E-4</v>
      </c>
      <c r="P277" s="30">
        <f t="shared" si="62"/>
        <v>0.75489483061758123</v>
      </c>
      <c r="Q277" s="31">
        <f t="shared" si="64"/>
        <v>848332.52691546862</v>
      </c>
    </row>
    <row r="278" spans="1:17" x14ac:dyDescent="0.25">
      <c r="A278" s="6">
        <f t="shared" si="63"/>
        <v>51652</v>
      </c>
      <c r="B278" s="30">
        <f>IFERROR(VLOOKUP(A278, Data!$L$3:$N$123, 3),1)*Pension</f>
        <v>65651.578070401389</v>
      </c>
      <c r="C278" s="37">
        <f t="shared" si="52"/>
        <v>22.918548939082822</v>
      </c>
      <c r="D278" s="37">
        <f>IFERROR(VLOOKUP(A278,Data!$I$3:$J$1442,2),0)</f>
        <v>9.6647258999999999E-2</v>
      </c>
      <c r="E278" s="37">
        <f t="shared" si="53"/>
        <v>9.6447258999999994E-2</v>
      </c>
      <c r="F278" s="37">
        <f t="shared" si="58"/>
        <v>0.10965335300422256</v>
      </c>
      <c r="G278" s="30">
        <f t="shared" si="59"/>
        <v>7198.9156654380004</v>
      </c>
      <c r="H278" s="38">
        <f t="shared" si="54"/>
        <v>118</v>
      </c>
      <c r="I278" s="39">
        <f t="shared" si="55"/>
        <v>118.54346338124572</v>
      </c>
      <c r="J278" s="40">
        <f t="shared" si="56"/>
        <v>23</v>
      </c>
      <c r="K278" s="43">
        <f>VLOOKUP(J278,Data!$Z$3:$AA$122,2)</f>
        <v>1.3848047986881942E-4</v>
      </c>
      <c r="L278" s="41">
        <f t="shared" si="57"/>
        <v>0.54346338124571503</v>
      </c>
      <c r="M278" s="43">
        <f>VLOOKUP(H278,Data!$P$3:$X$122,9)</f>
        <v>0.62369201594692936</v>
      </c>
      <c r="N278" s="43">
        <f t="shared" si="60"/>
        <v>0.71251538660139668</v>
      </c>
      <c r="O278" s="43">
        <f t="shared" si="61"/>
        <v>9.8669472650478801E-5</v>
      </c>
      <c r="P278" s="30">
        <f t="shared" si="62"/>
        <v>0.71031321236403822</v>
      </c>
      <c r="Q278" s="31">
        <f t="shared" si="64"/>
        <v>848333.23722868098</v>
      </c>
    </row>
    <row r="279" spans="1:17" x14ac:dyDescent="0.25">
      <c r="A279" s="6">
        <f t="shared" si="63"/>
        <v>51682</v>
      </c>
      <c r="B279" s="30">
        <f>IFERROR(VLOOKUP(A279, Data!$L$3:$N$123, 3),1)*Pension</f>
        <v>65651.578070401389</v>
      </c>
      <c r="C279" s="37">
        <f t="shared" si="52"/>
        <v>23.000684462696782</v>
      </c>
      <c r="D279" s="37">
        <f>IFERROR(VLOOKUP(A279,Data!$I$3:$J$1442,2),0)</f>
        <v>9.6636751000000007E-2</v>
      </c>
      <c r="E279" s="37">
        <f t="shared" si="53"/>
        <v>9.6436751000000001E-2</v>
      </c>
      <c r="F279" s="37">
        <f t="shared" si="58"/>
        <v>0.10881443482260897</v>
      </c>
      <c r="G279" s="30">
        <f t="shared" si="59"/>
        <v>7143.8393629431166</v>
      </c>
      <c r="H279" s="38">
        <f t="shared" si="54"/>
        <v>118</v>
      </c>
      <c r="I279" s="39">
        <f t="shared" si="55"/>
        <v>118.62559890485969</v>
      </c>
      <c r="J279" s="40">
        <f t="shared" si="56"/>
        <v>23</v>
      </c>
      <c r="K279" s="43">
        <f>VLOOKUP(J279,Data!$Z$3:$AA$122,2)</f>
        <v>1.3848047986881942E-4</v>
      </c>
      <c r="L279" s="41">
        <f t="shared" si="57"/>
        <v>0.62559890485968594</v>
      </c>
      <c r="M279" s="43">
        <f>VLOOKUP(H279,Data!$P$3:$X$122,9)</f>
        <v>0.62369201594692936</v>
      </c>
      <c r="N279" s="43">
        <f t="shared" si="60"/>
        <v>0.67693430976358038</v>
      </c>
      <c r="O279" s="43">
        <f t="shared" si="61"/>
        <v>9.3742188055728661E-5</v>
      </c>
      <c r="P279" s="30">
        <f t="shared" si="62"/>
        <v>0.66967913300093052</v>
      </c>
      <c r="Q279" s="31">
        <f t="shared" si="64"/>
        <v>848333.90690781397</v>
      </c>
    </row>
    <row r="280" spans="1:17" x14ac:dyDescent="0.25">
      <c r="A280" s="6">
        <f t="shared" si="63"/>
        <v>51713</v>
      </c>
      <c r="B280" s="30">
        <f>IFERROR(VLOOKUP(A280, Data!$L$3:$N$123, 3),1)*Pension</f>
        <v>65651.578070401389</v>
      </c>
      <c r="C280" s="37">
        <f t="shared" si="52"/>
        <v>23.085557837097877</v>
      </c>
      <c r="D280" s="37">
        <f>IFERROR(VLOOKUP(A280,Data!$I$3:$J$1442,2),0)</f>
        <v>9.6624082E-2</v>
      </c>
      <c r="E280" s="37">
        <f t="shared" si="53"/>
        <v>9.6424081999999994E-2</v>
      </c>
      <c r="F280" s="37">
        <f t="shared" si="58"/>
        <v>0.1079590034185271</v>
      </c>
      <c r="G280" s="30">
        <f t="shared" si="59"/>
        <v>7087.6789413341621</v>
      </c>
      <c r="H280" s="38">
        <f t="shared" si="54"/>
        <v>118</v>
      </c>
      <c r="I280" s="39">
        <f t="shared" si="55"/>
        <v>118.71047227926078</v>
      </c>
      <c r="J280" s="40">
        <f t="shared" si="56"/>
        <v>23</v>
      </c>
      <c r="K280" s="43">
        <f>VLOOKUP(J280,Data!$Z$3:$AA$122,2)</f>
        <v>1.3848047986881942E-4</v>
      </c>
      <c r="L280" s="41">
        <f t="shared" si="57"/>
        <v>0.71047227926078449</v>
      </c>
      <c r="M280" s="43">
        <f>VLOOKUP(H280,Data!$P$3:$X$122,9)</f>
        <v>0.62369201594692936</v>
      </c>
      <c r="N280" s="43">
        <f t="shared" si="60"/>
        <v>0.6420327987981117</v>
      </c>
      <c r="O280" s="43">
        <f t="shared" si="61"/>
        <v>8.8909010069083695E-5</v>
      </c>
      <c r="P280" s="30">
        <f t="shared" si="62"/>
        <v>0.63015851836151149</v>
      </c>
      <c r="Q280" s="31">
        <f t="shared" si="64"/>
        <v>848334.5370663323</v>
      </c>
    </row>
    <row r="281" spans="1:17" x14ac:dyDescent="0.25">
      <c r="A281" s="6">
        <f t="shared" si="63"/>
        <v>51744</v>
      </c>
      <c r="B281" s="30">
        <f>IFERROR(VLOOKUP(A281, Data!$L$3:$N$123, 3),1)*Pension</f>
        <v>65651.578070401389</v>
      </c>
      <c r="C281" s="37">
        <f t="shared" si="52"/>
        <v>23.170431211498972</v>
      </c>
      <c r="D281" s="37">
        <f>IFERROR(VLOOKUP(A281,Data!$I$3:$J$1442,2),0)</f>
        <v>9.6611506E-2</v>
      </c>
      <c r="E281" s="37">
        <f t="shared" si="53"/>
        <v>9.6411505999999994E-2</v>
      </c>
      <c r="F281" s="37">
        <f t="shared" si="58"/>
        <v>0.10711029642043499</v>
      </c>
      <c r="G281" s="30">
        <f t="shared" si="59"/>
        <v>7031.9599875900221</v>
      </c>
      <c r="H281" s="38">
        <f t="shared" si="54"/>
        <v>118</v>
      </c>
      <c r="I281" s="39">
        <f t="shared" si="55"/>
        <v>118.79534565366187</v>
      </c>
      <c r="J281" s="40">
        <f t="shared" si="56"/>
        <v>23</v>
      </c>
      <c r="K281" s="43">
        <f>VLOOKUP(J281,Data!$Z$3:$AA$122,2)</f>
        <v>1.3848047986881942E-4</v>
      </c>
      <c r="L281" s="41">
        <f t="shared" si="57"/>
        <v>0.79534565366186882</v>
      </c>
      <c r="M281" s="43">
        <f>VLOOKUP(H281,Data!$P$3:$X$122,9)</f>
        <v>0.62369201594692936</v>
      </c>
      <c r="N281" s="43">
        <f t="shared" si="60"/>
        <v>0.60893074673154524</v>
      </c>
      <c r="O281" s="43">
        <f t="shared" si="61"/>
        <v>8.432502201426292E-5</v>
      </c>
      <c r="P281" s="30">
        <f t="shared" si="62"/>
        <v>0.59297018075694463</v>
      </c>
      <c r="Q281" s="31">
        <f t="shared" si="64"/>
        <v>848335.13003651309</v>
      </c>
    </row>
    <row r="282" spans="1:17" x14ac:dyDescent="0.25">
      <c r="A282" s="6">
        <f t="shared" si="63"/>
        <v>51774</v>
      </c>
      <c r="B282" s="30">
        <f>IFERROR(VLOOKUP(A282, Data!$L$3:$N$123, 3),1)*Pension</f>
        <v>65651.578070401389</v>
      </c>
      <c r="C282" s="37">
        <f t="shared" si="52"/>
        <v>23.252566735112936</v>
      </c>
      <c r="D282" s="37">
        <f>IFERROR(VLOOKUP(A282,Data!$I$3:$J$1442,2),0)</f>
        <v>9.6599454000000001E-2</v>
      </c>
      <c r="E282" s="37">
        <f t="shared" si="53"/>
        <v>9.6399453999999996E-2</v>
      </c>
      <c r="F282" s="37">
        <f t="shared" si="58"/>
        <v>0.10629524384798926</v>
      </c>
      <c r="G282" s="30">
        <f t="shared" si="59"/>
        <v>6978.4504999986202</v>
      </c>
      <c r="H282" s="38">
        <f t="shared" si="54"/>
        <v>118</v>
      </c>
      <c r="I282" s="39">
        <f t="shared" si="55"/>
        <v>118.87748117727584</v>
      </c>
      <c r="J282" s="40">
        <f t="shared" si="56"/>
        <v>23</v>
      </c>
      <c r="K282" s="43">
        <f>VLOOKUP(J282,Data!$Z$3:$AA$122,2)</f>
        <v>1.3848047986881942E-4</v>
      </c>
      <c r="L282" s="41">
        <f t="shared" si="57"/>
        <v>0.87748117727583974</v>
      </c>
      <c r="M282" s="43">
        <f>VLOOKUP(H282,Data!$P$3:$X$122,9)</f>
        <v>0.62369201594692936</v>
      </c>
      <c r="N282" s="43">
        <f t="shared" si="60"/>
        <v>0.57852240454582782</v>
      </c>
      <c r="O282" s="43">
        <f t="shared" si="61"/>
        <v>8.0114060196369508E-5</v>
      </c>
      <c r="P282" s="30">
        <f t="shared" si="62"/>
        <v>0.55907200343427432</v>
      </c>
      <c r="Q282" s="31">
        <f t="shared" si="64"/>
        <v>848335.68910851656</v>
      </c>
    </row>
    <row r="283" spans="1:17" x14ac:dyDescent="0.25">
      <c r="A283" s="6">
        <f t="shared" si="63"/>
        <v>51805</v>
      </c>
      <c r="B283" s="30">
        <f>IFERROR(VLOOKUP(A283, Data!$L$3:$N$123, 3),1)*Pension</f>
        <v>65651.578070401389</v>
      </c>
      <c r="C283" s="37">
        <f t="shared" si="52"/>
        <v>23.337440109514031</v>
      </c>
      <c r="D283" s="37">
        <f>IFERROR(VLOOKUP(A283,Data!$I$3:$J$1442,2),0)</f>
        <v>9.6588018999999997E-2</v>
      </c>
      <c r="E283" s="37">
        <f t="shared" si="53"/>
        <v>9.6388018999999991E-2</v>
      </c>
      <c r="F283" s="37">
        <f t="shared" si="58"/>
        <v>0.10545725008120632</v>
      </c>
      <c r="G283" s="30">
        <f t="shared" si="59"/>
        <v>6923.4348867961598</v>
      </c>
      <c r="H283" s="38">
        <f t="shared" si="54"/>
        <v>118</v>
      </c>
      <c r="I283" s="39">
        <f t="shared" si="55"/>
        <v>118.96235455167694</v>
      </c>
      <c r="J283" s="40">
        <f t="shared" si="56"/>
        <v>23</v>
      </c>
      <c r="K283" s="43">
        <f>VLOOKUP(J283,Data!$Z$3:$AA$122,2)</f>
        <v>1.3848047986881942E-4</v>
      </c>
      <c r="L283" s="41">
        <f t="shared" si="57"/>
        <v>0.96235455167693829</v>
      </c>
      <c r="M283" s="43">
        <f>VLOOKUP(H283,Data!$P$3:$X$122,9)</f>
        <v>0.62369201594692936</v>
      </c>
      <c r="N283" s="43">
        <f t="shared" si="60"/>
        <v>0.54869483375380024</v>
      </c>
      <c r="O283" s="43">
        <f t="shared" si="61"/>
        <v>7.598352387976835E-5</v>
      </c>
      <c r="P283" s="30">
        <f t="shared" si="62"/>
        <v>0.52606698005089725</v>
      </c>
      <c r="Q283" s="31">
        <f t="shared" si="64"/>
        <v>848336.21517549665</v>
      </c>
    </row>
    <row r="284" spans="1:17" x14ac:dyDescent="0.25">
      <c r="A284" s="6">
        <f t="shared" si="63"/>
        <v>51835</v>
      </c>
      <c r="B284" s="30">
        <f>IFERROR(VLOOKUP(A284, Data!$L$3:$N$123, 3),1)*Pension</f>
        <v>65651.578070401389</v>
      </c>
      <c r="C284" s="37">
        <f t="shared" si="52"/>
        <v>23.419575633127995</v>
      </c>
      <c r="D284" s="37">
        <f>IFERROR(VLOOKUP(A284,Data!$I$3:$J$1442,2),0)</f>
        <v>9.6577030999999994E-2</v>
      </c>
      <c r="E284" s="37">
        <f t="shared" si="53"/>
        <v>9.6377030999999988E-2</v>
      </c>
      <c r="F284" s="37">
        <f t="shared" si="58"/>
        <v>0.10465258104505441</v>
      </c>
      <c r="G284" s="30">
        <f t="shared" si="59"/>
        <v>6870.6070947483986</v>
      </c>
      <c r="H284" s="38">
        <f t="shared" si="54"/>
        <v>119</v>
      </c>
      <c r="I284" s="39">
        <f t="shared" si="55"/>
        <v>119.04449007529089</v>
      </c>
      <c r="J284" s="40">
        <f t="shared" si="56"/>
        <v>24</v>
      </c>
      <c r="K284" s="43">
        <f>VLOOKUP(J284,Data!$Z$3:$AA$122,2)</f>
        <v>7.4220274951452195E-5</v>
      </c>
      <c r="L284" s="41">
        <f t="shared" si="57"/>
        <v>4.4490075290894993E-2</v>
      </c>
      <c r="M284" s="43">
        <f>VLOOKUP(H284,Data!$P$3:$X$122,9)</f>
        <v>0.64235331086414726</v>
      </c>
      <c r="N284" s="43">
        <f t="shared" si="60"/>
        <v>0.97182615134082051</v>
      </c>
      <c r="O284" s="43">
        <f t="shared" si="61"/>
        <v>7.2129204157527296E-5</v>
      </c>
      <c r="P284" s="30">
        <f t="shared" si="62"/>
        <v>0.49557142182326275</v>
      </c>
      <c r="Q284" s="31">
        <f t="shared" si="64"/>
        <v>848336.71074691846</v>
      </c>
    </row>
    <row r="285" spans="1:17" x14ac:dyDescent="0.25">
      <c r="A285" s="6">
        <f t="shared" si="63"/>
        <v>51866</v>
      </c>
      <c r="B285" s="30">
        <f>IFERROR(VLOOKUP(A285, Data!$L$3:$N$123, 3),1)*Pension</f>
        <v>68934.156973921446</v>
      </c>
      <c r="C285" s="37">
        <f t="shared" si="52"/>
        <v>23.504449007529089</v>
      </c>
      <c r="D285" s="37">
        <f>IFERROR(VLOOKUP(A285,Data!$I$3:$J$1442,2),0)</f>
        <v>9.6565699000000005E-2</v>
      </c>
      <c r="E285" s="37">
        <f t="shared" si="53"/>
        <v>9.6365698999999999E-2</v>
      </c>
      <c r="F285" s="37">
        <f t="shared" si="58"/>
        <v>0.1038276819636432</v>
      </c>
      <c r="G285" s="30">
        <f t="shared" si="59"/>
        <v>7157.2737267201728</v>
      </c>
      <c r="H285" s="38">
        <f t="shared" si="54"/>
        <v>119</v>
      </c>
      <c r="I285" s="39">
        <f t="shared" si="55"/>
        <v>119.12936344969199</v>
      </c>
      <c r="J285" s="40">
        <f t="shared" si="56"/>
        <v>24</v>
      </c>
      <c r="K285" s="43">
        <f>VLOOKUP(J285,Data!$Z$3:$AA$122,2)</f>
        <v>7.4220274951452195E-5</v>
      </c>
      <c r="L285" s="41">
        <f t="shared" si="57"/>
        <v>0.12936344969199354</v>
      </c>
      <c r="M285" s="43">
        <f>VLOOKUP(H285,Data!$P$3:$X$122,9)</f>
        <v>0.64235331086414726</v>
      </c>
      <c r="N285" s="43">
        <f t="shared" si="60"/>
        <v>0.92026184048066295</v>
      </c>
      <c r="O285" s="43">
        <f t="shared" si="61"/>
        <v>6.8302086827804249E-5</v>
      </c>
      <c r="P285" s="30">
        <f t="shared" si="62"/>
        <v>0.48885673153280335</v>
      </c>
      <c r="Q285" s="31">
        <f t="shared" si="64"/>
        <v>848337.19960365002</v>
      </c>
    </row>
    <row r="286" spans="1:17" x14ac:dyDescent="0.25">
      <c r="A286" s="6">
        <f t="shared" si="63"/>
        <v>51897</v>
      </c>
      <c r="B286" s="30">
        <f>IFERROR(VLOOKUP(A286, Data!$L$3:$N$123, 3),1)*Pension</f>
        <v>68934.156973921446</v>
      </c>
      <c r="C286" s="37">
        <f t="shared" si="52"/>
        <v>23.589322381930184</v>
      </c>
      <c r="D286" s="37">
        <f>IFERROR(VLOOKUP(A286,Data!$I$3:$J$1442,2),0)</f>
        <v>9.6553606E-2</v>
      </c>
      <c r="E286" s="37">
        <f t="shared" si="53"/>
        <v>9.6353605999999994E-2</v>
      </c>
      <c r="F286" s="37">
        <f t="shared" si="58"/>
        <v>0.10301133228752889</v>
      </c>
      <c r="G286" s="30">
        <f t="shared" si="59"/>
        <v>7100.9993500012988</v>
      </c>
      <c r="H286" s="38">
        <f t="shared" si="54"/>
        <v>119</v>
      </c>
      <c r="I286" s="39">
        <f t="shared" si="55"/>
        <v>119.21423682409309</v>
      </c>
      <c r="J286" s="40">
        <f t="shared" si="56"/>
        <v>24</v>
      </c>
      <c r="K286" s="43">
        <f>VLOOKUP(J286,Data!$Z$3:$AA$122,2)</f>
        <v>7.4220274951452195E-5</v>
      </c>
      <c r="L286" s="41">
        <f t="shared" si="57"/>
        <v>0.21423682409309208</v>
      </c>
      <c r="M286" s="43">
        <f>VLOOKUP(H286,Data!$P$3:$X$122,9)</f>
        <v>0.64235331086414726</v>
      </c>
      <c r="N286" s="43">
        <f t="shared" si="60"/>
        <v>0.87143349031760597</v>
      </c>
      <c r="O286" s="43">
        <f t="shared" si="61"/>
        <v>6.4678033253276373E-5</v>
      </c>
      <c r="P286" s="30">
        <f t="shared" si="62"/>
        <v>0.45927867209087792</v>
      </c>
      <c r="Q286" s="31">
        <f t="shared" si="64"/>
        <v>848337.65888232214</v>
      </c>
    </row>
    <row r="287" spans="1:17" x14ac:dyDescent="0.25">
      <c r="A287" s="6">
        <f t="shared" si="63"/>
        <v>51925</v>
      </c>
      <c r="B287" s="30">
        <f>IFERROR(VLOOKUP(A287, Data!$L$3:$N$123, 3),1)*Pension</f>
        <v>68934.156973921446</v>
      </c>
      <c r="C287" s="37">
        <f t="shared" si="52"/>
        <v>23.665982203969882</v>
      </c>
      <c r="D287" s="37">
        <f>IFERROR(VLOOKUP(A287,Data!$I$3:$J$1442,2),0)</f>
        <v>9.6542757000000007E-2</v>
      </c>
      <c r="E287" s="37">
        <f t="shared" si="53"/>
        <v>9.6342757000000001E-2</v>
      </c>
      <c r="F287" s="37">
        <f t="shared" si="58"/>
        <v>0.10227950454826354</v>
      </c>
      <c r="G287" s="30">
        <f t="shared" si="59"/>
        <v>7050.5514217449117</v>
      </c>
      <c r="H287" s="38">
        <f t="shared" si="54"/>
        <v>119</v>
      </c>
      <c r="I287" s="39">
        <f t="shared" si="55"/>
        <v>119.29089664613278</v>
      </c>
      <c r="J287" s="40">
        <f t="shared" si="56"/>
        <v>24</v>
      </c>
      <c r="K287" s="43">
        <f>VLOOKUP(J287,Data!$Z$3:$AA$122,2)</f>
        <v>7.4220274951452195E-5</v>
      </c>
      <c r="L287" s="41">
        <f t="shared" si="57"/>
        <v>0.29089664613277932</v>
      </c>
      <c r="M287" s="43">
        <f>VLOOKUP(H287,Data!$P$3:$X$122,9)</f>
        <v>0.64235331086414726</v>
      </c>
      <c r="N287" s="43">
        <f t="shared" si="60"/>
        <v>0.82956117422168807</v>
      </c>
      <c r="O287" s="43">
        <f t="shared" si="61"/>
        <v>6.1570258439783227E-5</v>
      </c>
      <c r="P287" s="30">
        <f t="shared" si="62"/>
        <v>0.43410427317981526</v>
      </c>
      <c r="Q287" s="31">
        <f t="shared" si="64"/>
        <v>848338.09298659535</v>
      </c>
    </row>
    <row r="288" spans="1:17" x14ac:dyDescent="0.25">
      <c r="A288" s="6">
        <f t="shared" si="63"/>
        <v>51956</v>
      </c>
      <c r="B288" s="30">
        <f>IFERROR(VLOOKUP(A288, Data!$L$3:$N$123, 3),1)*Pension</f>
        <v>68934.156973921446</v>
      </c>
      <c r="C288" s="37">
        <f t="shared" si="52"/>
        <v>23.750855578370977</v>
      </c>
      <c r="D288" s="37">
        <f>IFERROR(VLOOKUP(A288,Data!$I$3:$J$1442,2),0)</f>
        <v>9.6530950000000004E-2</v>
      </c>
      <c r="E288" s="37">
        <f t="shared" si="53"/>
        <v>9.6330949999999999E-2</v>
      </c>
      <c r="F288" s="37">
        <f t="shared" si="58"/>
        <v>0.10147503400223856</v>
      </c>
      <c r="G288" s="30">
        <f t="shared" si="59"/>
        <v>6995.0959228443289</v>
      </c>
      <c r="H288" s="38">
        <f t="shared" si="54"/>
        <v>119</v>
      </c>
      <c r="I288" s="39">
        <f t="shared" si="55"/>
        <v>119.37577002053388</v>
      </c>
      <c r="J288" s="40">
        <f t="shared" si="56"/>
        <v>24</v>
      </c>
      <c r="K288" s="43">
        <f>VLOOKUP(J288,Data!$Z$3:$AA$122,2)</f>
        <v>7.4220274951452195E-5</v>
      </c>
      <c r="L288" s="41">
        <f t="shared" si="57"/>
        <v>0.37577002053387787</v>
      </c>
      <c r="M288" s="43">
        <f>VLOOKUP(H288,Data!$P$3:$X$122,9)</f>
        <v>0.64235331086414726</v>
      </c>
      <c r="N288" s="43">
        <f t="shared" si="60"/>
        <v>0.78554532817137646</v>
      </c>
      <c r="O288" s="43">
        <f t="shared" si="61"/>
        <v>5.8303390243708307E-5</v>
      </c>
      <c r="P288" s="30">
        <f t="shared" si="62"/>
        <v>0.40783780738176578</v>
      </c>
      <c r="Q288" s="31">
        <f t="shared" si="64"/>
        <v>848338.50082440278</v>
      </c>
    </row>
    <row r="289" spans="1:17" x14ac:dyDescent="0.25">
      <c r="A289" s="6">
        <f t="shared" si="63"/>
        <v>51986</v>
      </c>
      <c r="B289" s="30">
        <f>IFERROR(VLOOKUP(A289, Data!$L$3:$N$123, 3),1)*Pension</f>
        <v>68934.156973921446</v>
      </c>
      <c r="C289" s="37">
        <f t="shared" si="52"/>
        <v>23.832991101984941</v>
      </c>
      <c r="D289" s="37">
        <f>IFERROR(VLOOKUP(A289,Data!$I$3:$J$1442,2),0)</f>
        <v>9.6521312999999997E-2</v>
      </c>
      <c r="E289" s="37">
        <f t="shared" si="53"/>
        <v>9.6321312999999992E-2</v>
      </c>
      <c r="F289" s="37">
        <f t="shared" si="58"/>
        <v>0.10069843751035155</v>
      </c>
      <c r="G289" s="30">
        <f t="shared" si="59"/>
        <v>6941.5618983671939</v>
      </c>
      <c r="H289" s="38">
        <f t="shared" si="54"/>
        <v>119</v>
      </c>
      <c r="I289" s="39">
        <f t="shared" si="55"/>
        <v>119.45790554414785</v>
      </c>
      <c r="J289" s="40">
        <f t="shared" si="56"/>
        <v>24</v>
      </c>
      <c r="K289" s="43">
        <f>VLOOKUP(J289,Data!$Z$3:$AA$122,2)</f>
        <v>7.4220274951452195E-5</v>
      </c>
      <c r="L289" s="41">
        <f t="shared" si="57"/>
        <v>0.45790554414784879</v>
      </c>
      <c r="M289" s="43">
        <f>VLOOKUP(H289,Data!$P$3:$X$122,9)</f>
        <v>0.64235331086414726</v>
      </c>
      <c r="N289" s="43">
        <f t="shared" si="60"/>
        <v>0.74517428948478903</v>
      </c>
      <c r="O289" s="43">
        <f t="shared" si="61"/>
        <v>5.5307040652314073E-5</v>
      </c>
      <c r="P289" s="30">
        <f t="shared" si="62"/>
        <v>0.38391724610354883</v>
      </c>
      <c r="Q289" s="31">
        <f t="shared" si="64"/>
        <v>848338.88474164892</v>
      </c>
    </row>
    <row r="290" spans="1:17" x14ac:dyDescent="0.25">
      <c r="A290" s="6">
        <f t="shared" si="63"/>
        <v>52017</v>
      </c>
      <c r="B290" s="30">
        <f>IFERROR(VLOOKUP(A290, Data!$L$3:$N$123, 3),1)*Pension</f>
        <v>68934.156973921446</v>
      </c>
      <c r="C290" s="37">
        <f t="shared" si="52"/>
        <v>23.917864476386036</v>
      </c>
      <c r="D290" s="37">
        <f>IFERROR(VLOOKUP(A290,Data!$I$3:$J$1442,2),0)</f>
        <v>9.6511423999999998E-2</v>
      </c>
      <c r="E290" s="37">
        <f t="shared" si="53"/>
        <v>9.6311423999999993E-2</v>
      </c>
      <c r="F290" s="37">
        <f t="shared" si="58"/>
        <v>9.9902198480321225E-2</v>
      </c>
      <c r="G290" s="30">
        <f t="shared" si="59"/>
        <v>6886.6738320823197</v>
      </c>
      <c r="H290" s="38">
        <f t="shared" si="54"/>
        <v>119</v>
      </c>
      <c r="I290" s="39">
        <f t="shared" si="55"/>
        <v>119.54277891854893</v>
      </c>
      <c r="J290" s="40">
        <f t="shared" si="56"/>
        <v>24</v>
      </c>
      <c r="K290" s="43">
        <f>VLOOKUP(J290,Data!$Z$3:$AA$122,2)</f>
        <v>7.4220274951452195E-5</v>
      </c>
      <c r="L290" s="41">
        <f t="shared" si="57"/>
        <v>0.54277891854893312</v>
      </c>
      <c r="M290" s="43">
        <f>VLOOKUP(H290,Data!$P$3:$X$122,9)</f>
        <v>0.64235331086414726</v>
      </c>
      <c r="N290" s="43">
        <f t="shared" si="60"/>
        <v>0.70563594339791891</v>
      </c>
      <c r="O290" s="43">
        <f t="shared" si="61"/>
        <v>5.2372493734620902E-5</v>
      </c>
      <c r="P290" s="30">
        <f t="shared" si="62"/>
        <v>0.36067228212310903</v>
      </c>
      <c r="Q290" s="31">
        <f t="shared" si="64"/>
        <v>848339.24541393109</v>
      </c>
    </row>
    <row r="291" spans="1:17" x14ac:dyDescent="0.25">
      <c r="A291" s="6">
        <f t="shared" si="63"/>
        <v>52047</v>
      </c>
      <c r="B291" s="30">
        <f>IFERROR(VLOOKUP(A291, Data!$L$3:$N$123, 3),1)*Pension</f>
        <v>68934.156973921446</v>
      </c>
      <c r="C291" s="37">
        <f t="shared" si="52"/>
        <v>24</v>
      </c>
      <c r="D291" s="37">
        <f>IFERROR(VLOOKUP(A291,Data!$I$3:$J$1442,2),0)</f>
        <v>9.6501907999999997E-2</v>
      </c>
      <c r="E291" s="37">
        <f t="shared" si="53"/>
        <v>9.6301907999999992E-2</v>
      </c>
      <c r="F291" s="37">
        <f t="shared" si="58"/>
        <v>9.9137669681183677E-2</v>
      </c>
      <c r="G291" s="30">
        <f t="shared" si="59"/>
        <v>6833.9716838314889</v>
      </c>
      <c r="H291" s="38">
        <f t="shared" si="54"/>
        <v>119</v>
      </c>
      <c r="I291" s="39">
        <f t="shared" si="55"/>
        <v>119.6249144421629</v>
      </c>
      <c r="J291" s="40">
        <f t="shared" si="56"/>
        <v>24</v>
      </c>
      <c r="K291" s="43">
        <f>VLOOKUP(J291,Data!$Z$3:$AA$122,2)</f>
        <v>7.4220274951452195E-5</v>
      </c>
      <c r="L291" s="41">
        <f t="shared" si="57"/>
        <v>0.62491444216290404</v>
      </c>
      <c r="M291" s="43">
        <f>VLOOKUP(H291,Data!$P$3:$X$122,9)</f>
        <v>0.64235331086414726</v>
      </c>
      <c r="N291" s="43">
        <f t="shared" si="60"/>
        <v>0.66937163763738727</v>
      </c>
      <c r="O291" s="43">
        <f t="shared" si="61"/>
        <v>4.968094699015071E-5</v>
      </c>
      <c r="P291" s="30">
        <f t="shared" si="62"/>
        <v>0.33951818495662317</v>
      </c>
      <c r="Q291" s="31">
        <f t="shared" si="64"/>
        <v>848339.58493211609</v>
      </c>
    </row>
    <row r="292" spans="1:17" x14ac:dyDescent="0.25">
      <c r="A292" s="6">
        <f t="shared" si="63"/>
        <v>52078</v>
      </c>
      <c r="B292" s="30">
        <f>IFERROR(VLOOKUP(A292, Data!$L$3:$N$123, 3),1)*Pension</f>
        <v>68934.156973921446</v>
      </c>
      <c r="C292" s="37">
        <f t="shared" si="52"/>
        <v>24.084873374401095</v>
      </c>
      <c r="D292" s="37">
        <f>IFERROR(VLOOKUP(A292,Data!$I$3:$J$1442,2),0)</f>
        <v>9.6491790999999993E-2</v>
      </c>
      <c r="E292" s="37">
        <f t="shared" si="53"/>
        <v>9.6291790999999988E-2</v>
      </c>
      <c r="F292" s="37">
        <f t="shared" si="58"/>
        <v>9.8354636418544764E-2</v>
      </c>
      <c r="G292" s="30">
        <f t="shared" si="59"/>
        <v>6779.9939459889356</v>
      </c>
      <c r="H292" s="38">
        <f t="shared" si="54"/>
        <v>119</v>
      </c>
      <c r="I292" s="39">
        <f t="shared" si="55"/>
        <v>119.709787816564</v>
      </c>
      <c r="J292" s="40">
        <f t="shared" si="56"/>
        <v>24</v>
      </c>
      <c r="K292" s="43">
        <f>VLOOKUP(J292,Data!$Z$3:$AA$122,2)</f>
        <v>7.4220274951452195E-5</v>
      </c>
      <c r="L292" s="41">
        <f t="shared" si="57"/>
        <v>0.70978781656400258</v>
      </c>
      <c r="M292" s="43">
        <f>VLOOKUP(H292,Data!$P$3:$X$122,9)</f>
        <v>0.64235331086414726</v>
      </c>
      <c r="N292" s="43">
        <f t="shared" si="60"/>
        <v>0.63385531904842374</v>
      </c>
      <c r="O292" s="43">
        <f t="shared" si="61"/>
        <v>4.7044916059214465E-5</v>
      </c>
      <c r="P292" s="30">
        <f t="shared" si="62"/>
        <v>0.31896424607103174</v>
      </c>
      <c r="Q292" s="31">
        <f t="shared" si="64"/>
        <v>848339.90389636217</v>
      </c>
    </row>
    <row r="293" spans="1:17" x14ac:dyDescent="0.25">
      <c r="A293" s="6">
        <f t="shared" si="63"/>
        <v>52109</v>
      </c>
      <c r="B293" s="30">
        <f>IFERROR(VLOOKUP(A293, Data!$L$3:$N$123, 3),1)*Pension</f>
        <v>68934.156973921446</v>
      </c>
      <c r="C293" s="37">
        <f t="shared" si="52"/>
        <v>24.16974674880219</v>
      </c>
      <c r="D293" s="37">
        <f>IFERROR(VLOOKUP(A293,Data!$I$3:$J$1442,2),0)</f>
        <v>9.6481744999999994E-2</v>
      </c>
      <c r="E293" s="37">
        <f t="shared" si="53"/>
        <v>9.6281744999999988E-2</v>
      </c>
      <c r="F293" s="37">
        <f t="shared" si="58"/>
        <v>9.7577788024224441E-2</v>
      </c>
      <c r="G293" s="30">
        <f t="shared" si="59"/>
        <v>6726.4425568299202</v>
      </c>
      <c r="H293" s="38">
        <f t="shared" si="54"/>
        <v>119</v>
      </c>
      <c r="I293" s="39">
        <f t="shared" si="55"/>
        <v>119.79466119096509</v>
      </c>
      <c r="J293" s="40">
        <f t="shared" si="56"/>
        <v>24</v>
      </c>
      <c r="K293" s="43">
        <f>VLOOKUP(J293,Data!$Z$3:$AA$122,2)</f>
        <v>7.4220274951452195E-5</v>
      </c>
      <c r="L293" s="41">
        <f t="shared" si="57"/>
        <v>0.79466119096508692</v>
      </c>
      <c r="M293" s="43">
        <f>VLOOKUP(H293,Data!$P$3:$X$122,9)</f>
        <v>0.64235331086414726</v>
      </c>
      <c r="N293" s="43">
        <f t="shared" si="60"/>
        <v>0.60022346764508616</v>
      </c>
      <c r="O293" s="43">
        <f t="shared" si="61"/>
        <v>4.4548750800932365E-5</v>
      </c>
      <c r="P293" s="30">
        <f t="shared" si="62"/>
        <v>0.29965461324100245</v>
      </c>
      <c r="Q293" s="31">
        <f t="shared" si="64"/>
        <v>848340.20355097542</v>
      </c>
    </row>
    <row r="294" spans="1:17" x14ac:dyDescent="0.25">
      <c r="A294" s="6">
        <f t="shared" si="63"/>
        <v>52139</v>
      </c>
      <c r="B294" s="30">
        <f>IFERROR(VLOOKUP(A294, Data!$L$3:$N$123, 3),1)*Pension</f>
        <v>68934.156973921446</v>
      </c>
      <c r="C294" s="37">
        <f t="shared" si="52"/>
        <v>24.251882272416154</v>
      </c>
      <c r="D294" s="37">
        <f>IFERROR(VLOOKUP(A294,Data!$I$3:$J$1442,2),0)</f>
        <v>9.6472172999999994E-2</v>
      </c>
      <c r="E294" s="37">
        <f t="shared" si="53"/>
        <v>9.6272172999999989E-2</v>
      </c>
      <c r="F294" s="37">
        <f t="shared" si="58"/>
        <v>9.6831647058709516E-2</v>
      </c>
      <c r="G294" s="30">
        <f t="shared" si="59"/>
        <v>6675.0079583884408</v>
      </c>
      <c r="H294" s="38">
        <f t="shared" si="54"/>
        <v>119</v>
      </c>
      <c r="I294" s="39">
        <f t="shared" si="55"/>
        <v>119.87679671457906</v>
      </c>
      <c r="J294" s="40">
        <f t="shared" si="56"/>
        <v>24</v>
      </c>
      <c r="K294" s="43">
        <f>VLOOKUP(J294,Data!$Z$3:$AA$122,2)</f>
        <v>7.4220274951452195E-5</v>
      </c>
      <c r="L294" s="41">
        <f t="shared" si="57"/>
        <v>0.87679671457905783</v>
      </c>
      <c r="M294" s="43">
        <f>VLOOKUP(H294,Data!$P$3:$X$122,9)</f>
        <v>0.64235331086414726</v>
      </c>
      <c r="N294" s="43">
        <f t="shared" si="60"/>
        <v>0.56937655918048513</v>
      </c>
      <c r="O294" s="43">
        <f t="shared" si="61"/>
        <v>4.2259284773287399E-5</v>
      </c>
      <c r="P294" s="30">
        <f t="shared" si="62"/>
        <v>0.28208106217749684</v>
      </c>
      <c r="Q294" s="31">
        <f t="shared" si="64"/>
        <v>848340.48563203763</v>
      </c>
    </row>
    <row r="295" spans="1:17" x14ac:dyDescent="0.25">
      <c r="A295" s="6">
        <f t="shared" si="63"/>
        <v>52170</v>
      </c>
      <c r="B295" s="30">
        <f>IFERROR(VLOOKUP(A295, Data!$L$3:$N$123, 3),1)*Pension</f>
        <v>68934.156973921446</v>
      </c>
      <c r="C295" s="37">
        <f t="shared" si="52"/>
        <v>24.336755646817249</v>
      </c>
      <c r="D295" s="37">
        <f>IFERROR(VLOOKUP(A295,Data!$I$3:$J$1442,2),0)</f>
        <v>9.6464837999999997E-2</v>
      </c>
      <c r="E295" s="37">
        <f t="shared" si="53"/>
        <v>9.6264837999999991E-2</v>
      </c>
      <c r="F295" s="37">
        <f t="shared" si="58"/>
        <v>9.6060811034066398E-2</v>
      </c>
      <c r="G295" s="30">
        <f t="shared" si="59"/>
        <v>6621.8710268645382</v>
      </c>
      <c r="H295" s="38">
        <f t="shared" si="54"/>
        <v>119</v>
      </c>
      <c r="I295" s="39">
        <f t="shared" si="55"/>
        <v>119.96167008898016</v>
      </c>
      <c r="J295" s="40">
        <f t="shared" si="56"/>
        <v>24</v>
      </c>
      <c r="K295" s="43">
        <f>VLOOKUP(J295,Data!$Z$3:$AA$122,2)</f>
        <v>7.4220274951452195E-5</v>
      </c>
      <c r="L295" s="41">
        <f t="shared" si="57"/>
        <v>0.96167008898015638</v>
      </c>
      <c r="M295" s="43">
        <f>VLOOKUP(H295,Data!$P$3:$X$122,9)</f>
        <v>0.64235331086414726</v>
      </c>
      <c r="N295" s="43">
        <f t="shared" si="60"/>
        <v>0.53916589871043885</v>
      </c>
      <c r="O295" s="43">
        <f t="shared" si="61"/>
        <v>4.0017041246735594E-5</v>
      </c>
      <c r="P295" s="30">
        <f t="shared" si="62"/>
        <v>0.26498768601260159</v>
      </c>
      <c r="Q295" s="31">
        <f t="shared" si="64"/>
        <v>848340.75061972369</v>
      </c>
    </row>
    <row r="296" spans="1:17" x14ac:dyDescent="0.25">
      <c r="A296" s="6">
        <f t="shared" si="63"/>
        <v>52200</v>
      </c>
      <c r="B296" s="30">
        <f>IFERROR(VLOOKUP(A296, Data!$L$3:$N$123, 3),1)*Pension</f>
        <v>68934.156973921446</v>
      </c>
      <c r="C296" s="37">
        <f t="shared" si="52"/>
        <v>24.418891170431213</v>
      </c>
      <c r="D296" s="37">
        <f>IFERROR(VLOOKUP(A296,Data!$I$3:$J$1442,2),0)</f>
        <v>9.6457787000000003E-2</v>
      </c>
      <c r="E296" s="37">
        <f t="shared" si="53"/>
        <v>9.6257786999999997E-2</v>
      </c>
      <c r="F296" s="37">
        <f t="shared" si="58"/>
        <v>9.5320686467757806E-2</v>
      </c>
      <c r="G296" s="30">
        <f t="shared" si="59"/>
        <v>6570.8511638303662</v>
      </c>
      <c r="H296" s="38">
        <f t="shared" si="54"/>
        <v>120</v>
      </c>
      <c r="I296" s="39">
        <f t="shared" si="55"/>
        <v>120.04380561259411</v>
      </c>
      <c r="J296" s="40">
        <f t="shared" si="56"/>
        <v>25</v>
      </c>
      <c r="K296" s="43">
        <f>VLOOKUP(J296,Data!$Z$3:$AA$122,2)</f>
        <v>0</v>
      </c>
      <c r="L296" s="41">
        <f t="shared" si="57"/>
        <v>4.3805612594113086E-2</v>
      </c>
      <c r="M296" s="43">
        <f>VLOOKUP(H296,Data!$P$3:$X$122,9)</f>
        <v>0</v>
      </c>
      <c r="N296" s="43">
        <f t="shared" si="60"/>
        <v>0</v>
      </c>
      <c r="O296" s="43">
        <f t="shared" si="61"/>
        <v>0</v>
      </c>
      <c r="P296" s="30">
        <f t="shared" si="62"/>
        <v>0</v>
      </c>
      <c r="Q296" s="31">
        <f t="shared" si="64"/>
        <v>848340.75061972369</v>
      </c>
    </row>
    <row r="297" spans="1:17" x14ac:dyDescent="0.25">
      <c r="A297" s="6">
        <f t="shared" si="63"/>
        <v>52231</v>
      </c>
      <c r="B297" s="30">
        <f>IFERROR(VLOOKUP(A297, Data!$L$3:$N$123, 3),1)*Pension</f>
        <v>72380.864822617514</v>
      </c>
      <c r="C297" s="37">
        <f t="shared" si="52"/>
        <v>24.503764544832308</v>
      </c>
      <c r="D297" s="37">
        <f>IFERROR(VLOOKUP(A297,Data!$I$3:$J$1442,2),0)</f>
        <v>9.6450562000000004E-2</v>
      </c>
      <c r="E297" s="37">
        <f t="shared" si="53"/>
        <v>9.6250561999999998E-2</v>
      </c>
      <c r="F297" s="37">
        <f t="shared" si="58"/>
        <v>9.4561854979829815E-2</v>
      </c>
      <c r="G297" s="30">
        <f t="shared" si="59"/>
        <v>6844.4688426710227</v>
      </c>
      <c r="H297" s="38">
        <f t="shared" si="54"/>
        <v>120</v>
      </c>
      <c r="I297" s="39">
        <f t="shared" si="55"/>
        <v>120.12867898699521</v>
      </c>
      <c r="J297" s="40">
        <f t="shared" si="56"/>
        <v>25</v>
      </c>
      <c r="K297" s="43">
        <f>VLOOKUP(J297,Data!$Z$3:$AA$122,2)</f>
        <v>0</v>
      </c>
      <c r="L297" s="41">
        <f t="shared" si="57"/>
        <v>0.12867898699521163</v>
      </c>
      <c r="M297" s="43">
        <f>VLOOKUP(H297,Data!$P$3:$X$122,9)</f>
        <v>0</v>
      </c>
      <c r="N297" s="43">
        <f t="shared" si="60"/>
        <v>0</v>
      </c>
      <c r="O297" s="43">
        <f t="shared" si="61"/>
        <v>0</v>
      </c>
      <c r="P297" s="30">
        <f t="shared" si="62"/>
        <v>0</v>
      </c>
      <c r="Q297" s="31">
        <f t="shared" si="64"/>
        <v>848340.75061972369</v>
      </c>
    </row>
    <row r="298" spans="1:17" x14ac:dyDescent="0.25">
      <c r="A298" s="6">
        <f t="shared" si="63"/>
        <v>52262</v>
      </c>
      <c r="B298" s="30">
        <f>IFERROR(VLOOKUP(A298, Data!$L$3:$N$123, 3),1)*Pension</f>
        <v>72380.864822617514</v>
      </c>
      <c r="C298" s="37">
        <f t="shared" si="52"/>
        <v>24.588637919233403</v>
      </c>
      <c r="D298" s="37">
        <f>IFERROR(VLOOKUP(A298,Data!$I$3:$J$1442,2),0)</f>
        <v>9.6443540999999994E-2</v>
      </c>
      <c r="E298" s="37">
        <f t="shared" si="53"/>
        <v>9.6243540999999988E-2</v>
      </c>
      <c r="F298" s="37">
        <f t="shared" si="58"/>
        <v>9.3808708914085798E-2</v>
      </c>
      <c r="G298" s="30">
        <f t="shared" si="59"/>
        <v>6789.9554790947186</v>
      </c>
      <c r="H298" s="38">
        <f t="shared" si="54"/>
        <v>120</v>
      </c>
      <c r="I298" s="39">
        <f t="shared" si="55"/>
        <v>120.21355236139631</v>
      </c>
      <c r="J298" s="40">
        <f t="shared" si="56"/>
        <v>25</v>
      </c>
      <c r="K298" s="43">
        <f>VLOOKUP(J298,Data!$Z$3:$AA$122,2)</f>
        <v>0</v>
      </c>
      <c r="L298" s="41">
        <f t="shared" si="57"/>
        <v>0.21355236139631018</v>
      </c>
      <c r="M298" s="43">
        <f>VLOOKUP(H298,Data!$P$3:$X$122,9)</f>
        <v>0</v>
      </c>
      <c r="N298" s="43">
        <f t="shared" si="60"/>
        <v>0</v>
      </c>
      <c r="O298" s="43">
        <f t="shared" si="61"/>
        <v>0</v>
      </c>
      <c r="P298" s="30">
        <f t="shared" si="62"/>
        <v>0</v>
      </c>
      <c r="Q298" s="31">
        <f t="shared" si="64"/>
        <v>848340.75061972369</v>
      </c>
    </row>
    <row r="299" spans="1:17" x14ac:dyDescent="0.25">
      <c r="A299" s="6">
        <f t="shared" si="63"/>
        <v>52290</v>
      </c>
      <c r="B299" s="30">
        <f>IFERROR(VLOOKUP(A299, Data!$L$3:$N$123, 3),1)*Pension</f>
        <v>72380.864822617514</v>
      </c>
      <c r="C299" s="37">
        <f t="shared" si="52"/>
        <v>24.6652977412731</v>
      </c>
      <c r="D299" s="37">
        <f>IFERROR(VLOOKUP(A299,Data!$I$3:$J$1442,2),0)</f>
        <v>9.6437239999999994E-2</v>
      </c>
      <c r="E299" s="37">
        <f t="shared" si="53"/>
        <v>9.6237239999999988E-2</v>
      </c>
      <c r="F299" s="37">
        <f t="shared" si="58"/>
        <v>9.3133607371959998E-2</v>
      </c>
      <c r="G299" s="30">
        <f t="shared" si="59"/>
        <v>6741.091045632571</v>
      </c>
      <c r="H299" s="38">
        <f t="shared" si="54"/>
        <v>120</v>
      </c>
      <c r="I299" s="39">
        <f t="shared" si="55"/>
        <v>120.290212183436</v>
      </c>
      <c r="J299" s="40">
        <f t="shared" si="56"/>
        <v>25</v>
      </c>
      <c r="K299" s="43">
        <f>VLOOKUP(J299,Data!$Z$3:$AA$122,2)</f>
        <v>0</v>
      </c>
      <c r="L299" s="41">
        <f t="shared" si="57"/>
        <v>0.29021218343599742</v>
      </c>
      <c r="M299" s="43">
        <f>VLOOKUP(H299,Data!$P$3:$X$122,9)</f>
        <v>0</v>
      </c>
      <c r="N299" s="43">
        <f t="shared" si="60"/>
        <v>0</v>
      </c>
      <c r="O299" s="43">
        <f t="shared" si="61"/>
        <v>0</v>
      </c>
      <c r="P299" s="30">
        <f t="shared" si="62"/>
        <v>0</v>
      </c>
      <c r="Q299" s="31">
        <f t="shared" si="64"/>
        <v>848340.75061972369</v>
      </c>
    </row>
    <row r="300" spans="1:17" x14ac:dyDescent="0.25">
      <c r="A300" s="6">
        <f t="shared" si="63"/>
        <v>52321</v>
      </c>
      <c r="B300" s="30">
        <f>IFERROR(VLOOKUP(A300, Data!$L$3:$N$123, 3),1)*Pension</f>
        <v>72380.864822617514</v>
      </c>
      <c r="C300" s="37">
        <f t="shared" si="52"/>
        <v>24.750171115674195</v>
      </c>
      <c r="D300" s="37">
        <f>IFERROR(VLOOKUP(A300,Data!$I$3:$J$1442,2),0)</f>
        <v>9.6430526000000003E-2</v>
      </c>
      <c r="E300" s="37">
        <f t="shared" si="53"/>
        <v>9.6230525999999997E-2</v>
      </c>
      <c r="F300" s="37">
        <f t="shared" si="58"/>
        <v>9.2391343937641063E-2</v>
      </c>
      <c r="G300" s="30">
        <f t="shared" si="59"/>
        <v>6687.36537633036</v>
      </c>
      <c r="H300" s="38">
        <f t="shared" si="54"/>
        <v>120</v>
      </c>
      <c r="I300" s="39">
        <f t="shared" si="55"/>
        <v>120.3750855578371</v>
      </c>
      <c r="J300" s="40">
        <f t="shared" si="56"/>
        <v>25</v>
      </c>
      <c r="K300" s="43">
        <f>VLOOKUP(J300,Data!$Z$3:$AA$122,2)</f>
        <v>0</v>
      </c>
      <c r="L300" s="41">
        <f t="shared" si="57"/>
        <v>0.37508555783709596</v>
      </c>
      <c r="M300" s="43">
        <f>VLOOKUP(H300,Data!$P$3:$X$122,9)</f>
        <v>0</v>
      </c>
      <c r="N300" s="43">
        <f t="shared" si="60"/>
        <v>0</v>
      </c>
      <c r="O300" s="43">
        <f t="shared" si="61"/>
        <v>0</v>
      </c>
      <c r="P300" s="30">
        <f t="shared" si="62"/>
        <v>0</v>
      </c>
      <c r="Q300" s="31">
        <f t="shared" si="64"/>
        <v>848340.75061972369</v>
      </c>
    </row>
    <row r="301" spans="1:17" x14ac:dyDescent="0.25">
      <c r="A301" s="6">
        <f t="shared" si="63"/>
        <v>52351</v>
      </c>
      <c r="B301" s="30">
        <f>IFERROR(VLOOKUP(A301, Data!$L$3:$N$123, 3),1)*Pension</f>
        <v>72380.864822617514</v>
      </c>
      <c r="C301" s="37">
        <f t="shared" si="52"/>
        <v>24.832306639288159</v>
      </c>
      <c r="D301" s="37">
        <f>IFERROR(VLOOKUP(A301,Data!$I$3:$J$1442,2),0)</f>
        <v>9.6427102000000001E-2</v>
      </c>
      <c r="E301" s="37">
        <f t="shared" si="53"/>
        <v>9.6227101999999995E-2</v>
      </c>
      <c r="F301" s="37">
        <f t="shared" si="58"/>
        <v>9.167176036823213E-2</v>
      </c>
      <c r="G301" s="30">
        <f t="shared" si="59"/>
        <v>6635.2812952643953</v>
      </c>
      <c r="H301" s="38">
        <f t="shared" si="54"/>
        <v>120</v>
      </c>
      <c r="I301" s="39">
        <f t="shared" si="55"/>
        <v>120.45722108145107</v>
      </c>
      <c r="J301" s="40">
        <f t="shared" si="56"/>
        <v>25</v>
      </c>
      <c r="K301" s="43">
        <f>VLOOKUP(J301,Data!$Z$3:$AA$122,2)</f>
        <v>0</v>
      </c>
      <c r="L301" s="41">
        <f t="shared" si="57"/>
        <v>0.45722108145106688</v>
      </c>
      <c r="M301" s="43">
        <f>VLOOKUP(H301,Data!$P$3:$X$122,9)</f>
        <v>0</v>
      </c>
      <c r="N301" s="43">
        <f t="shared" si="60"/>
        <v>0</v>
      </c>
      <c r="O301" s="43">
        <f t="shared" si="61"/>
        <v>0</v>
      </c>
      <c r="P301" s="30">
        <f t="shared" si="62"/>
        <v>0</v>
      </c>
      <c r="Q301" s="31">
        <f t="shared" si="64"/>
        <v>848340.75061972369</v>
      </c>
    </row>
    <row r="302" spans="1:17" x14ac:dyDescent="0.25">
      <c r="A302" s="6">
        <f t="shared" si="63"/>
        <v>52382</v>
      </c>
      <c r="B302" s="30">
        <f>IFERROR(VLOOKUP(A302, Data!$L$3:$N$123, 3),1)*Pension</f>
        <v>72380.864822617514</v>
      </c>
      <c r="C302" s="37">
        <f t="shared" si="52"/>
        <v>24.917180013689254</v>
      </c>
      <c r="D302" s="37">
        <f>IFERROR(VLOOKUP(A302,Data!$I$3:$J$1442,2),0)</f>
        <v>9.6423587000000005E-2</v>
      </c>
      <c r="E302" s="37">
        <f t="shared" si="53"/>
        <v>9.6223586999999999E-2</v>
      </c>
      <c r="F302" s="37">
        <f t="shared" si="58"/>
        <v>9.093407924789032E-2</v>
      </c>
      <c r="G302" s="30">
        <f t="shared" si="59"/>
        <v>6581.8872978107374</v>
      </c>
      <c r="H302" s="38">
        <f t="shared" si="54"/>
        <v>120</v>
      </c>
      <c r="I302" s="39">
        <f t="shared" si="55"/>
        <v>120.54209445585215</v>
      </c>
      <c r="J302" s="40">
        <f t="shared" si="56"/>
        <v>25</v>
      </c>
      <c r="K302" s="43">
        <f>VLOOKUP(J302,Data!$Z$3:$AA$122,2)</f>
        <v>0</v>
      </c>
      <c r="L302" s="41">
        <f t="shared" si="57"/>
        <v>0.54209445585215121</v>
      </c>
      <c r="M302" s="43">
        <f>VLOOKUP(H302,Data!$P$3:$X$122,9)</f>
        <v>0</v>
      </c>
      <c r="N302" s="43">
        <f t="shared" si="60"/>
        <v>0</v>
      </c>
      <c r="O302" s="43">
        <f t="shared" si="61"/>
        <v>0</v>
      </c>
      <c r="P302" s="30">
        <f t="shared" si="62"/>
        <v>0</v>
      </c>
      <c r="Q302" s="31">
        <f t="shared" si="64"/>
        <v>848340.75061972369</v>
      </c>
    </row>
    <row r="303" spans="1:17" x14ac:dyDescent="0.25">
      <c r="A303" s="6">
        <f t="shared" si="63"/>
        <v>52412</v>
      </c>
      <c r="B303" s="30">
        <f>IFERROR(VLOOKUP(A303, Data!$L$3:$N$123, 3),1)*Pension</f>
        <v>72380.864822617514</v>
      </c>
      <c r="C303" s="37">
        <f t="shared" si="52"/>
        <v>24.999315537303218</v>
      </c>
      <c r="D303" s="37">
        <f>IFERROR(VLOOKUP(A303,Data!$I$3:$J$1442,2),0)</f>
        <v>9.6420235000000007E-2</v>
      </c>
      <c r="E303" s="37">
        <f t="shared" si="53"/>
        <v>9.6220235000000001E-2</v>
      </c>
      <c r="F303" s="37">
        <f t="shared" si="58"/>
        <v>9.0225786099096414E-2</v>
      </c>
      <c r="G303" s="30">
        <f t="shared" si="59"/>
        <v>6530.6204271530996</v>
      </c>
      <c r="H303" s="38">
        <f t="shared" si="54"/>
        <v>120</v>
      </c>
      <c r="I303" s="39">
        <f t="shared" si="55"/>
        <v>120.62422997946612</v>
      </c>
      <c r="J303" s="40">
        <f t="shared" si="56"/>
        <v>25</v>
      </c>
      <c r="K303" s="43">
        <f>VLOOKUP(J303,Data!$Z$3:$AA$122,2)</f>
        <v>0</v>
      </c>
      <c r="L303" s="41">
        <f t="shared" si="57"/>
        <v>0.62422997946612213</v>
      </c>
      <c r="M303" s="43">
        <f>VLOOKUP(H303,Data!$P$3:$X$122,9)</f>
        <v>0</v>
      </c>
      <c r="N303" s="43">
        <f t="shared" si="60"/>
        <v>0</v>
      </c>
      <c r="O303" s="43">
        <f t="shared" si="61"/>
        <v>0</v>
      </c>
      <c r="P303" s="30">
        <f t="shared" si="62"/>
        <v>0</v>
      </c>
      <c r="Q303" s="31">
        <f t="shared" si="64"/>
        <v>848340.75061972369</v>
      </c>
    </row>
    <row r="304" spans="1:17" x14ac:dyDescent="0.25">
      <c r="A304" s="6">
        <f t="shared" si="63"/>
        <v>52443</v>
      </c>
      <c r="B304" s="30">
        <f>IFERROR(VLOOKUP(A304, Data!$L$3:$N$123, 3),1)*Pension</f>
        <v>72380.864822617514</v>
      </c>
      <c r="C304" s="37">
        <f t="shared" si="52"/>
        <v>25.084188911704313</v>
      </c>
      <c r="D304" s="37">
        <f>IFERROR(VLOOKUP(A304,Data!$I$3:$J$1442,2),0)</f>
        <v>9.6417599000000007E-2</v>
      </c>
      <c r="E304" s="37">
        <f t="shared" si="53"/>
        <v>9.6217599000000001E-2</v>
      </c>
      <c r="F304" s="37">
        <f t="shared" si="58"/>
        <v>8.9497872051344449E-2</v>
      </c>
      <c r="G304" s="30">
        <f t="shared" si="59"/>
        <v>6477.9333788602808</v>
      </c>
      <c r="H304" s="38">
        <f t="shared" si="54"/>
        <v>120</v>
      </c>
      <c r="I304" s="39">
        <f t="shared" si="55"/>
        <v>120.70910335386722</v>
      </c>
      <c r="J304" s="40">
        <f t="shared" si="56"/>
        <v>25</v>
      </c>
      <c r="K304" s="43">
        <f>VLOOKUP(J304,Data!$Z$3:$AA$122,2)</f>
        <v>0</v>
      </c>
      <c r="L304" s="41">
        <f t="shared" si="57"/>
        <v>0.70910335386722068</v>
      </c>
      <c r="M304" s="43">
        <f>VLOOKUP(H304,Data!$P$3:$X$122,9)</f>
        <v>0</v>
      </c>
      <c r="N304" s="43">
        <f t="shared" si="60"/>
        <v>0</v>
      </c>
      <c r="O304" s="43">
        <f t="shared" si="61"/>
        <v>0</v>
      </c>
      <c r="P304" s="30">
        <f t="shared" si="62"/>
        <v>0</v>
      </c>
      <c r="Q304" s="31">
        <f t="shared" si="64"/>
        <v>848340.75061972369</v>
      </c>
    </row>
    <row r="305" spans="1:17" x14ac:dyDescent="0.25">
      <c r="A305" s="6">
        <f t="shared" si="63"/>
        <v>52474</v>
      </c>
      <c r="B305" s="30">
        <f>IFERROR(VLOOKUP(A305, Data!$L$3:$N$123, 3),1)*Pension</f>
        <v>72380.864822617514</v>
      </c>
      <c r="C305" s="37">
        <f t="shared" si="52"/>
        <v>25.169062286105408</v>
      </c>
      <c r="D305" s="37">
        <f>IFERROR(VLOOKUP(A305,Data!$I$3:$J$1442,2),0)</f>
        <v>9.6414979999999997E-2</v>
      </c>
      <c r="E305" s="37">
        <f t="shared" si="53"/>
        <v>9.6214979999999992E-2</v>
      </c>
      <c r="F305" s="37">
        <f t="shared" si="58"/>
        <v>8.877583232959195E-2</v>
      </c>
      <c r="G305" s="30">
        <f t="shared" si="59"/>
        <v>6425.6715193635528</v>
      </c>
      <c r="H305" s="38">
        <f t="shared" si="54"/>
        <v>120</v>
      </c>
      <c r="I305" s="39">
        <f t="shared" si="55"/>
        <v>120.79397672826831</v>
      </c>
      <c r="J305" s="40">
        <f t="shared" si="56"/>
        <v>25</v>
      </c>
      <c r="K305" s="43">
        <f>VLOOKUP(J305,Data!$Z$3:$AA$122,2)</f>
        <v>0</v>
      </c>
      <c r="L305" s="41">
        <f t="shared" si="57"/>
        <v>0.79397672826830501</v>
      </c>
      <c r="M305" s="43">
        <f>VLOOKUP(H305,Data!$P$3:$X$122,9)</f>
        <v>0</v>
      </c>
      <c r="N305" s="43">
        <f t="shared" si="60"/>
        <v>0</v>
      </c>
      <c r="O305" s="43">
        <f t="shared" si="61"/>
        <v>0</v>
      </c>
      <c r="P305" s="30">
        <f t="shared" si="62"/>
        <v>0</v>
      </c>
      <c r="Q305" s="31">
        <f t="shared" si="64"/>
        <v>848340.75061972369</v>
      </c>
    </row>
    <row r="306" spans="1:17" x14ac:dyDescent="0.25">
      <c r="A306" s="6">
        <f t="shared" si="63"/>
        <v>52504</v>
      </c>
      <c r="B306" s="30">
        <f>IFERROR(VLOOKUP(A306, Data!$L$3:$N$123, 3),1)*Pension</f>
        <v>72380.864822617514</v>
      </c>
      <c r="C306" s="37">
        <f t="shared" si="52"/>
        <v>25.251197809719372</v>
      </c>
      <c r="D306" s="37">
        <f>IFERROR(VLOOKUP(A306,Data!$I$3:$J$1442,2),0)</f>
        <v>9.6412583999999996E-2</v>
      </c>
      <c r="E306" s="37">
        <f t="shared" si="53"/>
        <v>9.621258399999999E-2</v>
      </c>
      <c r="F306" s="37">
        <f t="shared" si="58"/>
        <v>8.8082360240872057E-2</v>
      </c>
      <c r="G306" s="30">
        <f t="shared" si="59"/>
        <v>6375.47740985166</v>
      </c>
      <c r="H306" s="38">
        <f t="shared" si="54"/>
        <v>120</v>
      </c>
      <c r="I306" s="39">
        <f t="shared" si="55"/>
        <v>120.87611225188228</v>
      </c>
      <c r="J306" s="40">
        <f t="shared" si="56"/>
        <v>25</v>
      </c>
      <c r="K306" s="43">
        <f>VLOOKUP(J306,Data!$Z$3:$AA$122,2)</f>
        <v>0</v>
      </c>
      <c r="L306" s="41">
        <f t="shared" si="57"/>
        <v>0.87611225188227593</v>
      </c>
      <c r="M306" s="43">
        <f>VLOOKUP(H306,Data!$P$3:$X$122,9)</f>
        <v>0</v>
      </c>
      <c r="N306" s="43">
        <f t="shared" si="60"/>
        <v>0</v>
      </c>
      <c r="O306" s="43">
        <f t="shared" si="61"/>
        <v>0</v>
      </c>
      <c r="P306" s="30">
        <f t="shared" si="62"/>
        <v>0</v>
      </c>
      <c r="Q306" s="31">
        <f t="shared" si="64"/>
        <v>848340.75061972369</v>
      </c>
    </row>
    <row r="307" spans="1:17" x14ac:dyDescent="0.25">
      <c r="A307" s="6">
        <f t="shared" si="63"/>
        <v>52535</v>
      </c>
      <c r="B307" s="30">
        <f>IFERROR(VLOOKUP(A307, Data!$L$3:$N$123, 3),1)*Pension</f>
        <v>72380.864822617514</v>
      </c>
      <c r="C307" s="37">
        <f t="shared" si="52"/>
        <v>25.336071184120467</v>
      </c>
      <c r="D307" s="37">
        <f>IFERROR(VLOOKUP(A307,Data!$I$3:$J$1442,2),0)</f>
        <v>9.6413753000000005E-2</v>
      </c>
      <c r="E307" s="37">
        <f t="shared" si="53"/>
        <v>9.6213752999999999E-2</v>
      </c>
      <c r="F307" s="37">
        <f t="shared" si="58"/>
        <v>8.7363430876815168E-2</v>
      </c>
      <c r="G307" s="30">
        <f t="shared" si="59"/>
        <v>6323.4406807348478</v>
      </c>
      <c r="H307" s="38">
        <f t="shared" si="54"/>
        <v>120</v>
      </c>
      <c r="I307" s="39">
        <f t="shared" si="55"/>
        <v>120.96098562628337</v>
      </c>
      <c r="J307" s="40">
        <f t="shared" si="56"/>
        <v>25</v>
      </c>
      <c r="K307" s="43">
        <f>VLOOKUP(J307,Data!$Z$3:$AA$122,2)</f>
        <v>0</v>
      </c>
      <c r="L307" s="41">
        <f t="shared" si="57"/>
        <v>0.96098562628337447</v>
      </c>
      <c r="M307" s="43">
        <f>VLOOKUP(H307,Data!$P$3:$X$122,9)</f>
        <v>0</v>
      </c>
      <c r="N307" s="43">
        <f t="shared" si="60"/>
        <v>0</v>
      </c>
      <c r="O307" s="43">
        <f t="shared" si="61"/>
        <v>0</v>
      </c>
      <c r="P307" s="30">
        <f t="shared" si="62"/>
        <v>0</v>
      </c>
      <c r="Q307" s="31">
        <f t="shared" si="64"/>
        <v>848340.75061972369</v>
      </c>
    </row>
    <row r="308" spans="1:17" x14ac:dyDescent="0.25">
      <c r="A308" s="6">
        <f t="shared" si="63"/>
        <v>52565</v>
      </c>
      <c r="B308" s="30">
        <f>IFERROR(VLOOKUP(A308, Data!$L$3:$N$123, 3),1)*Pension</f>
        <v>72380.864822617514</v>
      </c>
      <c r="C308" s="37">
        <f t="shared" si="52"/>
        <v>25.418206707734427</v>
      </c>
      <c r="D308" s="37">
        <f>IFERROR(VLOOKUP(A308,Data!$I$3:$J$1442,2),0)</f>
        <v>9.6414877999999996E-2</v>
      </c>
      <c r="E308" s="37">
        <f t="shared" si="53"/>
        <v>9.621487799999999E-2</v>
      </c>
      <c r="F308" s="37">
        <f t="shared" si="58"/>
        <v>8.6673277788985981E-2</v>
      </c>
      <c r="G308" s="30">
        <f t="shared" si="59"/>
        <v>6273.4868033777711</v>
      </c>
      <c r="H308" s="38">
        <f t="shared" si="54"/>
        <v>121</v>
      </c>
      <c r="I308" s="39">
        <f t="shared" si="55"/>
        <v>121.04312114989733</v>
      </c>
      <c r="J308" s="40">
        <f t="shared" si="56"/>
        <v>26</v>
      </c>
      <c r="K308" s="43">
        <f>VLOOKUP(J308,Data!$Z$3:$AA$122,2)</f>
        <v>0</v>
      </c>
      <c r="L308" s="41">
        <f t="shared" si="57"/>
        <v>4.3121149897331179E-2</v>
      </c>
      <c r="M308" s="43">
        <f>VLOOKUP(H308,Data!$P$3:$X$122,9)</f>
        <v>0</v>
      </c>
      <c r="N308" s="43">
        <f t="shared" si="60"/>
        <v>0</v>
      </c>
      <c r="O308" s="43">
        <f t="shared" si="61"/>
        <v>0</v>
      </c>
      <c r="P308" s="30">
        <f t="shared" si="62"/>
        <v>0</v>
      </c>
      <c r="Q308" s="31">
        <f t="shared" si="64"/>
        <v>848340.75061972369</v>
      </c>
    </row>
    <row r="309" spans="1:17" x14ac:dyDescent="0.25">
      <c r="A309" s="6">
        <f t="shared" si="63"/>
        <v>52596</v>
      </c>
      <c r="B309" s="30">
        <f>IFERROR(VLOOKUP(A309, Data!$L$3:$N$123, 3),1)*Pension</f>
        <v>75999.9080637484</v>
      </c>
      <c r="C309" s="37">
        <f t="shared" si="52"/>
        <v>25.503080082135522</v>
      </c>
      <c r="D309" s="37">
        <f>IFERROR(VLOOKUP(A309,Data!$I$3:$J$1442,2),0)</f>
        <v>9.6416087999999997E-2</v>
      </c>
      <c r="E309" s="37">
        <f t="shared" si="53"/>
        <v>9.6216087999999991E-2</v>
      </c>
      <c r="F309" s="37">
        <f t="shared" si="58"/>
        <v>8.5965725965156767E-2</v>
      </c>
      <c r="G309" s="30">
        <f t="shared" si="59"/>
        <v>6533.3872699853027</v>
      </c>
      <c r="H309" s="38">
        <f t="shared" si="54"/>
        <v>121</v>
      </c>
      <c r="I309" s="39">
        <f t="shared" si="55"/>
        <v>121.12799452429843</v>
      </c>
      <c r="J309" s="40">
        <f t="shared" si="56"/>
        <v>26</v>
      </c>
      <c r="K309" s="43">
        <f>VLOOKUP(J309,Data!$Z$3:$AA$122,2)</f>
        <v>0</v>
      </c>
      <c r="L309" s="41">
        <f t="shared" si="57"/>
        <v>0.12799452429842972</v>
      </c>
      <c r="M309" s="43">
        <f>VLOOKUP(H309,Data!$P$3:$X$122,9)</f>
        <v>0</v>
      </c>
      <c r="N309" s="43">
        <f t="shared" si="60"/>
        <v>0</v>
      </c>
      <c r="O309" s="43">
        <f t="shared" si="61"/>
        <v>0</v>
      </c>
      <c r="P309" s="30">
        <f t="shared" si="62"/>
        <v>0</v>
      </c>
      <c r="Q309" s="31">
        <f t="shared" si="64"/>
        <v>848340.75061972369</v>
      </c>
    </row>
    <row r="310" spans="1:17" x14ac:dyDescent="0.25">
      <c r="A310" s="6">
        <f t="shared" si="63"/>
        <v>52627</v>
      </c>
      <c r="B310" s="30">
        <f>IFERROR(VLOOKUP(A310, Data!$L$3:$N$123, 3),1)*Pension</f>
        <v>75999.9080637484</v>
      </c>
      <c r="C310" s="37">
        <f t="shared" si="52"/>
        <v>25.587953456536617</v>
      </c>
      <c r="D310" s="37">
        <f>IFERROR(VLOOKUP(A310,Data!$I$3:$J$1442,2),0)</f>
        <v>9.6418103000000005E-2</v>
      </c>
      <c r="E310" s="37">
        <f t="shared" si="53"/>
        <v>9.6218102999999999E-2</v>
      </c>
      <c r="F310" s="37">
        <f t="shared" si="58"/>
        <v>8.5262176409053342E-2</v>
      </c>
      <c r="G310" s="30">
        <f t="shared" si="59"/>
        <v>6479.9175684031516</v>
      </c>
      <c r="H310" s="38">
        <f t="shared" si="54"/>
        <v>121</v>
      </c>
      <c r="I310" s="39">
        <f t="shared" si="55"/>
        <v>121.21286789869951</v>
      </c>
      <c r="J310" s="40">
        <f t="shared" si="56"/>
        <v>26</v>
      </c>
      <c r="K310" s="43">
        <f>VLOOKUP(J310,Data!$Z$3:$AA$122,2)</f>
        <v>0</v>
      </c>
      <c r="L310" s="41">
        <f t="shared" si="57"/>
        <v>0.21286789869951406</v>
      </c>
      <c r="M310" s="43">
        <f>VLOOKUP(H310,Data!$P$3:$X$122,9)</f>
        <v>0</v>
      </c>
      <c r="N310" s="43">
        <f t="shared" si="60"/>
        <v>0</v>
      </c>
      <c r="O310" s="43">
        <f t="shared" si="61"/>
        <v>0</v>
      </c>
      <c r="P310" s="30">
        <f t="shared" si="62"/>
        <v>0</v>
      </c>
      <c r="Q310" s="31">
        <f t="shared" si="64"/>
        <v>848340.75061972369</v>
      </c>
    </row>
    <row r="311" spans="1:17" x14ac:dyDescent="0.25">
      <c r="A311" s="6">
        <f t="shared" si="63"/>
        <v>52656</v>
      </c>
      <c r="B311" s="30">
        <f>IFERROR(VLOOKUP(A311, Data!$L$3:$N$123, 3),1)*Pension</f>
        <v>75999.9080637484</v>
      </c>
      <c r="C311" s="37">
        <f t="shared" si="52"/>
        <v>25.66735112936345</v>
      </c>
      <c r="D311" s="37">
        <f>IFERROR(VLOOKUP(A311,Data!$I$3:$J$1442,2),0)</f>
        <v>9.6419976000000004E-2</v>
      </c>
      <c r="E311" s="37">
        <f t="shared" si="53"/>
        <v>9.6219975999999999E-2</v>
      </c>
      <c r="F311" s="37">
        <f t="shared" si="58"/>
        <v>8.4609230593562665E-2</v>
      </c>
      <c r="G311" s="30">
        <f t="shared" si="59"/>
        <v>6430.2937464552506</v>
      </c>
      <c r="H311" s="38">
        <f t="shared" si="54"/>
        <v>121</v>
      </c>
      <c r="I311" s="39">
        <f t="shared" si="55"/>
        <v>121.29226557152636</v>
      </c>
      <c r="J311" s="40">
        <f t="shared" si="56"/>
        <v>26</v>
      </c>
      <c r="K311" s="43">
        <f>VLOOKUP(J311,Data!$Z$3:$AA$122,2)</f>
        <v>0</v>
      </c>
      <c r="L311" s="41">
        <f t="shared" si="57"/>
        <v>0.29226557152635735</v>
      </c>
      <c r="M311" s="43">
        <f>VLOOKUP(H311,Data!$P$3:$X$122,9)</f>
        <v>0</v>
      </c>
      <c r="N311" s="43">
        <f t="shared" si="60"/>
        <v>0</v>
      </c>
      <c r="O311" s="43">
        <f t="shared" si="61"/>
        <v>0</v>
      </c>
      <c r="P311" s="30">
        <f t="shared" si="62"/>
        <v>0</v>
      </c>
      <c r="Q311" s="31">
        <f t="shared" si="64"/>
        <v>848340.75061972369</v>
      </c>
    </row>
    <row r="312" spans="1:17" x14ac:dyDescent="0.25">
      <c r="A312" s="6">
        <f t="shared" si="63"/>
        <v>52687</v>
      </c>
      <c r="B312" s="30">
        <f>IFERROR(VLOOKUP(A312, Data!$L$3:$N$123, 3),1)*Pension</f>
        <v>75999.9080637484</v>
      </c>
      <c r="C312" s="37">
        <f t="shared" si="52"/>
        <v>25.752224503764545</v>
      </c>
      <c r="D312" s="37">
        <f>IFERROR(VLOOKUP(A312,Data!$I$3:$J$1442,2),0)</f>
        <v>9.6422051999999994E-2</v>
      </c>
      <c r="E312" s="37">
        <f t="shared" si="53"/>
        <v>9.6222051999999988E-2</v>
      </c>
      <c r="F312" s="37">
        <f t="shared" si="58"/>
        <v>8.3916595399181254E-2</v>
      </c>
      <c r="G312" s="30">
        <f t="shared" si="59"/>
        <v>6377.6535353605477</v>
      </c>
      <c r="H312" s="38">
        <f t="shared" si="54"/>
        <v>121</v>
      </c>
      <c r="I312" s="39">
        <f t="shared" si="55"/>
        <v>121.37713894592744</v>
      </c>
      <c r="J312" s="40">
        <f t="shared" si="56"/>
        <v>26</v>
      </c>
      <c r="K312" s="43">
        <f>VLOOKUP(J312,Data!$Z$3:$AA$122,2)</f>
        <v>0</v>
      </c>
      <c r="L312" s="41">
        <f t="shared" si="57"/>
        <v>0.37713894592744168</v>
      </c>
      <c r="M312" s="43">
        <f>VLOOKUP(H312,Data!$P$3:$X$122,9)</f>
        <v>0</v>
      </c>
      <c r="N312" s="43">
        <f t="shared" si="60"/>
        <v>0</v>
      </c>
      <c r="O312" s="43">
        <f t="shared" si="61"/>
        <v>0</v>
      </c>
      <c r="P312" s="30">
        <f t="shared" si="62"/>
        <v>0</v>
      </c>
      <c r="Q312" s="31">
        <f t="shared" si="64"/>
        <v>848340.75061972369</v>
      </c>
    </row>
    <row r="313" spans="1:17" x14ac:dyDescent="0.25">
      <c r="A313" s="6">
        <f t="shared" si="63"/>
        <v>52717</v>
      </c>
      <c r="B313" s="30">
        <f>IFERROR(VLOOKUP(A313, Data!$L$3:$N$123, 3),1)*Pension</f>
        <v>75999.9080637484</v>
      </c>
      <c r="C313" s="37">
        <f t="shared" si="52"/>
        <v>25.834360027378509</v>
      </c>
      <c r="D313" s="37">
        <f>IFERROR(VLOOKUP(A313,Data!$I$3:$J$1442,2),0)</f>
        <v>9.6425264999999996E-2</v>
      </c>
      <c r="E313" s="37">
        <f t="shared" si="53"/>
        <v>9.622526499999999E-2</v>
      </c>
      <c r="F313" s="37">
        <f t="shared" si="58"/>
        <v>8.3249085119301958E-2</v>
      </c>
      <c r="G313" s="30">
        <f t="shared" si="59"/>
        <v>6326.9228154581142</v>
      </c>
      <c r="H313" s="38">
        <f t="shared" si="54"/>
        <v>121</v>
      </c>
      <c r="I313" s="39">
        <f t="shared" si="55"/>
        <v>121.45927446954141</v>
      </c>
      <c r="J313" s="40">
        <f t="shared" si="56"/>
        <v>26</v>
      </c>
      <c r="K313" s="43">
        <f>VLOOKUP(J313,Data!$Z$3:$AA$122,2)</f>
        <v>0</v>
      </c>
      <c r="L313" s="41">
        <f t="shared" si="57"/>
        <v>0.4592744695414126</v>
      </c>
      <c r="M313" s="43">
        <f>VLOOKUP(H313,Data!$P$3:$X$122,9)</f>
        <v>0</v>
      </c>
      <c r="N313" s="43">
        <f t="shared" si="60"/>
        <v>0</v>
      </c>
      <c r="O313" s="43">
        <f t="shared" si="61"/>
        <v>0</v>
      </c>
      <c r="P313" s="30">
        <f t="shared" si="62"/>
        <v>0</v>
      </c>
      <c r="Q313" s="31">
        <f t="shared" si="64"/>
        <v>848340.75061972369</v>
      </c>
    </row>
    <row r="314" spans="1:17" x14ac:dyDescent="0.25">
      <c r="A314" s="6">
        <f t="shared" si="63"/>
        <v>52748</v>
      </c>
      <c r="B314" s="30">
        <f>IFERROR(VLOOKUP(A314, Data!$L$3:$N$123, 3),1)*Pension</f>
        <v>75999.9080637484</v>
      </c>
      <c r="C314" s="37">
        <f t="shared" si="52"/>
        <v>25.919233401779604</v>
      </c>
      <c r="D314" s="37">
        <f>IFERROR(VLOOKUP(A314,Data!$I$3:$J$1442,2),0)</f>
        <v>9.6428563999999994E-2</v>
      </c>
      <c r="E314" s="37">
        <f t="shared" si="53"/>
        <v>9.6228563999999989E-2</v>
      </c>
      <c r="F314" s="37">
        <f t="shared" si="58"/>
        <v>8.2564901486233633E-2</v>
      </c>
      <c r="G314" s="30">
        <f t="shared" si="59"/>
        <v>6274.9249222461995</v>
      </c>
      <c r="H314" s="38">
        <f t="shared" si="54"/>
        <v>121</v>
      </c>
      <c r="I314" s="39">
        <f t="shared" si="55"/>
        <v>121.54414784394251</v>
      </c>
      <c r="J314" s="40">
        <f t="shared" si="56"/>
        <v>26</v>
      </c>
      <c r="K314" s="43">
        <f>VLOOKUP(J314,Data!$Z$3:$AA$122,2)</f>
        <v>0</v>
      </c>
      <c r="L314" s="41">
        <f t="shared" si="57"/>
        <v>0.54414784394251114</v>
      </c>
      <c r="M314" s="43">
        <f>VLOOKUP(H314,Data!$P$3:$X$122,9)</f>
        <v>0</v>
      </c>
      <c r="N314" s="43">
        <f t="shared" si="60"/>
        <v>0</v>
      </c>
      <c r="O314" s="43">
        <f t="shared" si="61"/>
        <v>0</v>
      </c>
      <c r="P314" s="30">
        <f t="shared" si="62"/>
        <v>0</v>
      </c>
      <c r="Q314" s="31">
        <f t="shared" si="64"/>
        <v>848340.75061972369</v>
      </c>
    </row>
    <row r="315" spans="1:17" x14ac:dyDescent="0.25">
      <c r="A315" s="6">
        <f t="shared" si="63"/>
        <v>52778</v>
      </c>
      <c r="B315" s="30">
        <f>IFERROR(VLOOKUP(A315, Data!$L$3:$N$123, 3),1)*Pension</f>
        <v>75999.9080637484</v>
      </c>
      <c r="C315" s="37">
        <f t="shared" si="52"/>
        <v>26.001368925393567</v>
      </c>
      <c r="D315" s="37">
        <f>IFERROR(VLOOKUP(A315,Data!$I$3:$J$1442,2),0)</f>
        <v>9.6431685000000003E-2</v>
      </c>
      <c r="E315" s="37">
        <f t="shared" si="53"/>
        <v>9.6231684999999997E-2</v>
      </c>
      <c r="F315" s="37">
        <f t="shared" si="58"/>
        <v>8.1908251359538248E-2</v>
      </c>
      <c r="G315" s="30">
        <f t="shared" si="59"/>
        <v>6225.0195729873021</v>
      </c>
      <c r="H315" s="38">
        <f t="shared" si="54"/>
        <v>121</v>
      </c>
      <c r="I315" s="39">
        <f t="shared" si="55"/>
        <v>121.62628336755647</v>
      </c>
      <c r="J315" s="40">
        <f t="shared" si="56"/>
        <v>26</v>
      </c>
      <c r="K315" s="43">
        <f>VLOOKUP(J315,Data!$Z$3:$AA$122,2)</f>
        <v>0</v>
      </c>
      <c r="L315" s="41">
        <f t="shared" si="57"/>
        <v>0.62628336755646785</v>
      </c>
      <c r="M315" s="43">
        <f>VLOOKUP(H315,Data!$P$3:$X$122,9)</f>
        <v>0</v>
      </c>
      <c r="N315" s="43">
        <f t="shared" si="60"/>
        <v>0</v>
      </c>
      <c r="O315" s="43">
        <f t="shared" si="61"/>
        <v>0</v>
      </c>
      <c r="P315" s="30">
        <f t="shared" si="62"/>
        <v>0</v>
      </c>
      <c r="Q315" s="31">
        <f t="shared" si="64"/>
        <v>848340.75061972369</v>
      </c>
    </row>
    <row r="316" spans="1:17" x14ac:dyDescent="0.25">
      <c r="A316" s="6">
        <f t="shared" si="63"/>
        <v>52809</v>
      </c>
      <c r="B316" s="30">
        <f>IFERROR(VLOOKUP(A316, Data!$L$3:$N$123, 3),1)*Pension</f>
        <v>75999.9080637484</v>
      </c>
      <c r="C316" s="37">
        <f t="shared" si="52"/>
        <v>26.086242299794662</v>
      </c>
      <c r="D316" s="37">
        <f>IFERROR(VLOOKUP(A316,Data!$I$3:$J$1442,2),0)</f>
        <v>9.6433401000000002E-2</v>
      </c>
      <c r="E316" s="37">
        <f t="shared" si="53"/>
        <v>9.6233400999999996E-2</v>
      </c>
      <c r="F316" s="37">
        <f t="shared" si="58"/>
        <v>8.1238352993546301E-2</v>
      </c>
      <c r="G316" s="30">
        <f t="shared" si="59"/>
        <v>6174.1073587598585</v>
      </c>
      <c r="H316" s="38">
        <f t="shared" si="54"/>
        <v>121</v>
      </c>
      <c r="I316" s="39">
        <f t="shared" si="55"/>
        <v>121.71115674195757</v>
      </c>
      <c r="J316" s="40">
        <f t="shared" si="56"/>
        <v>26</v>
      </c>
      <c r="K316" s="43">
        <f>VLOOKUP(J316,Data!$Z$3:$AA$122,2)</f>
        <v>0</v>
      </c>
      <c r="L316" s="41">
        <f t="shared" si="57"/>
        <v>0.7111567419575664</v>
      </c>
      <c r="M316" s="43">
        <f>VLOOKUP(H316,Data!$P$3:$X$122,9)</f>
        <v>0</v>
      </c>
      <c r="N316" s="43">
        <f t="shared" si="60"/>
        <v>0</v>
      </c>
      <c r="O316" s="43">
        <f t="shared" si="61"/>
        <v>0</v>
      </c>
      <c r="P316" s="30">
        <f t="shared" si="62"/>
        <v>0</v>
      </c>
      <c r="Q316" s="31">
        <f t="shared" si="64"/>
        <v>848340.75061972369</v>
      </c>
    </row>
    <row r="317" spans="1:17" x14ac:dyDescent="0.25">
      <c r="A317" s="6">
        <f t="shared" si="63"/>
        <v>52840</v>
      </c>
      <c r="B317" s="30">
        <f>IFERROR(VLOOKUP(A317, Data!$L$3:$N$123, 3),1)*Pension</f>
        <v>75999.9080637484</v>
      </c>
      <c r="C317" s="37">
        <f t="shared" si="52"/>
        <v>26.171115674195757</v>
      </c>
      <c r="D317" s="37">
        <f>IFERROR(VLOOKUP(A317,Data!$I$3:$J$1442,2),0)</f>
        <v>9.6435106000000007E-2</v>
      </c>
      <c r="E317" s="37">
        <f t="shared" si="53"/>
        <v>9.6235106000000001E-2</v>
      </c>
      <c r="F317" s="37">
        <f t="shared" si="58"/>
        <v>8.0573933213089421E-2</v>
      </c>
      <c r="G317" s="30">
        <f t="shared" si="59"/>
        <v>6123.6115165293995</v>
      </c>
      <c r="H317" s="38">
        <f t="shared" si="54"/>
        <v>121</v>
      </c>
      <c r="I317" s="39">
        <f t="shared" si="55"/>
        <v>121.79603011635866</v>
      </c>
      <c r="J317" s="40">
        <f t="shared" si="56"/>
        <v>26</v>
      </c>
      <c r="K317" s="43">
        <f>VLOOKUP(J317,Data!$Z$3:$AA$122,2)</f>
        <v>0</v>
      </c>
      <c r="L317" s="41">
        <f t="shared" si="57"/>
        <v>0.79603011635866494</v>
      </c>
      <c r="M317" s="43">
        <f>VLOOKUP(H317,Data!$P$3:$X$122,9)</f>
        <v>0</v>
      </c>
      <c r="N317" s="43">
        <f t="shared" si="60"/>
        <v>0</v>
      </c>
      <c r="O317" s="43">
        <f t="shared" si="61"/>
        <v>0</v>
      </c>
      <c r="P317" s="30">
        <f t="shared" si="62"/>
        <v>0</v>
      </c>
      <c r="Q317" s="31">
        <f t="shared" si="64"/>
        <v>848340.75061972369</v>
      </c>
    </row>
    <row r="318" spans="1:17" x14ac:dyDescent="0.25">
      <c r="A318" s="6">
        <f t="shared" si="63"/>
        <v>52870</v>
      </c>
      <c r="B318" s="30">
        <f>IFERROR(VLOOKUP(A318, Data!$L$3:$N$123, 3),1)*Pension</f>
        <v>75999.9080637484</v>
      </c>
      <c r="C318" s="37">
        <f t="shared" si="52"/>
        <v>26.253251197809718</v>
      </c>
      <c r="D318" s="37">
        <f>IFERROR(VLOOKUP(A318,Data!$I$3:$J$1442,2),0)</f>
        <v>9.6436778000000001E-2</v>
      </c>
      <c r="E318" s="37">
        <f t="shared" si="53"/>
        <v>9.6236777999999995E-2</v>
      </c>
      <c r="F318" s="37">
        <f t="shared" si="58"/>
        <v>7.9936052532132054E-2</v>
      </c>
      <c r="G318" s="30">
        <f t="shared" si="59"/>
        <v>6075.1326434209986</v>
      </c>
      <c r="H318" s="38">
        <f t="shared" si="54"/>
        <v>121</v>
      </c>
      <c r="I318" s="39">
        <f t="shared" si="55"/>
        <v>121.87816563997262</v>
      </c>
      <c r="J318" s="40">
        <f t="shared" si="56"/>
        <v>26</v>
      </c>
      <c r="K318" s="43">
        <f>VLOOKUP(J318,Data!$Z$3:$AA$122,2)</f>
        <v>0</v>
      </c>
      <c r="L318" s="41">
        <f t="shared" si="57"/>
        <v>0.87816563997262165</v>
      </c>
      <c r="M318" s="43">
        <f>VLOOKUP(H318,Data!$P$3:$X$122,9)</f>
        <v>0</v>
      </c>
      <c r="N318" s="43">
        <f t="shared" si="60"/>
        <v>0</v>
      </c>
      <c r="O318" s="43">
        <f t="shared" si="61"/>
        <v>0</v>
      </c>
      <c r="P318" s="30">
        <f t="shared" si="62"/>
        <v>0</v>
      </c>
      <c r="Q318" s="31">
        <f t="shared" si="64"/>
        <v>848340.75061972369</v>
      </c>
    </row>
    <row r="319" spans="1:17" x14ac:dyDescent="0.25">
      <c r="A319" s="6">
        <f t="shared" si="63"/>
        <v>52901</v>
      </c>
      <c r="B319" s="30">
        <f>IFERROR(VLOOKUP(A319, Data!$L$3:$N$123, 3),1)*Pension</f>
        <v>75999.9080637484</v>
      </c>
      <c r="C319" s="37">
        <f t="shared" si="52"/>
        <v>26.338124572210816</v>
      </c>
      <c r="D319" s="37">
        <f>IFERROR(VLOOKUP(A319,Data!$I$3:$J$1442,2),0)</f>
        <v>9.6439489000000003E-2</v>
      </c>
      <c r="E319" s="37">
        <f t="shared" si="53"/>
        <v>9.6239488999999998E-2</v>
      </c>
      <c r="F319" s="37">
        <f t="shared" si="58"/>
        <v>7.9280137861102246E-2</v>
      </c>
      <c r="G319" s="30">
        <f t="shared" si="59"/>
        <v>6025.2831887250695</v>
      </c>
      <c r="H319" s="38">
        <f t="shared" si="54"/>
        <v>121</v>
      </c>
      <c r="I319" s="39">
        <f t="shared" si="55"/>
        <v>121.96303901437372</v>
      </c>
      <c r="J319" s="40">
        <f t="shared" si="56"/>
        <v>26</v>
      </c>
      <c r="K319" s="43">
        <f>VLOOKUP(J319,Data!$Z$3:$AA$122,2)</f>
        <v>0</v>
      </c>
      <c r="L319" s="41">
        <f t="shared" si="57"/>
        <v>0.96303901437372019</v>
      </c>
      <c r="M319" s="43">
        <f>VLOOKUP(H319,Data!$P$3:$X$122,9)</f>
        <v>0</v>
      </c>
      <c r="N319" s="43">
        <f t="shared" si="60"/>
        <v>0</v>
      </c>
      <c r="O319" s="43">
        <f t="shared" si="61"/>
        <v>0</v>
      </c>
      <c r="P319" s="30">
        <f t="shared" si="62"/>
        <v>0</v>
      </c>
      <c r="Q319" s="31">
        <f t="shared" si="64"/>
        <v>848340.75061972369</v>
      </c>
    </row>
    <row r="320" spans="1:17" x14ac:dyDescent="0.25">
      <c r="A320" s="6">
        <f t="shared" si="63"/>
        <v>52931</v>
      </c>
      <c r="B320" s="30">
        <f>IFERROR(VLOOKUP(A320, Data!$L$3:$N$123, 3),1)*Pension</f>
        <v>75999.9080637484</v>
      </c>
      <c r="C320" s="37">
        <f t="shared" si="52"/>
        <v>26.420260095824776</v>
      </c>
      <c r="D320" s="37">
        <f>IFERROR(VLOOKUP(A320,Data!$I$3:$J$1442,2),0)</f>
        <v>9.6442095000000005E-2</v>
      </c>
      <c r="E320" s="37">
        <f t="shared" si="53"/>
        <v>9.6242095E-2</v>
      </c>
      <c r="F320" s="37">
        <f t="shared" si="58"/>
        <v>7.865050866350215E-2</v>
      </c>
      <c r="G320" s="30">
        <f t="shared" si="59"/>
        <v>5977.4314275932102</v>
      </c>
      <c r="H320" s="38">
        <f t="shared" si="54"/>
        <v>122</v>
      </c>
      <c r="I320" s="39">
        <f t="shared" si="55"/>
        <v>122.04517453798768</v>
      </c>
      <c r="J320" s="40">
        <f t="shared" si="56"/>
        <v>27</v>
      </c>
      <c r="K320" s="43">
        <f>VLOOKUP(J320,Data!$Z$3:$AA$122,2)</f>
        <v>0</v>
      </c>
      <c r="L320" s="41">
        <f t="shared" si="57"/>
        <v>4.5174537987676899E-2</v>
      </c>
      <c r="M320" s="43">
        <f>VLOOKUP(H320,Data!$P$3:$X$122,9)</f>
        <v>0</v>
      </c>
      <c r="N320" s="43">
        <f t="shared" si="60"/>
        <v>0</v>
      </c>
      <c r="O320" s="43">
        <f t="shared" si="61"/>
        <v>0</v>
      </c>
      <c r="P320" s="30">
        <f t="shared" si="62"/>
        <v>0</v>
      </c>
      <c r="Q320" s="31">
        <f t="shared" si="64"/>
        <v>848340.75061972369</v>
      </c>
    </row>
    <row r="321" spans="1:17" x14ac:dyDescent="0.25">
      <c r="A321" s="6">
        <f t="shared" si="63"/>
        <v>52962</v>
      </c>
      <c r="B321" s="30">
        <f>IFERROR(VLOOKUP(A321, Data!$L$3:$N$123, 3),1)*Pension</f>
        <v>79799.903466935823</v>
      </c>
      <c r="C321" s="37">
        <f t="shared" si="52"/>
        <v>26.505133470225871</v>
      </c>
      <c r="D321" s="37">
        <f>IFERROR(VLOOKUP(A321,Data!$I$3:$J$1442,2),0)</f>
        <v>9.6444680000000005E-2</v>
      </c>
      <c r="E321" s="37">
        <f t="shared" si="53"/>
        <v>9.6244679999999999E-2</v>
      </c>
      <c r="F321" s="37">
        <f t="shared" si="58"/>
        <v>7.8005332503553751E-2</v>
      </c>
      <c r="G321" s="30">
        <f t="shared" si="59"/>
        <v>6224.8180036898202</v>
      </c>
      <c r="H321" s="38">
        <f t="shared" si="54"/>
        <v>122</v>
      </c>
      <c r="I321" s="39">
        <f t="shared" si="55"/>
        <v>122.13004791238878</v>
      </c>
      <c r="J321" s="40">
        <f t="shared" si="56"/>
        <v>27</v>
      </c>
      <c r="K321" s="43">
        <f>VLOOKUP(J321,Data!$Z$3:$AA$122,2)</f>
        <v>0</v>
      </c>
      <c r="L321" s="41">
        <f t="shared" si="57"/>
        <v>0.13004791238877544</v>
      </c>
      <c r="M321" s="43">
        <f>VLOOKUP(H321,Data!$P$3:$X$122,9)</f>
        <v>0</v>
      </c>
      <c r="N321" s="43">
        <f t="shared" si="60"/>
        <v>0</v>
      </c>
      <c r="O321" s="43">
        <f t="shared" si="61"/>
        <v>0</v>
      </c>
      <c r="P321" s="30">
        <f t="shared" si="62"/>
        <v>0</v>
      </c>
      <c r="Q321" s="31">
        <f t="shared" si="64"/>
        <v>848340.75061972369</v>
      </c>
    </row>
    <row r="322" spans="1:17" x14ac:dyDescent="0.25">
      <c r="A322" s="6">
        <f t="shared" si="63"/>
        <v>52993</v>
      </c>
      <c r="B322" s="30">
        <f>IFERROR(VLOOKUP(A322, Data!$L$3:$N$123, 3),1)*Pension</f>
        <v>79799.903466935823</v>
      </c>
      <c r="C322" s="37">
        <f t="shared" si="52"/>
        <v>26.590006844626966</v>
      </c>
      <c r="D322" s="37">
        <f>IFERROR(VLOOKUP(A322,Data!$I$3:$J$1442,2),0)</f>
        <v>9.6445926000000001E-2</v>
      </c>
      <c r="E322" s="37">
        <f t="shared" si="53"/>
        <v>9.6245925999999996E-2</v>
      </c>
      <c r="F322" s="37">
        <f t="shared" si="58"/>
        <v>7.7368169394327835E-2</v>
      </c>
      <c r="G322" s="30">
        <f t="shared" si="59"/>
        <v>6173.9724490808994</v>
      </c>
      <c r="H322" s="38">
        <f t="shared" si="54"/>
        <v>122</v>
      </c>
      <c r="I322" s="39">
        <f t="shared" si="55"/>
        <v>122.21492128678987</v>
      </c>
      <c r="J322" s="40">
        <f t="shared" si="56"/>
        <v>27</v>
      </c>
      <c r="K322" s="43">
        <f>VLOOKUP(J322,Data!$Z$3:$AA$122,2)</f>
        <v>0</v>
      </c>
      <c r="L322" s="41">
        <f t="shared" si="57"/>
        <v>0.21492128678987399</v>
      </c>
      <c r="M322" s="43">
        <f>VLOOKUP(H322,Data!$P$3:$X$122,9)</f>
        <v>0</v>
      </c>
      <c r="N322" s="43">
        <f t="shared" si="60"/>
        <v>0</v>
      </c>
      <c r="O322" s="43">
        <f t="shared" si="61"/>
        <v>0</v>
      </c>
      <c r="P322" s="30">
        <f t="shared" si="62"/>
        <v>0</v>
      </c>
      <c r="Q322" s="31">
        <f t="shared" si="64"/>
        <v>848340.75061972369</v>
      </c>
    </row>
    <row r="323" spans="1:17" x14ac:dyDescent="0.25">
      <c r="A323" s="6">
        <f t="shared" si="63"/>
        <v>53021</v>
      </c>
      <c r="B323" s="30">
        <f>IFERROR(VLOOKUP(A323, Data!$L$3:$N$123, 3),1)*Pension</f>
        <v>79799.903466935823</v>
      </c>
      <c r="C323" s="37">
        <f t="shared" ref="C323:C386" si="65">(A323-EffDate)/365.25</f>
        <v>26.666666666666668</v>
      </c>
      <c r="D323" s="37">
        <f>IFERROR(VLOOKUP(A323,Data!$I$3:$J$1442,2),0)</f>
        <v>9.6447044999999995E-2</v>
      </c>
      <c r="E323" s="37">
        <f t="shared" ref="E323:E386" si="66">D323-Fees</f>
        <v>9.6247044999999989E-2</v>
      </c>
      <c r="F323" s="37">
        <f t="shared" si="58"/>
        <v>7.6797140955247978E-2</v>
      </c>
      <c r="G323" s="30">
        <f t="shared" si="59"/>
        <v>6128.4044347654517</v>
      </c>
      <c r="H323" s="38">
        <f t="shared" ref="H323:H386" si="67">IF(OR(A323 = DATE(YEAR(A323), MONTH(Date_of_Birth), DAY(Date_of_Birth)),AND(A323 = DATE(YEAR(A323), MONTH(Date_of_Birth), DAY(Date_of_Birth)-1), AND(MONTH(Date_of_Birth)=2, DAY(Date_of_Birth) = 29))), ROUND((A323-Date_of_Birth)/365.25,0),ROUNDDOWN((A323-Date_of_Birth)/365.25,0))</f>
        <v>122</v>
      </c>
      <c r="I323" s="39">
        <f t="shared" ref="I323:I386" si="68">IF(OR(A323 = DATE(YEAR(A323), MONTH(Date_of_Birth), DAY(Date_of_Birth)),AND(A323 = DATE(YEAR(A323), MONTH(Date_of_Birth), DAY(Date_of_Birth)-1), AND(MONTH(Date_of_Birth)=2, DAY(Date_of_Birth) = 29))), ROUND((A323-Date_of_Birth)/365.25,0),(A323-Date_of_Birth)/365.25)</f>
        <v>122.29158110882958</v>
      </c>
      <c r="J323" s="40">
        <f t="shared" ref="J323:J386" si="69">H323-StartAge</f>
        <v>27</v>
      </c>
      <c r="K323" s="43">
        <f>VLOOKUP(J323,Data!$Z$3:$AA$122,2)</f>
        <v>0</v>
      </c>
      <c r="L323" s="41">
        <f t="shared" ref="L323:L386" si="70">IF(A323&lt;=NextBirth,(A323-EffDate)/365.25,(I323-H323))</f>
        <v>0.29158110882957544</v>
      </c>
      <c r="M323" s="43">
        <f>VLOOKUP(H323,Data!$P$3:$X$122,9)</f>
        <v>0</v>
      </c>
      <c r="N323" s="43">
        <f t="shared" si="60"/>
        <v>0</v>
      </c>
      <c r="O323" s="43">
        <f t="shared" si="61"/>
        <v>0</v>
      </c>
      <c r="P323" s="30">
        <f t="shared" si="62"/>
        <v>0</v>
      </c>
      <c r="Q323" s="31">
        <f t="shared" si="64"/>
        <v>848340.75061972369</v>
      </c>
    </row>
    <row r="324" spans="1:17" x14ac:dyDescent="0.25">
      <c r="A324" s="6">
        <f t="shared" si="63"/>
        <v>53052</v>
      </c>
      <c r="B324" s="30">
        <f>IFERROR(VLOOKUP(A324, Data!$L$3:$N$123, 3),1)*Pension</f>
        <v>79799.903466935823</v>
      </c>
      <c r="C324" s="37">
        <f t="shared" si="65"/>
        <v>26.751540041067763</v>
      </c>
      <c r="D324" s="37">
        <f>IFERROR(VLOOKUP(A324,Data!$I$3:$J$1442,2),0)</f>
        <v>9.6448343000000006E-2</v>
      </c>
      <c r="E324" s="37">
        <f t="shared" si="66"/>
        <v>9.6248343E-2</v>
      </c>
      <c r="F324" s="37">
        <f t="shared" ref="F324:F387" si="71">EXP(-E324*C324)</f>
        <v>7.6169710017288145E-2</v>
      </c>
      <c r="G324" s="30">
        <f t="shared" ref="G324:G387" si="72">B324*F324</f>
        <v>6078.3355064840889</v>
      </c>
      <c r="H324" s="38">
        <f t="shared" si="67"/>
        <v>122</v>
      </c>
      <c r="I324" s="39">
        <f t="shared" si="68"/>
        <v>122.37645448323066</v>
      </c>
      <c r="J324" s="40">
        <f t="shared" si="69"/>
        <v>27</v>
      </c>
      <c r="K324" s="43">
        <f>VLOOKUP(J324,Data!$Z$3:$AA$122,2)</f>
        <v>0</v>
      </c>
      <c r="L324" s="41">
        <f t="shared" si="70"/>
        <v>0.37645448323065978</v>
      </c>
      <c r="M324" s="43">
        <f>VLOOKUP(H324,Data!$P$3:$X$122,9)</f>
        <v>0</v>
      </c>
      <c r="N324" s="43">
        <f t="shared" ref="N324:N387" si="73">IF(M324=0, 0, EXP(-L324*M324))</f>
        <v>0</v>
      </c>
      <c r="O324" s="43">
        <f t="shared" ref="O324:O387" si="74">K324*N324</f>
        <v>0</v>
      </c>
      <c r="P324" s="30">
        <f t="shared" ref="P324:P387" si="75">G324*O324</f>
        <v>0</v>
      </c>
      <c r="Q324" s="31">
        <f t="shared" si="64"/>
        <v>848340.75061972369</v>
      </c>
    </row>
    <row r="325" spans="1:17" x14ac:dyDescent="0.25">
      <c r="A325" s="6">
        <f t="shared" ref="A325:A388" si="76">EOMONTH(A324,1)</f>
        <v>53082</v>
      </c>
      <c r="B325" s="30">
        <f>IFERROR(VLOOKUP(A325, Data!$L$3:$N$123, 3),1)*Pension</f>
        <v>79799.903466935823</v>
      </c>
      <c r="C325" s="37">
        <f t="shared" si="65"/>
        <v>26.833675564681723</v>
      </c>
      <c r="D325" s="37">
        <f>IFERROR(VLOOKUP(A325,Data!$I$3:$J$1442,2),0)</f>
        <v>9.6450517999999999E-2</v>
      </c>
      <c r="E325" s="37">
        <f t="shared" si="66"/>
        <v>9.6250517999999993E-2</v>
      </c>
      <c r="F325" s="37">
        <f t="shared" si="71"/>
        <v>7.5565520872511047E-2</v>
      </c>
      <c r="G325" s="30">
        <f t="shared" si="72"/>
        <v>6030.1212710551054</v>
      </c>
      <c r="H325" s="38">
        <f t="shared" si="67"/>
        <v>122</v>
      </c>
      <c r="I325" s="39">
        <f t="shared" si="68"/>
        <v>122.45859000684463</v>
      </c>
      <c r="J325" s="40">
        <f t="shared" si="69"/>
        <v>27</v>
      </c>
      <c r="K325" s="43">
        <f>VLOOKUP(J325,Data!$Z$3:$AA$122,2)</f>
        <v>0</v>
      </c>
      <c r="L325" s="41">
        <f t="shared" si="70"/>
        <v>0.45859000684463069</v>
      </c>
      <c r="M325" s="43">
        <f>VLOOKUP(H325,Data!$P$3:$X$122,9)</f>
        <v>0</v>
      </c>
      <c r="N325" s="43">
        <f t="shared" si="73"/>
        <v>0</v>
      </c>
      <c r="O325" s="43">
        <f t="shared" si="74"/>
        <v>0</v>
      </c>
      <c r="P325" s="30">
        <f t="shared" si="75"/>
        <v>0</v>
      </c>
      <c r="Q325" s="31">
        <f t="shared" ref="Q325:Q388" si="77">Q324+P325</f>
        <v>848340.75061972369</v>
      </c>
    </row>
    <row r="326" spans="1:17" x14ac:dyDescent="0.25">
      <c r="A326" s="6">
        <f t="shared" si="76"/>
        <v>53113</v>
      </c>
      <c r="B326" s="30">
        <f>IFERROR(VLOOKUP(A326, Data!$L$3:$N$123, 3),1)*Pension</f>
        <v>79799.903466935823</v>
      </c>
      <c r="C326" s="37">
        <f t="shared" si="65"/>
        <v>26.918548939082822</v>
      </c>
      <c r="D326" s="37">
        <f>IFERROR(VLOOKUP(A326,Data!$I$3:$J$1442,2),0)</f>
        <v>9.6452752000000003E-2</v>
      </c>
      <c r="E326" s="37">
        <f t="shared" si="66"/>
        <v>9.6252751999999997E-2</v>
      </c>
      <c r="F326" s="37">
        <f t="shared" si="71"/>
        <v>7.4946225553092494E-2</v>
      </c>
      <c r="G326" s="30">
        <f t="shared" si="72"/>
        <v>5980.7015643479799</v>
      </c>
      <c r="H326" s="38">
        <f t="shared" si="67"/>
        <v>122</v>
      </c>
      <c r="I326" s="39">
        <f t="shared" si="68"/>
        <v>122.54346338124572</v>
      </c>
      <c r="J326" s="40">
        <f t="shared" si="69"/>
        <v>27</v>
      </c>
      <c r="K326" s="43">
        <f>VLOOKUP(J326,Data!$Z$3:$AA$122,2)</f>
        <v>0</v>
      </c>
      <c r="L326" s="41">
        <f t="shared" si="70"/>
        <v>0.54346338124571503</v>
      </c>
      <c r="M326" s="43">
        <f>VLOOKUP(H326,Data!$P$3:$X$122,9)</f>
        <v>0</v>
      </c>
      <c r="N326" s="43">
        <f t="shared" si="73"/>
        <v>0</v>
      </c>
      <c r="O326" s="43">
        <f t="shared" si="74"/>
        <v>0</v>
      </c>
      <c r="P326" s="30">
        <f t="shared" si="75"/>
        <v>0</v>
      </c>
      <c r="Q326" s="31">
        <f t="shared" si="77"/>
        <v>848340.75061972369</v>
      </c>
    </row>
    <row r="327" spans="1:17" x14ac:dyDescent="0.25">
      <c r="A327" s="6">
        <f t="shared" si="76"/>
        <v>53143</v>
      </c>
      <c r="B327" s="30">
        <f>IFERROR(VLOOKUP(A327, Data!$L$3:$N$123, 3),1)*Pension</f>
        <v>79799.903466935823</v>
      </c>
      <c r="C327" s="37">
        <f t="shared" si="65"/>
        <v>27.000684462696782</v>
      </c>
      <c r="D327" s="37">
        <f>IFERROR(VLOOKUP(A327,Data!$I$3:$J$1442,2),0)</f>
        <v>9.6454859000000004E-2</v>
      </c>
      <c r="E327" s="37">
        <f t="shared" si="66"/>
        <v>9.6254858999999998E-2</v>
      </c>
      <c r="F327" s="37">
        <f t="shared" si="71"/>
        <v>7.435182384389967E-2</v>
      </c>
      <c r="G327" s="30">
        <f t="shared" si="72"/>
        <v>5933.2683653338108</v>
      </c>
      <c r="H327" s="38">
        <f t="shared" si="67"/>
        <v>122</v>
      </c>
      <c r="I327" s="39">
        <f t="shared" si="68"/>
        <v>122.62559890485969</v>
      </c>
      <c r="J327" s="40">
        <f t="shared" si="69"/>
        <v>27</v>
      </c>
      <c r="K327" s="43">
        <f>VLOOKUP(J327,Data!$Z$3:$AA$122,2)</f>
        <v>0</v>
      </c>
      <c r="L327" s="41">
        <f t="shared" si="70"/>
        <v>0.62559890485968594</v>
      </c>
      <c r="M327" s="43">
        <f>VLOOKUP(H327,Data!$P$3:$X$122,9)</f>
        <v>0</v>
      </c>
      <c r="N327" s="43">
        <f t="shared" si="73"/>
        <v>0</v>
      </c>
      <c r="O327" s="43">
        <f t="shared" si="74"/>
        <v>0</v>
      </c>
      <c r="P327" s="30">
        <f t="shared" si="75"/>
        <v>0</v>
      </c>
      <c r="Q327" s="31">
        <f t="shared" si="77"/>
        <v>848340.75061972369</v>
      </c>
    </row>
    <row r="328" spans="1:17" x14ac:dyDescent="0.25">
      <c r="A328" s="6">
        <f t="shared" si="76"/>
        <v>53174</v>
      </c>
      <c r="B328" s="30">
        <f>IFERROR(VLOOKUP(A328, Data!$L$3:$N$123, 3),1)*Pension</f>
        <v>79799.903466935823</v>
      </c>
      <c r="C328" s="37">
        <f t="shared" si="65"/>
        <v>27.085557837097877</v>
      </c>
      <c r="D328" s="37">
        <f>IFERROR(VLOOKUP(A328,Data!$I$3:$J$1442,2),0)</f>
        <v>9.6455796999999996E-2</v>
      </c>
      <c r="E328" s="37">
        <f t="shared" si="66"/>
        <v>9.625579699999999E-2</v>
      </c>
      <c r="F328" s="37">
        <f t="shared" si="71"/>
        <v>7.3745009282373652E-2</v>
      </c>
      <c r="G328" s="30">
        <f t="shared" si="72"/>
        <v>5884.8446219017032</v>
      </c>
      <c r="H328" s="38">
        <f t="shared" si="67"/>
        <v>122</v>
      </c>
      <c r="I328" s="39">
        <f t="shared" si="68"/>
        <v>122.71047227926078</v>
      </c>
      <c r="J328" s="40">
        <f t="shared" si="69"/>
        <v>27</v>
      </c>
      <c r="K328" s="43">
        <f>VLOOKUP(J328,Data!$Z$3:$AA$122,2)</f>
        <v>0</v>
      </c>
      <c r="L328" s="41">
        <f t="shared" si="70"/>
        <v>0.71047227926078449</v>
      </c>
      <c r="M328" s="43">
        <f>VLOOKUP(H328,Data!$P$3:$X$122,9)</f>
        <v>0</v>
      </c>
      <c r="N328" s="43">
        <f t="shared" si="73"/>
        <v>0</v>
      </c>
      <c r="O328" s="43">
        <f t="shared" si="74"/>
        <v>0</v>
      </c>
      <c r="P328" s="30">
        <f t="shared" si="75"/>
        <v>0</v>
      </c>
      <c r="Q328" s="31">
        <f t="shared" si="77"/>
        <v>848340.75061972369</v>
      </c>
    </row>
    <row r="329" spans="1:17" x14ac:dyDescent="0.25">
      <c r="A329" s="6">
        <f t="shared" si="76"/>
        <v>53205</v>
      </c>
      <c r="B329" s="30">
        <f>IFERROR(VLOOKUP(A329, Data!$L$3:$N$123, 3),1)*Pension</f>
        <v>79799.903466935823</v>
      </c>
      <c r="C329" s="37">
        <f t="shared" si="65"/>
        <v>27.170431211498972</v>
      </c>
      <c r="D329" s="37">
        <f>IFERROR(VLOOKUP(A329,Data!$I$3:$J$1442,2),0)</f>
        <v>9.6456729000000005E-2</v>
      </c>
      <c r="E329" s="37">
        <f t="shared" si="66"/>
        <v>9.6256728999999999E-2</v>
      </c>
      <c r="F329" s="37">
        <f t="shared" si="71"/>
        <v>7.3143147451788529E-2</v>
      </c>
      <c r="G329" s="30">
        <f t="shared" si="72"/>
        <v>5836.8161059205777</v>
      </c>
      <c r="H329" s="38">
        <f t="shared" si="67"/>
        <v>122</v>
      </c>
      <c r="I329" s="39">
        <f t="shared" si="68"/>
        <v>122.79534565366187</v>
      </c>
      <c r="J329" s="40">
        <f t="shared" si="69"/>
        <v>27</v>
      </c>
      <c r="K329" s="43">
        <f>VLOOKUP(J329,Data!$Z$3:$AA$122,2)</f>
        <v>0</v>
      </c>
      <c r="L329" s="41">
        <f t="shared" si="70"/>
        <v>0.79534565366186882</v>
      </c>
      <c r="M329" s="43">
        <f>VLOOKUP(H329,Data!$P$3:$X$122,9)</f>
        <v>0</v>
      </c>
      <c r="N329" s="43">
        <f t="shared" si="73"/>
        <v>0</v>
      </c>
      <c r="O329" s="43">
        <f t="shared" si="74"/>
        <v>0</v>
      </c>
      <c r="P329" s="30">
        <f t="shared" si="75"/>
        <v>0</v>
      </c>
      <c r="Q329" s="31">
        <f t="shared" si="77"/>
        <v>848340.75061972369</v>
      </c>
    </row>
    <row r="330" spans="1:17" x14ac:dyDescent="0.25">
      <c r="A330" s="6">
        <f t="shared" si="76"/>
        <v>53235</v>
      </c>
      <c r="B330" s="30">
        <f>IFERROR(VLOOKUP(A330, Data!$L$3:$N$123, 3),1)*Pension</f>
        <v>79799.903466935823</v>
      </c>
      <c r="C330" s="37">
        <f t="shared" si="65"/>
        <v>27.252566735112936</v>
      </c>
      <c r="D330" s="37">
        <f>IFERROR(VLOOKUP(A330,Data!$I$3:$J$1442,2),0)</f>
        <v>9.6457657000000002E-2</v>
      </c>
      <c r="E330" s="37">
        <f t="shared" si="66"/>
        <v>9.6257656999999996E-2</v>
      </c>
      <c r="F330" s="37">
        <f t="shared" si="71"/>
        <v>7.2565315361042118E-2</v>
      </c>
      <c r="G330" s="30">
        <f t="shared" si="72"/>
        <v>5790.7051608589163</v>
      </c>
      <c r="H330" s="38">
        <f t="shared" si="67"/>
        <v>122</v>
      </c>
      <c r="I330" s="39">
        <f t="shared" si="68"/>
        <v>122.87748117727584</v>
      </c>
      <c r="J330" s="40">
        <f t="shared" si="69"/>
        <v>27</v>
      </c>
      <c r="K330" s="43">
        <f>VLOOKUP(J330,Data!$Z$3:$AA$122,2)</f>
        <v>0</v>
      </c>
      <c r="L330" s="41">
        <f t="shared" si="70"/>
        <v>0.87748117727583974</v>
      </c>
      <c r="M330" s="43">
        <f>VLOOKUP(H330,Data!$P$3:$X$122,9)</f>
        <v>0</v>
      </c>
      <c r="N330" s="43">
        <f t="shared" si="73"/>
        <v>0</v>
      </c>
      <c r="O330" s="43">
        <f t="shared" si="74"/>
        <v>0</v>
      </c>
      <c r="P330" s="30">
        <f t="shared" si="75"/>
        <v>0</v>
      </c>
      <c r="Q330" s="31">
        <f t="shared" si="77"/>
        <v>848340.75061972369</v>
      </c>
    </row>
    <row r="331" spans="1:17" x14ac:dyDescent="0.25">
      <c r="A331" s="6">
        <f t="shared" si="76"/>
        <v>53266</v>
      </c>
      <c r="B331" s="30">
        <f>IFERROR(VLOOKUP(A331, Data!$L$3:$N$123, 3),1)*Pension</f>
        <v>79799.903466935823</v>
      </c>
      <c r="C331" s="37">
        <f t="shared" si="65"/>
        <v>27.337440109514031</v>
      </c>
      <c r="D331" s="37">
        <f>IFERROR(VLOOKUP(A331,Data!$I$3:$J$1442,2),0)</f>
        <v>9.645956E-2</v>
      </c>
      <c r="E331" s="37">
        <f t="shared" si="66"/>
        <v>9.6259559999999994E-2</v>
      </c>
      <c r="F331" s="37">
        <f t="shared" si="71"/>
        <v>7.1971148434039053E-2</v>
      </c>
      <c r="G331" s="30">
        <f t="shared" si="72"/>
        <v>5743.2906974408261</v>
      </c>
      <c r="H331" s="38">
        <f t="shared" si="67"/>
        <v>122</v>
      </c>
      <c r="I331" s="39">
        <f t="shared" si="68"/>
        <v>122.96235455167694</v>
      </c>
      <c r="J331" s="40">
        <f t="shared" si="69"/>
        <v>27</v>
      </c>
      <c r="K331" s="43">
        <f>VLOOKUP(J331,Data!$Z$3:$AA$122,2)</f>
        <v>0</v>
      </c>
      <c r="L331" s="41">
        <f t="shared" si="70"/>
        <v>0.96235455167693829</v>
      </c>
      <c r="M331" s="43">
        <f>VLOOKUP(H331,Data!$P$3:$X$122,9)</f>
        <v>0</v>
      </c>
      <c r="N331" s="43">
        <f t="shared" si="73"/>
        <v>0</v>
      </c>
      <c r="O331" s="43">
        <f t="shared" si="74"/>
        <v>0</v>
      </c>
      <c r="P331" s="30">
        <f t="shared" si="75"/>
        <v>0</v>
      </c>
      <c r="Q331" s="31">
        <f t="shared" si="77"/>
        <v>848340.75061972369</v>
      </c>
    </row>
    <row r="332" spans="1:17" x14ac:dyDescent="0.25">
      <c r="A332" s="6">
        <f t="shared" si="76"/>
        <v>53296</v>
      </c>
      <c r="B332" s="30">
        <f>IFERROR(VLOOKUP(A332, Data!$L$3:$N$123, 3),1)*Pension</f>
        <v>79799.903466935823</v>
      </c>
      <c r="C332" s="37">
        <f t="shared" si="65"/>
        <v>27.419575633127995</v>
      </c>
      <c r="D332" s="37">
        <f>IFERROR(VLOOKUP(A332,Data!$I$3:$J$1442,2),0)</f>
        <v>9.6461390999999994E-2</v>
      </c>
      <c r="E332" s="37">
        <f t="shared" si="66"/>
        <v>9.6261390999999988E-2</v>
      </c>
      <c r="F332" s="37">
        <f t="shared" si="71"/>
        <v>7.1400779589582228E-2</v>
      </c>
      <c r="G332" s="30">
        <f t="shared" si="72"/>
        <v>5697.7753187126236</v>
      </c>
      <c r="H332" s="38">
        <f t="shared" si="67"/>
        <v>123</v>
      </c>
      <c r="I332" s="39">
        <f t="shared" si="68"/>
        <v>123.04449007529089</v>
      </c>
      <c r="J332" s="40">
        <f t="shared" si="69"/>
        <v>28</v>
      </c>
      <c r="K332" s="43">
        <f>VLOOKUP(J332,Data!$Z$3:$AA$122,2)</f>
        <v>0</v>
      </c>
      <c r="L332" s="41">
        <f t="shared" si="70"/>
        <v>4.4490075290894993E-2</v>
      </c>
      <c r="M332" s="43">
        <f>VLOOKUP(H332,Data!$P$3:$X$122,9)</f>
        <v>0</v>
      </c>
      <c r="N332" s="43">
        <f t="shared" si="73"/>
        <v>0</v>
      </c>
      <c r="O332" s="43">
        <f t="shared" si="74"/>
        <v>0</v>
      </c>
      <c r="P332" s="30">
        <f t="shared" si="75"/>
        <v>0</v>
      </c>
      <c r="Q332" s="31">
        <f t="shared" si="77"/>
        <v>848340.75061972369</v>
      </c>
    </row>
    <row r="333" spans="1:17" x14ac:dyDescent="0.25">
      <c r="A333" s="6">
        <f t="shared" si="76"/>
        <v>53327</v>
      </c>
      <c r="B333" s="30">
        <f>IFERROR(VLOOKUP(A333, Data!$L$3:$N$123, 3),1)*Pension</f>
        <v>83789.898640282598</v>
      </c>
      <c r="C333" s="37">
        <f t="shared" si="65"/>
        <v>27.504449007529089</v>
      </c>
      <c r="D333" s="37">
        <f>IFERROR(VLOOKUP(A333,Data!$I$3:$J$1442,2),0)</f>
        <v>9.6463198E-2</v>
      </c>
      <c r="E333" s="37">
        <f t="shared" si="66"/>
        <v>9.6263197999999994E-2</v>
      </c>
      <c r="F333" s="37">
        <f t="shared" si="71"/>
        <v>7.0816289951098496E-2</v>
      </c>
      <c r="G333" s="30">
        <f t="shared" si="72"/>
        <v>5933.6897570834062</v>
      </c>
      <c r="H333" s="38">
        <f t="shared" si="67"/>
        <v>123</v>
      </c>
      <c r="I333" s="39">
        <f t="shared" si="68"/>
        <v>123.12936344969199</v>
      </c>
      <c r="J333" s="40">
        <f t="shared" si="69"/>
        <v>28</v>
      </c>
      <c r="K333" s="43">
        <f>VLOOKUP(J333,Data!$Z$3:$AA$122,2)</f>
        <v>0</v>
      </c>
      <c r="L333" s="41">
        <f t="shared" si="70"/>
        <v>0.12936344969199354</v>
      </c>
      <c r="M333" s="43">
        <f>VLOOKUP(H333,Data!$P$3:$X$122,9)</f>
        <v>0</v>
      </c>
      <c r="N333" s="43">
        <f t="shared" si="73"/>
        <v>0</v>
      </c>
      <c r="O333" s="43">
        <f t="shared" si="74"/>
        <v>0</v>
      </c>
      <c r="P333" s="30">
        <f t="shared" si="75"/>
        <v>0</v>
      </c>
      <c r="Q333" s="31">
        <f t="shared" si="77"/>
        <v>848340.75061972369</v>
      </c>
    </row>
    <row r="334" spans="1:17" x14ac:dyDescent="0.25">
      <c r="A334" s="6">
        <f t="shared" si="76"/>
        <v>53358</v>
      </c>
      <c r="B334" s="30">
        <f>IFERROR(VLOOKUP(A334, Data!$L$3:$N$123, 3),1)*Pension</f>
        <v>83789.898640282598</v>
      </c>
      <c r="C334" s="37">
        <f t="shared" si="65"/>
        <v>27.589322381930184</v>
      </c>
      <c r="D334" s="37">
        <f>IFERROR(VLOOKUP(A334,Data!$I$3:$J$1442,2),0)</f>
        <v>9.6463935000000001E-2</v>
      </c>
      <c r="E334" s="37">
        <f t="shared" si="66"/>
        <v>9.6263934999999995E-2</v>
      </c>
      <c r="F334" s="37">
        <f t="shared" si="71"/>
        <v>7.0238636878689115E-2</v>
      </c>
      <c r="G334" s="30">
        <f t="shared" si="72"/>
        <v>5885.2882646969765</v>
      </c>
      <c r="H334" s="38">
        <f t="shared" si="67"/>
        <v>123</v>
      </c>
      <c r="I334" s="39">
        <f t="shared" si="68"/>
        <v>123.21423682409309</v>
      </c>
      <c r="J334" s="40">
        <f t="shared" si="69"/>
        <v>28</v>
      </c>
      <c r="K334" s="43">
        <f>VLOOKUP(J334,Data!$Z$3:$AA$122,2)</f>
        <v>0</v>
      </c>
      <c r="L334" s="41">
        <f t="shared" si="70"/>
        <v>0.21423682409309208</v>
      </c>
      <c r="M334" s="43">
        <f>VLOOKUP(H334,Data!$P$3:$X$122,9)</f>
        <v>0</v>
      </c>
      <c r="N334" s="43">
        <f t="shared" si="73"/>
        <v>0</v>
      </c>
      <c r="O334" s="43">
        <f t="shared" si="74"/>
        <v>0</v>
      </c>
      <c r="P334" s="30">
        <f t="shared" si="75"/>
        <v>0</v>
      </c>
      <c r="Q334" s="31">
        <f t="shared" si="77"/>
        <v>848340.75061972369</v>
      </c>
    </row>
    <row r="335" spans="1:17" x14ac:dyDescent="0.25">
      <c r="A335" s="6">
        <f t="shared" si="76"/>
        <v>53386</v>
      </c>
      <c r="B335" s="30">
        <f>IFERROR(VLOOKUP(A335, Data!$L$3:$N$123, 3),1)*Pension</f>
        <v>83789.898640282598</v>
      </c>
      <c r="C335" s="37">
        <f t="shared" si="65"/>
        <v>27.665982203969882</v>
      </c>
      <c r="D335" s="37">
        <f>IFERROR(VLOOKUP(A335,Data!$I$3:$J$1442,2),0)</f>
        <v>9.6464596E-2</v>
      </c>
      <c r="E335" s="37">
        <f t="shared" si="66"/>
        <v>9.6264595999999994E-2</v>
      </c>
      <c r="F335" s="37">
        <f t="shared" si="71"/>
        <v>6.9720938334465785E-2</v>
      </c>
      <c r="G335" s="30">
        <f t="shared" si="72"/>
        <v>5841.9103561502816</v>
      </c>
      <c r="H335" s="38">
        <f t="shared" si="67"/>
        <v>123</v>
      </c>
      <c r="I335" s="39">
        <f t="shared" si="68"/>
        <v>123.29089664613278</v>
      </c>
      <c r="J335" s="40">
        <f t="shared" si="69"/>
        <v>28</v>
      </c>
      <c r="K335" s="43">
        <f>VLOOKUP(J335,Data!$Z$3:$AA$122,2)</f>
        <v>0</v>
      </c>
      <c r="L335" s="41">
        <f t="shared" si="70"/>
        <v>0.29089664613277932</v>
      </c>
      <c r="M335" s="43">
        <f>VLOOKUP(H335,Data!$P$3:$X$122,9)</f>
        <v>0</v>
      </c>
      <c r="N335" s="43">
        <f t="shared" si="73"/>
        <v>0</v>
      </c>
      <c r="O335" s="43">
        <f t="shared" si="74"/>
        <v>0</v>
      </c>
      <c r="P335" s="30">
        <f t="shared" si="75"/>
        <v>0</v>
      </c>
      <c r="Q335" s="31">
        <f t="shared" si="77"/>
        <v>848340.75061972369</v>
      </c>
    </row>
    <row r="336" spans="1:17" x14ac:dyDescent="0.25">
      <c r="A336" s="6">
        <f t="shared" si="76"/>
        <v>53417</v>
      </c>
      <c r="B336" s="30">
        <f>IFERROR(VLOOKUP(A336, Data!$L$3:$N$123, 3),1)*Pension</f>
        <v>83789.898640282598</v>
      </c>
      <c r="C336" s="37">
        <f t="shared" si="65"/>
        <v>27.750855578370977</v>
      </c>
      <c r="D336" s="37">
        <f>IFERROR(VLOOKUP(A336,Data!$I$3:$J$1442,2),0)</f>
        <v>9.6465387999999999E-2</v>
      </c>
      <c r="E336" s="37">
        <f t="shared" si="66"/>
        <v>9.6265387999999993E-2</v>
      </c>
      <c r="F336" s="37">
        <f t="shared" si="71"/>
        <v>6.9152098131862114E-2</v>
      </c>
      <c r="G336" s="30">
        <f t="shared" si="72"/>
        <v>5794.2472932316023</v>
      </c>
      <c r="H336" s="38">
        <f t="shared" si="67"/>
        <v>123</v>
      </c>
      <c r="I336" s="39">
        <f t="shared" si="68"/>
        <v>123.37577002053388</v>
      </c>
      <c r="J336" s="40">
        <f t="shared" si="69"/>
        <v>28</v>
      </c>
      <c r="K336" s="43">
        <f>VLOOKUP(J336,Data!$Z$3:$AA$122,2)</f>
        <v>0</v>
      </c>
      <c r="L336" s="41">
        <f t="shared" si="70"/>
        <v>0.37577002053387787</v>
      </c>
      <c r="M336" s="43">
        <f>VLOOKUP(H336,Data!$P$3:$X$122,9)</f>
        <v>0</v>
      </c>
      <c r="N336" s="43">
        <f t="shared" si="73"/>
        <v>0</v>
      </c>
      <c r="O336" s="43">
        <f t="shared" si="74"/>
        <v>0</v>
      </c>
      <c r="P336" s="30">
        <f t="shared" si="75"/>
        <v>0</v>
      </c>
      <c r="Q336" s="31">
        <f t="shared" si="77"/>
        <v>848340.75061972369</v>
      </c>
    </row>
    <row r="337" spans="1:17" x14ac:dyDescent="0.25">
      <c r="A337" s="6">
        <f t="shared" si="76"/>
        <v>53447</v>
      </c>
      <c r="B337" s="30">
        <f>IFERROR(VLOOKUP(A337, Data!$L$3:$N$123, 3),1)*Pension</f>
        <v>83789.898640282598</v>
      </c>
      <c r="C337" s="37">
        <f t="shared" si="65"/>
        <v>27.832991101984941</v>
      </c>
      <c r="D337" s="37">
        <f>IFERROR(VLOOKUP(A337,Data!$I$3:$J$1442,2),0)</f>
        <v>9.6467038000000005E-2</v>
      </c>
      <c r="E337" s="37">
        <f t="shared" si="66"/>
        <v>9.6267037999999999E-2</v>
      </c>
      <c r="F337" s="37">
        <f t="shared" si="71"/>
        <v>6.860433100438644E-2</v>
      </c>
      <c r="G337" s="30">
        <f t="shared" si="72"/>
        <v>5748.3499411419371</v>
      </c>
      <c r="H337" s="38">
        <f t="shared" si="67"/>
        <v>123</v>
      </c>
      <c r="I337" s="39">
        <f t="shared" si="68"/>
        <v>123.45790554414785</v>
      </c>
      <c r="J337" s="40">
        <f t="shared" si="69"/>
        <v>28</v>
      </c>
      <c r="K337" s="43">
        <f>VLOOKUP(J337,Data!$Z$3:$AA$122,2)</f>
        <v>0</v>
      </c>
      <c r="L337" s="41">
        <f t="shared" si="70"/>
        <v>0.45790554414784879</v>
      </c>
      <c r="M337" s="43">
        <f>VLOOKUP(H337,Data!$P$3:$X$122,9)</f>
        <v>0</v>
      </c>
      <c r="N337" s="43">
        <f t="shared" si="73"/>
        <v>0</v>
      </c>
      <c r="O337" s="43">
        <f t="shared" si="74"/>
        <v>0</v>
      </c>
      <c r="P337" s="30">
        <f t="shared" si="75"/>
        <v>0</v>
      </c>
      <c r="Q337" s="31">
        <f t="shared" si="77"/>
        <v>848340.75061972369</v>
      </c>
    </row>
    <row r="338" spans="1:17" x14ac:dyDescent="0.25">
      <c r="A338" s="6">
        <f t="shared" si="76"/>
        <v>53478</v>
      </c>
      <c r="B338" s="30">
        <f>IFERROR(VLOOKUP(A338, Data!$L$3:$N$123, 3),1)*Pension</f>
        <v>83789.898640282598</v>
      </c>
      <c r="C338" s="37">
        <f t="shared" si="65"/>
        <v>27.917864476386036</v>
      </c>
      <c r="D338" s="37">
        <f>IFERROR(VLOOKUP(A338,Data!$I$3:$J$1442,2),0)</f>
        <v>9.6468733000000001E-2</v>
      </c>
      <c r="E338" s="37">
        <f t="shared" si="66"/>
        <v>9.6268732999999995E-2</v>
      </c>
      <c r="F338" s="37">
        <f t="shared" si="71"/>
        <v>6.8042862519824637E-2</v>
      </c>
      <c r="G338" s="30">
        <f t="shared" si="72"/>
        <v>5701.3045537307898</v>
      </c>
      <c r="H338" s="38">
        <f t="shared" si="67"/>
        <v>123</v>
      </c>
      <c r="I338" s="39">
        <f t="shared" si="68"/>
        <v>123.54277891854893</v>
      </c>
      <c r="J338" s="40">
        <f t="shared" si="69"/>
        <v>28</v>
      </c>
      <c r="K338" s="43">
        <f>VLOOKUP(J338,Data!$Z$3:$AA$122,2)</f>
        <v>0</v>
      </c>
      <c r="L338" s="41">
        <f t="shared" si="70"/>
        <v>0.54277891854893312</v>
      </c>
      <c r="M338" s="43">
        <f>VLOOKUP(H338,Data!$P$3:$X$122,9)</f>
        <v>0</v>
      </c>
      <c r="N338" s="43">
        <f t="shared" si="73"/>
        <v>0</v>
      </c>
      <c r="O338" s="43">
        <f t="shared" si="74"/>
        <v>0</v>
      </c>
      <c r="P338" s="30">
        <f t="shared" si="75"/>
        <v>0</v>
      </c>
      <c r="Q338" s="31">
        <f t="shared" si="77"/>
        <v>848340.75061972369</v>
      </c>
    </row>
    <row r="339" spans="1:17" x14ac:dyDescent="0.25">
      <c r="A339" s="6">
        <f t="shared" si="76"/>
        <v>53508</v>
      </c>
      <c r="B339" s="30">
        <f>IFERROR(VLOOKUP(A339, Data!$L$3:$N$123, 3),1)*Pension</f>
        <v>83789.898640282598</v>
      </c>
      <c r="C339" s="37">
        <f t="shared" si="65"/>
        <v>28</v>
      </c>
      <c r="D339" s="37">
        <f>IFERROR(VLOOKUP(A339,Data!$I$3:$J$1442,2),0)</f>
        <v>9.6470328999999994E-2</v>
      </c>
      <c r="E339" s="37">
        <f t="shared" si="66"/>
        <v>9.6270328999999988E-2</v>
      </c>
      <c r="F339" s="37">
        <f t="shared" si="71"/>
        <v>6.750394677987781E-2</v>
      </c>
      <c r="G339" s="30">
        <f t="shared" si="72"/>
        <v>5656.1488585049929</v>
      </c>
      <c r="H339" s="38">
        <f t="shared" si="67"/>
        <v>123</v>
      </c>
      <c r="I339" s="39">
        <f t="shared" si="68"/>
        <v>123.6249144421629</v>
      </c>
      <c r="J339" s="40">
        <f t="shared" si="69"/>
        <v>28</v>
      </c>
      <c r="K339" s="43">
        <f>VLOOKUP(J339,Data!$Z$3:$AA$122,2)</f>
        <v>0</v>
      </c>
      <c r="L339" s="41">
        <f t="shared" si="70"/>
        <v>0.62491444216290404</v>
      </c>
      <c r="M339" s="43">
        <f>VLOOKUP(H339,Data!$P$3:$X$122,9)</f>
        <v>0</v>
      </c>
      <c r="N339" s="43">
        <f t="shared" si="73"/>
        <v>0</v>
      </c>
      <c r="O339" s="43">
        <f t="shared" si="74"/>
        <v>0</v>
      </c>
      <c r="P339" s="30">
        <f t="shared" si="75"/>
        <v>0</v>
      </c>
      <c r="Q339" s="31">
        <f t="shared" si="77"/>
        <v>848340.75061972369</v>
      </c>
    </row>
    <row r="340" spans="1:17" x14ac:dyDescent="0.25">
      <c r="A340" s="6">
        <f t="shared" si="76"/>
        <v>53539</v>
      </c>
      <c r="B340" s="30">
        <f>IFERROR(VLOOKUP(A340, Data!$L$3:$N$123, 3),1)*Pension</f>
        <v>83789.898640282598</v>
      </c>
      <c r="C340" s="37">
        <f t="shared" si="65"/>
        <v>28.084873374401095</v>
      </c>
      <c r="D340" s="37">
        <f>IFERROR(VLOOKUP(A340,Data!$I$3:$J$1442,2),0)</f>
        <v>9.6470946000000002E-2</v>
      </c>
      <c r="E340" s="37">
        <f t="shared" si="66"/>
        <v>9.6270945999999996E-2</v>
      </c>
      <c r="F340" s="37">
        <f t="shared" si="71"/>
        <v>6.6953473375833503E-2</v>
      </c>
      <c r="G340" s="30">
        <f t="shared" si="72"/>
        <v>5610.0247477759485</v>
      </c>
      <c r="H340" s="38">
        <f t="shared" si="67"/>
        <v>123</v>
      </c>
      <c r="I340" s="39">
        <f t="shared" si="68"/>
        <v>123.709787816564</v>
      </c>
      <c r="J340" s="40">
        <f t="shared" si="69"/>
        <v>28</v>
      </c>
      <c r="K340" s="43">
        <f>VLOOKUP(J340,Data!$Z$3:$AA$122,2)</f>
        <v>0</v>
      </c>
      <c r="L340" s="41">
        <f t="shared" si="70"/>
        <v>0.70978781656400258</v>
      </c>
      <c r="M340" s="43">
        <f>VLOOKUP(H340,Data!$P$3:$X$122,9)</f>
        <v>0</v>
      </c>
      <c r="N340" s="43">
        <f t="shared" si="73"/>
        <v>0</v>
      </c>
      <c r="O340" s="43">
        <f t="shared" si="74"/>
        <v>0</v>
      </c>
      <c r="P340" s="30">
        <f t="shared" si="75"/>
        <v>0</v>
      </c>
      <c r="Q340" s="31">
        <f t="shared" si="77"/>
        <v>848340.75061972369</v>
      </c>
    </row>
    <row r="341" spans="1:17" x14ac:dyDescent="0.25">
      <c r="A341" s="6">
        <f t="shared" si="76"/>
        <v>53570</v>
      </c>
      <c r="B341" s="30">
        <f>IFERROR(VLOOKUP(A341, Data!$L$3:$N$123, 3),1)*Pension</f>
        <v>83789.898640282598</v>
      </c>
      <c r="C341" s="37">
        <f t="shared" si="65"/>
        <v>28.16974674880219</v>
      </c>
      <c r="D341" s="37">
        <f>IFERROR(VLOOKUP(A341,Data!$I$3:$J$1442,2),0)</f>
        <v>9.6471558999999998E-2</v>
      </c>
      <c r="E341" s="37">
        <f t="shared" si="66"/>
        <v>9.6271558999999993E-2</v>
      </c>
      <c r="F341" s="37">
        <f t="shared" si="71"/>
        <v>6.6407489436475273E-2</v>
      </c>
      <c r="G341" s="30">
        <f t="shared" si="72"/>
        <v>5564.2768088379007</v>
      </c>
      <c r="H341" s="38">
        <f t="shared" si="67"/>
        <v>123</v>
      </c>
      <c r="I341" s="39">
        <f t="shared" si="68"/>
        <v>123.79466119096509</v>
      </c>
      <c r="J341" s="40">
        <f t="shared" si="69"/>
        <v>28</v>
      </c>
      <c r="K341" s="43">
        <f>VLOOKUP(J341,Data!$Z$3:$AA$122,2)</f>
        <v>0</v>
      </c>
      <c r="L341" s="41">
        <f t="shared" si="70"/>
        <v>0.79466119096508692</v>
      </c>
      <c r="M341" s="43">
        <f>VLOOKUP(H341,Data!$P$3:$X$122,9)</f>
        <v>0</v>
      </c>
      <c r="N341" s="43">
        <f t="shared" si="73"/>
        <v>0</v>
      </c>
      <c r="O341" s="43">
        <f t="shared" si="74"/>
        <v>0</v>
      </c>
      <c r="P341" s="30">
        <f t="shared" si="75"/>
        <v>0</v>
      </c>
      <c r="Q341" s="31">
        <f t="shared" si="77"/>
        <v>848340.75061972369</v>
      </c>
    </row>
    <row r="342" spans="1:17" x14ac:dyDescent="0.25">
      <c r="A342" s="6">
        <f t="shared" si="76"/>
        <v>53600</v>
      </c>
      <c r="B342" s="30">
        <f>IFERROR(VLOOKUP(A342, Data!$L$3:$N$123, 3),1)*Pension</f>
        <v>83789.898640282598</v>
      </c>
      <c r="C342" s="37">
        <f t="shared" si="65"/>
        <v>28.251882272416154</v>
      </c>
      <c r="D342" s="37">
        <f>IFERROR(VLOOKUP(A342,Data!$I$3:$J$1442,2),0)</f>
        <v>9.6472180000000005E-2</v>
      </c>
      <c r="E342" s="37">
        <f t="shared" si="66"/>
        <v>9.6272179999999999E-2</v>
      </c>
      <c r="F342" s="37">
        <f t="shared" si="71"/>
        <v>6.5883299234678186E-2</v>
      </c>
      <c r="G342" s="30">
        <f t="shared" si="72"/>
        <v>5520.3549649610932</v>
      </c>
      <c r="H342" s="38">
        <f t="shared" si="67"/>
        <v>123</v>
      </c>
      <c r="I342" s="39">
        <f t="shared" si="68"/>
        <v>123.87679671457906</v>
      </c>
      <c r="J342" s="40">
        <f t="shared" si="69"/>
        <v>28</v>
      </c>
      <c r="K342" s="43">
        <f>VLOOKUP(J342,Data!$Z$3:$AA$122,2)</f>
        <v>0</v>
      </c>
      <c r="L342" s="41">
        <f t="shared" si="70"/>
        <v>0.87679671457905783</v>
      </c>
      <c r="M342" s="43">
        <f>VLOOKUP(H342,Data!$P$3:$X$122,9)</f>
        <v>0</v>
      </c>
      <c r="N342" s="43">
        <f t="shared" si="73"/>
        <v>0</v>
      </c>
      <c r="O342" s="43">
        <f t="shared" si="74"/>
        <v>0</v>
      </c>
      <c r="P342" s="30">
        <f t="shared" si="75"/>
        <v>0</v>
      </c>
      <c r="Q342" s="31">
        <f t="shared" si="77"/>
        <v>848340.75061972369</v>
      </c>
    </row>
    <row r="343" spans="1:17" x14ac:dyDescent="0.25">
      <c r="A343" s="6">
        <f t="shared" si="76"/>
        <v>53631</v>
      </c>
      <c r="B343" s="30">
        <f>IFERROR(VLOOKUP(A343, Data!$L$3:$N$123, 3),1)*Pension</f>
        <v>83789.898640282598</v>
      </c>
      <c r="C343" s="37">
        <f t="shared" si="65"/>
        <v>28.336755646817249</v>
      </c>
      <c r="D343" s="37">
        <f>IFERROR(VLOOKUP(A343,Data!$I$3:$J$1442,2),0)</f>
        <v>9.6473771E-2</v>
      </c>
      <c r="E343" s="37">
        <f t="shared" si="66"/>
        <v>9.6273770999999994E-2</v>
      </c>
      <c r="F343" s="37">
        <f t="shared" si="71"/>
        <v>6.5344217753707926E-2</v>
      </c>
      <c r="G343" s="30">
        <f t="shared" si="72"/>
        <v>5475.1853823117417</v>
      </c>
      <c r="H343" s="38">
        <f t="shared" si="67"/>
        <v>123</v>
      </c>
      <c r="I343" s="39">
        <f t="shared" si="68"/>
        <v>123.96167008898016</v>
      </c>
      <c r="J343" s="40">
        <f t="shared" si="69"/>
        <v>28</v>
      </c>
      <c r="K343" s="43">
        <f>VLOOKUP(J343,Data!$Z$3:$AA$122,2)</f>
        <v>0</v>
      </c>
      <c r="L343" s="41">
        <f t="shared" si="70"/>
        <v>0.96167008898015638</v>
      </c>
      <c r="M343" s="43">
        <f>VLOOKUP(H343,Data!$P$3:$X$122,9)</f>
        <v>0</v>
      </c>
      <c r="N343" s="43">
        <f t="shared" si="73"/>
        <v>0</v>
      </c>
      <c r="O343" s="43">
        <f t="shared" si="74"/>
        <v>0</v>
      </c>
      <c r="P343" s="30">
        <f t="shared" si="75"/>
        <v>0</v>
      </c>
      <c r="Q343" s="31">
        <f t="shared" si="77"/>
        <v>848340.75061972369</v>
      </c>
    </row>
    <row r="344" spans="1:17" x14ac:dyDescent="0.25">
      <c r="A344" s="6">
        <f t="shared" si="76"/>
        <v>53661</v>
      </c>
      <c r="B344" s="30">
        <f>IFERROR(VLOOKUP(A344, Data!$L$3:$N$123, 3),1)*Pension</f>
        <v>83789.898640282598</v>
      </c>
      <c r="C344" s="37">
        <f t="shared" si="65"/>
        <v>28.418891170431213</v>
      </c>
      <c r="D344" s="37">
        <f>IFERROR(VLOOKUP(A344,Data!$I$3:$J$1442,2),0)</f>
        <v>9.6475300999999999E-2</v>
      </c>
      <c r="E344" s="37">
        <f t="shared" si="66"/>
        <v>9.6275300999999994E-2</v>
      </c>
      <c r="F344" s="37">
        <f t="shared" si="71"/>
        <v>6.4826727352420427E-2</v>
      </c>
      <c r="G344" s="30">
        <f t="shared" si="72"/>
        <v>5431.8249140405433</v>
      </c>
      <c r="H344" s="38">
        <f t="shared" si="67"/>
        <v>124</v>
      </c>
      <c r="I344" s="39">
        <f t="shared" si="68"/>
        <v>124.04380561259411</v>
      </c>
      <c r="J344" s="40">
        <f t="shared" si="69"/>
        <v>29</v>
      </c>
      <c r="K344" s="43">
        <f>VLOOKUP(J344,Data!$Z$3:$AA$122,2)</f>
        <v>0</v>
      </c>
      <c r="L344" s="41">
        <f t="shared" si="70"/>
        <v>4.3805612594113086E-2</v>
      </c>
      <c r="M344" s="43">
        <f>VLOOKUP(H344,Data!$P$3:$X$122,9)</f>
        <v>0</v>
      </c>
      <c r="N344" s="43">
        <f t="shared" si="73"/>
        <v>0</v>
      </c>
      <c r="O344" s="43">
        <f t="shared" si="74"/>
        <v>0</v>
      </c>
      <c r="P344" s="30">
        <f t="shared" si="75"/>
        <v>0</v>
      </c>
      <c r="Q344" s="31">
        <f t="shared" si="77"/>
        <v>848340.75061972369</v>
      </c>
    </row>
    <row r="345" spans="1:17" x14ac:dyDescent="0.25">
      <c r="A345" s="6">
        <f t="shared" si="76"/>
        <v>53692</v>
      </c>
      <c r="B345" s="30">
        <f>IFERROR(VLOOKUP(A345, Data!$L$3:$N$123, 3),1)*Pension</f>
        <v>87979.393572296744</v>
      </c>
      <c r="C345" s="37">
        <f t="shared" si="65"/>
        <v>28.503764544832308</v>
      </c>
      <c r="D345" s="37">
        <f>IFERROR(VLOOKUP(A345,Data!$I$3:$J$1442,2),0)</f>
        <v>9.6476810999999996E-2</v>
      </c>
      <c r="E345" s="37">
        <f t="shared" si="66"/>
        <v>9.627681099999999E-2</v>
      </c>
      <c r="F345" s="37">
        <f t="shared" si="71"/>
        <v>6.4296405464739317E-2</v>
      </c>
      <c r="G345" s="30">
        <f t="shared" si="72"/>
        <v>5656.7587616662713</v>
      </c>
      <c r="H345" s="38">
        <f t="shared" si="67"/>
        <v>124</v>
      </c>
      <c r="I345" s="39">
        <f t="shared" si="68"/>
        <v>124.12867898699521</v>
      </c>
      <c r="J345" s="40">
        <f t="shared" si="69"/>
        <v>29</v>
      </c>
      <c r="K345" s="43">
        <f>VLOOKUP(J345,Data!$Z$3:$AA$122,2)</f>
        <v>0</v>
      </c>
      <c r="L345" s="41">
        <f t="shared" si="70"/>
        <v>0.12867898699521163</v>
      </c>
      <c r="M345" s="43">
        <f>VLOOKUP(H345,Data!$P$3:$X$122,9)</f>
        <v>0</v>
      </c>
      <c r="N345" s="43">
        <f t="shared" si="73"/>
        <v>0</v>
      </c>
      <c r="O345" s="43">
        <f t="shared" si="74"/>
        <v>0</v>
      </c>
      <c r="P345" s="30">
        <f t="shared" si="75"/>
        <v>0</v>
      </c>
      <c r="Q345" s="31">
        <f t="shared" si="77"/>
        <v>848340.75061972369</v>
      </c>
    </row>
    <row r="346" spans="1:17" x14ac:dyDescent="0.25">
      <c r="A346" s="6">
        <f t="shared" si="76"/>
        <v>53723</v>
      </c>
      <c r="B346" s="30">
        <f>IFERROR(VLOOKUP(A346, Data!$L$3:$N$123, 3),1)*Pension</f>
        <v>87979.393572296744</v>
      </c>
      <c r="C346" s="37">
        <f t="shared" si="65"/>
        <v>28.588637919233403</v>
      </c>
      <c r="D346" s="37">
        <f>IFERROR(VLOOKUP(A346,Data!$I$3:$J$1442,2),0)</f>
        <v>9.6477414999999997E-2</v>
      </c>
      <c r="E346" s="37">
        <f t="shared" si="66"/>
        <v>9.6277414999999991E-2</v>
      </c>
      <c r="F346" s="37">
        <f t="shared" si="71"/>
        <v>6.3772057343951513E-2</v>
      </c>
      <c r="G346" s="30">
        <f t="shared" si="72"/>
        <v>5610.626931978587</v>
      </c>
      <c r="H346" s="38">
        <f t="shared" si="67"/>
        <v>124</v>
      </c>
      <c r="I346" s="39">
        <f t="shared" si="68"/>
        <v>124.21355236139631</v>
      </c>
      <c r="J346" s="40">
        <f t="shared" si="69"/>
        <v>29</v>
      </c>
      <c r="K346" s="43">
        <f>VLOOKUP(J346,Data!$Z$3:$AA$122,2)</f>
        <v>0</v>
      </c>
      <c r="L346" s="41">
        <f t="shared" si="70"/>
        <v>0.21355236139631018</v>
      </c>
      <c r="M346" s="43">
        <f>VLOOKUP(H346,Data!$P$3:$X$122,9)</f>
        <v>0</v>
      </c>
      <c r="N346" s="43">
        <f t="shared" si="73"/>
        <v>0</v>
      </c>
      <c r="O346" s="43">
        <f t="shared" si="74"/>
        <v>0</v>
      </c>
      <c r="P346" s="30">
        <f t="shared" si="75"/>
        <v>0</v>
      </c>
      <c r="Q346" s="31">
        <f t="shared" si="77"/>
        <v>848340.75061972369</v>
      </c>
    </row>
    <row r="347" spans="1:17" x14ac:dyDescent="0.25">
      <c r="A347" s="6">
        <f t="shared" si="76"/>
        <v>53751</v>
      </c>
      <c r="B347" s="30">
        <f>IFERROR(VLOOKUP(A347, Data!$L$3:$N$123, 3),1)*Pension</f>
        <v>87979.393572296744</v>
      </c>
      <c r="C347" s="37">
        <f t="shared" si="65"/>
        <v>28.6652977412731</v>
      </c>
      <c r="D347" s="37">
        <f>IFERROR(VLOOKUP(A347,Data!$I$3:$J$1442,2),0)</f>
        <v>9.6477957000000003E-2</v>
      </c>
      <c r="E347" s="37">
        <f t="shared" si="66"/>
        <v>9.6277956999999997E-2</v>
      </c>
      <c r="F347" s="37">
        <f t="shared" si="71"/>
        <v>6.3302129859630241E-2</v>
      </c>
      <c r="G347" s="30">
        <f t="shared" si="72"/>
        <v>5569.2829968850465</v>
      </c>
      <c r="H347" s="38">
        <f t="shared" si="67"/>
        <v>124</v>
      </c>
      <c r="I347" s="39">
        <f t="shared" si="68"/>
        <v>124.290212183436</v>
      </c>
      <c r="J347" s="40">
        <f t="shared" si="69"/>
        <v>29</v>
      </c>
      <c r="K347" s="43">
        <f>VLOOKUP(J347,Data!$Z$3:$AA$122,2)</f>
        <v>0</v>
      </c>
      <c r="L347" s="41">
        <f t="shared" si="70"/>
        <v>0.29021218343599742</v>
      </c>
      <c r="M347" s="43">
        <f>VLOOKUP(H347,Data!$P$3:$X$122,9)</f>
        <v>0</v>
      </c>
      <c r="N347" s="43">
        <f t="shared" si="73"/>
        <v>0</v>
      </c>
      <c r="O347" s="43">
        <f t="shared" si="74"/>
        <v>0</v>
      </c>
      <c r="P347" s="30">
        <f t="shared" si="75"/>
        <v>0</v>
      </c>
      <c r="Q347" s="31">
        <f t="shared" si="77"/>
        <v>848340.75061972369</v>
      </c>
    </row>
    <row r="348" spans="1:17" x14ac:dyDescent="0.25">
      <c r="A348" s="6">
        <f t="shared" si="76"/>
        <v>53782</v>
      </c>
      <c r="B348" s="30">
        <f>IFERROR(VLOOKUP(A348, Data!$L$3:$N$123, 3),1)*Pension</f>
        <v>87979.393572296744</v>
      </c>
      <c r="C348" s="37">
        <f t="shared" si="65"/>
        <v>28.750171115674195</v>
      </c>
      <c r="D348" s="37">
        <f>IFERROR(VLOOKUP(A348,Data!$I$3:$J$1442,2),0)</f>
        <v>9.6478614000000004E-2</v>
      </c>
      <c r="E348" s="37">
        <f t="shared" si="66"/>
        <v>9.6278613999999998E-2</v>
      </c>
      <c r="F348" s="37">
        <f t="shared" si="71"/>
        <v>6.2785782322377456E-2</v>
      </c>
      <c r="G348" s="30">
        <f t="shared" si="72"/>
        <v>5523.855053684998</v>
      </c>
      <c r="H348" s="38">
        <f t="shared" si="67"/>
        <v>124</v>
      </c>
      <c r="I348" s="39">
        <f t="shared" si="68"/>
        <v>124.3750855578371</v>
      </c>
      <c r="J348" s="40">
        <f t="shared" si="69"/>
        <v>29</v>
      </c>
      <c r="K348" s="43">
        <f>VLOOKUP(J348,Data!$Z$3:$AA$122,2)</f>
        <v>0</v>
      </c>
      <c r="L348" s="41">
        <f t="shared" si="70"/>
        <v>0.37508555783709596</v>
      </c>
      <c r="M348" s="43">
        <f>VLOOKUP(H348,Data!$P$3:$X$122,9)</f>
        <v>0</v>
      </c>
      <c r="N348" s="43">
        <f t="shared" si="73"/>
        <v>0</v>
      </c>
      <c r="O348" s="43">
        <f t="shared" si="74"/>
        <v>0</v>
      </c>
      <c r="P348" s="30">
        <f t="shared" si="75"/>
        <v>0</v>
      </c>
      <c r="Q348" s="31">
        <f t="shared" si="77"/>
        <v>848340.75061972369</v>
      </c>
    </row>
    <row r="349" spans="1:17" x14ac:dyDescent="0.25">
      <c r="A349" s="6">
        <f t="shared" si="76"/>
        <v>53812</v>
      </c>
      <c r="B349" s="30">
        <f>IFERROR(VLOOKUP(A349, Data!$L$3:$N$123, 3),1)*Pension</f>
        <v>87979.393572296744</v>
      </c>
      <c r="C349" s="37">
        <f t="shared" si="65"/>
        <v>28.832306639288159</v>
      </c>
      <c r="D349" s="37">
        <f>IFERROR(VLOOKUP(A349,Data!$I$3:$J$1442,2),0)</f>
        <v>9.6480086000000007E-2</v>
      </c>
      <c r="E349" s="37">
        <f t="shared" si="66"/>
        <v>9.6280086000000001E-2</v>
      </c>
      <c r="F349" s="37">
        <f t="shared" si="71"/>
        <v>6.2288593315023712E-2</v>
      </c>
      <c r="G349" s="30">
        <f t="shared" si="72"/>
        <v>5480.1126663272034</v>
      </c>
      <c r="H349" s="38">
        <f t="shared" si="67"/>
        <v>124</v>
      </c>
      <c r="I349" s="39">
        <f t="shared" si="68"/>
        <v>124.45722108145107</v>
      </c>
      <c r="J349" s="40">
        <f t="shared" si="69"/>
        <v>29</v>
      </c>
      <c r="K349" s="43">
        <f>VLOOKUP(J349,Data!$Z$3:$AA$122,2)</f>
        <v>0</v>
      </c>
      <c r="L349" s="41">
        <f t="shared" si="70"/>
        <v>0.45722108145106688</v>
      </c>
      <c r="M349" s="43">
        <f>VLOOKUP(H349,Data!$P$3:$X$122,9)</f>
        <v>0</v>
      </c>
      <c r="N349" s="43">
        <f t="shared" si="73"/>
        <v>0</v>
      </c>
      <c r="O349" s="43">
        <f t="shared" si="74"/>
        <v>0</v>
      </c>
      <c r="P349" s="30">
        <f t="shared" si="75"/>
        <v>0</v>
      </c>
      <c r="Q349" s="31">
        <f t="shared" si="77"/>
        <v>848340.75061972369</v>
      </c>
    </row>
    <row r="350" spans="1:17" x14ac:dyDescent="0.25">
      <c r="A350" s="6">
        <f t="shared" si="76"/>
        <v>53843</v>
      </c>
      <c r="B350" s="30">
        <f>IFERROR(VLOOKUP(A350, Data!$L$3:$N$123, 3),1)*Pension</f>
        <v>87979.393572296744</v>
      </c>
      <c r="C350" s="37">
        <f t="shared" si="65"/>
        <v>28.917180013689254</v>
      </c>
      <c r="D350" s="37">
        <f>IFERROR(VLOOKUP(A350,Data!$I$3:$J$1442,2),0)</f>
        <v>9.6481600000000001E-2</v>
      </c>
      <c r="E350" s="37">
        <f t="shared" si="66"/>
        <v>9.6281599999999995E-2</v>
      </c>
      <c r="F350" s="37">
        <f t="shared" si="71"/>
        <v>6.1778964099294072E-2</v>
      </c>
      <c r="G350" s="30">
        <f t="shared" si="72"/>
        <v>5435.2757969805843</v>
      </c>
      <c r="H350" s="38">
        <f t="shared" si="67"/>
        <v>124</v>
      </c>
      <c r="I350" s="39">
        <f t="shared" si="68"/>
        <v>124.54209445585215</v>
      </c>
      <c r="J350" s="40">
        <f t="shared" si="69"/>
        <v>29</v>
      </c>
      <c r="K350" s="43">
        <f>VLOOKUP(J350,Data!$Z$3:$AA$122,2)</f>
        <v>0</v>
      </c>
      <c r="L350" s="41">
        <f t="shared" si="70"/>
        <v>0.54209445585215121</v>
      </c>
      <c r="M350" s="43">
        <f>VLOOKUP(H350,Data!$P$3:$X$122,9)</f>
        <v>0</v>
      </c>
      <c r="N350" s="43">
        <f t="shared" si="73"/>
        <v>0</v>
      </c>
      <c r="O350" s="43">
        <f t="shared" si="74"/>
        <v>0</v>
      </c>
      <c r="P350" s="30">
        <f t="shared" si="75"/>
        <v>0</v>
      </c>
      <c r="Q350" s="31">
        <f t="shared" si="77"/>
        <v>848340.75061972369</v>
      </c>
    </row>
    <row r="351" spans="1:17" x14ac:dyDescent="0.25">
      <c r="A351" s="6">
        <f t="shared" si="76"/>
        <v>53873</v>
      </c>
      <c r="B351" s="30">
        <f>IFERROR(VLOOKUP(A351, Data!$L$3:$N$123, 3),1)*Pension</f>
        <v>87979.393572296744</v>
      </c>
      <c r="C351" s="37">
        <f t="shared" si="65"/>
        <v>28.999315537303218</v>
      </c>
      <c r="D351" s="37">
        <f>IFERROR(VLOOKUP(A351,Data!$I$3:$J$1442,2),0)</f>
        <v>9.6483028999999998E-2</v>
      </c>
      <c r="E351" s="37">
        <f t="shared" si="66"/>
        <v>9.6283028999999992E-2</v>
      </c>
      <c r="F351" s="37">
        <f t="shared" si="71"/>
        <v>6.1289794226904046E-2</v>
      </c>
      <c r="G351" s="30">
        <f t="shared" si="72"/>
        <v>5392.2389282538716</v>
      </c>
      <c r="H351" s="38">
        <f t="shared" si="67"/>
        <v>124</v>
      </c>
      <c r="I351" s="39">
        <f t="shared" si="68"/>
        <v>124.62422997946612</v>
      </c>
      <c r="J351" s="40">
        <f t="shared" si="69"/>
        <v>29</v>
      </c>
      <c r="K351" s="43">
        <f>VLOOKUP(J351,Data!$Z$3:$AA$122,2)</f>
        <v>0</v>
      </c>
      <c r="L351" s="41">
        <f t="shared" si="70"/>
        <v>0.62422997946612213</v>
      </c>
      <c r="M351" s="43">
        <f>VLOOKUP(H351,Data!$P$3:$X$122,9)</f>
        <v>0</v>
      </c>
      <c r="N351" s="43">
        <f t="shared" si="73"/>
        <v>0</v>
      </c>
      <c r="O351" s="43">
        <f t="shared" si="74"/>
        <v>0</v>
      </c>
      <c r="P351" s="30">
        <f t="shared" si="75"/>
        <v>0</v>
      </c>
      <c r="Q351" s="31">
        <f t="shared" si="77"/>
        <v>848340.75061972369</v>
      </c>
    </row>
    <row r="352" spans="1:17" x14ac:dyDescent="0.25">
      <c r="A352" s="6">
        <f t="shared" si="76"/>
        <v>53904</v>
      </c>
      <c r="B352" s="30">
        <f>IFERROR(VLOOKUP(A352, Data!$L$3:$N$123, 3),1)*Pension</f>
        <v>87979.393572296744</v>
      </c>
      <c r="C352" s="37">
        <f t="shared" si="65"/>
        <v>29.084188911704313</v>
      </c>
      <c r="D352" s="37">
        <f>IFERROR(VLOOKUP(A352,Data!$I$3:$J$1442,2),0)</f>
        <v>9.6483687999999998E-2</v>
      </c>
      <c r="E352" s="37">
        <f t="shared" si="66"/>
        <v>9.6283687999999992E-2</v>
      </c>
      <c r="F352" s="37">
        <f t="shared" si="71"/>
        <v>6.0789818014094901E-2</v>
      </c>
      <c r="G352" s="30">
        <f t="shared" si="72"/>
        <v>5348.2513242503501</v>
      </c>
      <c r="H352" s="38">
        <f t="shared" si="67"/>
        <v>124</v>
      </c>
      <c r="I352" s="39">
        <f t="shared" si="68"/>
        <v>124.70910335386722</v>
      </c>
      <c r="J352" s="40">
        <f t="shared" si="69"/>
        <v>29</v>
      </c>
      <c r="K352" s="43">
        <f>VLOOKUP(J352,Data!$Z$3:$AA$122,2)</f>
        <v>0</v>
      </c>
      <c r="L352" s="41">
        <f t="shared" si="70"/>
        <v>0.70910335386722068</v>
      </c>
      <c r="M352" s="43">
        <f>VLOOKUP(H352,Data!$P$3:$X$122,9)</f>
        <v>0</v>
      </c>
      <c r="N352" s="43">
        <f t="shared" si="73"/>
        <v>0</v>
      </c>
      <c r="O352" s="43">
        <f t="shared" si="74"/>
        <v>0</v>
      </c>
      <c r="P352" s="30">
        <f t="shared" si="75"/>
        <v>0</v>
      </c>
      <c r="Q352" s="31">
        <f t="shared" si="77"/>
        <v>848340.75061972369</v>
      </c>
    </row>
    <row r="353" spans="1:17" x14ac:dyDescent="0.25">
      <c r="A353" s="6">
        <f t="shared" si="76"/>
        <v>53935</v>
      </c>
      <c r="B353" s="30">
        <f>IFERROR(VLOOKUP(A353, Data!$L$3:$N$123, 3),1)*Pension</f>
        <v>87979.393572296744</v>
      </c>
      <c r="C353" s="37">
        <f t="shared" si="65"/>
        <v>29.169062286105408</v>
      </c>
      <c r="D353" s="37">
        <f>IFERROR(VLOOKUP(A353,Data!$I$3:$J$1442,2),0)</f>
        <v>9.6484343E-2</v>
      </c>
      <c r="E353" s="37">
        <f t="shared" si="66"/>
        <v>9.6284342999999994E-2</v>
      </c>
      <c r="F353" s="37">
        <f t="shared" si="71"/>
        <v>6.0293920685919364E-2</v>
      </c>
      <c r="G353" s="30">
        <f t="shared" si="72"/>
        <v>5304.6225780433433</v>
      </c>
      <c r="H353" s="38">
        <f t="shared" si="67"/>
        <v>124</v>
      </c>
      <c r="I353" s="39">
        <f t="shared" si="68"/>
        <v>124.79397672826831</v>
      </c>
      <c r="J353" s="40">
        <f t="shared" si="69"/>
        <v>29</v>
      </c>
      <c r="K353" s="43">
        <f>VLOOKUP(J353,Data!$Z$3:$AA$122,2)</f>
        <v>0</v>
      </c>
      <c r="L353" s="41">
        <f t="shared" si="70"/>
        <v>0.79397672826830501</v>
      </c>
      <c r="M353" s="43">
        <f>VLOOKUP(H353,Data!$P$3:$X$122,9)</f>
        <v>0</v>
      </c>
      <c r="N353" s="43">
        <f t="shared" si="73"/>
        <v>0</v>
      </c>
      <c r="O353" s="43">
        <f t="shared" si="74"/>
        <v>0</v>
      </c>
      <c r="P353" s="30">
        <f t="shared" si="75"/>
        <v>0</v>
      </c>
      <c r="Q353" s="31">
        <f t="shared" si="77"/>
        <v>848340.75061972369</v>
      </c>
    </row>
    <row r="354" spans="1:17" x14ac:dyDescent="0.25">
      <c r="A354" s="6">
        <f t="shared" si="76"/>
        <v>53965</v>
      </c>
      <c r="B354" s="30">
        <f>IFERROR(VLOOKUP(A354, Data!$L$3:$N$123, 3),1)*Pension</f>
        <v>87979.393572296744</v>
      </c>
      <c r="C354" s="37">
        <f t="shared" si="65"/>
        <v>29.251197809719372</v>
      </c>
      <c r="D354" s="37">
        <f>IFERROR(VLOOKUP(A354,Data!$I$3:$J$1442,2),0)</f>
        <v>9.6485002E-2</v>
      </c>
      <c r="E354" s="37">
        <f t="shared" si="66"/>
        <v>9.6285001999999995E-2</v>
      </c>
      <c r="F354" s="37">
        <f t="shared" si="71"/>
        <v>5.9817821764295349E-2</v>
      </c>
      <c r="G354" s="30">
        <f t="shared" si="72"/>
        <v>5262.7356836384388</v>
      </c>
      <c r="H354" s="38">
        <f t="shared" si="67"/>
        <v>124</v>
      </c>
      <c r="I354" s="39">
        <f t="shared" si="68"/>
        <v>124.87611225188228</v>
      </c>
      <c r="J354" s="40">
        <f t="shared" si="69"/>
        <v>29</v>
      </c>
      <c r="K354" s="43">
        <f>VLOOKUP(J354,Data!$Z$3:$AA$122,2)</f>
        <v>0</v>
      </c>
      <c r="L354" s="41">
        <f t="shared" si="70"/>
        <v>0.87611225188227593</v>
      </c>
      <c r="M354" s="43">
        <f>VLOOKUP(H354,Data!$P$3:$X$122,9)</f>
        <v>0</v>
      </c>
      <c r="N354" s="43">
        <f t="shared" si="73"/>
        <v>0</v>
      </c>
      <c r="O354" s="43">
        <f t="shared" si="74"/>
        <v>0</v>
      </c>
      <c r="P354" s="30">
        <f t="shared" si="75"/>
        <v>0</v>
      </c>
      <c r="Q354" s="31">
        <f t="shared" si="77"/>
        <v>848340.75061972369</v>
      </c>
    </row>
    <row r="355" spans="1:17" x14ac:dyDescent="0.25">
      <c r="A355" s="6">
        <f t="shared" si="76"/>
        <v>53996</v>
      </c>
      <c r="B355" s="30">
        <f>IFERROR(VLOOKUP(A355, Data!$L$3:$N$123, 3),1)*Pension</f>
        <v>87979.393572296744</v>
      </c>
      <c r="C355" s="37">
        <f t="shared" si="65"/>
        <v>29.336071184120467</v>
      </c>
      <c r="D355" s="37">
        <f>IFERROR(VLOOKUP(A355,Data!$I$3:$J$1442,2),0)</f>
        <v>9.6486545000000007E-2</v>
      </c>
      <c r="E355" s="37">
        <f t="shared" si="66"/>
        <v>9.6286545000000001E-2</v>
      </c>
      <c r="F355" s="37">
        <f t="shared" si="71"/>
        <v>5.9328294911068349E-2</v>
      </c>
      <c r="G355" s="30">
        <f t="shared" si="72"/>
        <v>5219.6674079541726</v>
      </c>
      <c r="H355" s="38">
        <f t="shared" si="67"/>
        <v>124</v>
      </c>
      <c r="I355" s="39">
        <f t="shared" si="68"/>
        <v>124.96098562628337</v>
      </c>
      <c r="J355" s="40">
        <f t="shared" si="69"/>
        <v>29</v>
      </c>
      <c r="K355" s="43">
        <f>VLOOKUP(J355,Data!$Z$3:$AA$122,2)</f>
        <v>0</v>
      </c>
      <c r="L355" s="41">
        <f t="shared" si="70"/>
        <v>0.96098562628337447</v>
      </c>
      <c r="M355" s="43">
        <f>VLOOKUP(H355,Data!$P$3:$X$122,9)</f>
        <v>0</v>
      </c>
      <c r="N355" s="43">
        <f t="shared" si="73"/>
        <v>0</v>
      </c>
      <c r="O355" s="43">
        <f t="shared" si="74"/>
        <v>0</v>
      </c>
      <c r="P355" s="30">
        <f t="shared" si="75"/>
        <v>0</v>
      </c>
      <c r="Q355" s="31">
        <f t="shared" si="77"/>
        <v>848340.75061972369</v>
      </c>
    </row>
    <row r="356" spans="1:17" x14ac:dyDescent="0.25">
      <c r="A356" s="6">
        <f t="shared" si="76"/>
        <v>54026</v>
      </c>
      <c r="B356" s="30">
        <f>IFERROR(VLOOKUP(A356, Data!$L$3:$N$123, 3),1)*Pension</f>
        <v>87979.393572296744</v>
      </c>
      <c r="C356" s="37">
        <f t="shared" si="65"/>
        <v>29.418206707734427</v>
      </c>
      <c r="D356" s="37">
        <f>IFERROR(VLOOKUP(A356,Data!$I$3:$J$1442,2),0)</f>
        <v>9.6488030000000002E-2</v>
      </c>
      <c r="E356" s="37">
        <f t="shared" si="66"/>
        <v>9.6288029999999997E-2</v>
      </c>
      <c r="F356" s="37">
        <f t="shared" si="71"/>
        <v>5.8858373494431848E-2</v>
      </c>
      <c r="G356" s="30">
        <f t="shared" si="72"/>
        <v>5178.3240066918588</v>
      </c>
      <c r="H356" s="38">
        <f t="shared" si="67"/>
        <v>125</v>
      </c>
      <c r="I356" s="39">
        <f t="shared" si="68"/>
        <v>125.04312114989733</v>
      </c>
      <c r="J356" s="40">
        <f t="shared" si="69"/>
        <v>30</v>
      </c>
      <c r="K356" s="43">
        <f>VLOOKUP(J356,Data!$Z$3:$AA$122,2)</f>
        <v>0</v>
      </c>
      <c r="L356" s="41">
        <f t="shared" si="70"/>
        <v>4.3121149897331179E-2</v>
      </c>
      <c r="M356" s="43">
        <f>VLOOKUP(H356,Data!$P$3:$X$122,9)</f>
        <v>0</v>
      </c>
      <c r="N356" s="43">
        <f t="shared" si="73"/>
        <v>0</v>
      </c>
      <c r="O356" s="43">
        <f t="shared" si="74"/>
        <v>0</v>
      </c>
      <c r="P356" s="30">
        <f t="shared" si="75"/>
        <v>0</v>
      </c>
      <c r="Q356" s="31">
        <f t="shared" si="77"/>
        <v>848340.75061972369</v>
      </c>
    </row>
    <row r="357" spans="1:17" x14ac:dyDescent="0.25">
      <c r="A357" s="6">
        <f t="shared" si="76"/>
        <v>54057</v>
      </c>
      <c r="B357" s="30">
        <f>IFERROR(VLOOKUP(A357, Data!$L$3:$N$123, 3),1)*Pension</f>
        <v>92378.363250911556</v>
      </c>
      <c r="C357" s="37">
        <f t="shared" si="65"/>
        <v>29.503080082135522</v>
      </c>
      <c r="D357" s="37">
        <f>IFERROR(VLOOKUP(A357,Data!$I$3:$J$1442,2),0)</f>
        <v>9.6489506000000003E-2</v>
      </c>
      <c r="E357" s="37">
        <f t="shared" si="66"/>
        <v>9.6289505999999997E-2</v>
      </c>
      <c r="F357" s="37">
        <f t="shared" si="71"/>
        <v>5.8376783757441458E-2</v>
      </c>
      <c r="G357" s="30">
        <f t="shared" si="72"/>
        <v>5392.7517353648409</v>
      </c>
      <c r="H357" s="38">
        <f t="shared" si="67"/>
        <v>125</v>
      </c>
      <c r="I357" s="39">
        <f t="shared" si="68"/>
        <v>125.12799452429843</v>
      </c>
      <c r="J357" s="40">
        <f t="shared" si="69"/>
        <v>30</v>
      </c>
      <c r="K357" s="43">
        <f>VLOOKUP(J357,Data!$Z$3:$AA$122,2)</f>
        <v>0</v>
      </c>
      <c r="L357" s="41">
        <f t="shared" si="70"/>
        <v>0.12799452429842972</v>
      </c>
      <c r="M357" s="43">
        <f>VLOOKUP(H357,Data!$P$3:$X$122,9)</f>
        <v>0</v>
      </c>
      <c r="N357" s="43">
        <f t="shared" si="73"/>
        <v>0</v>
      </c>
      <c r="O357" s="43">
        <f t="shared" si="74"/>
        <v>0</v>
      </c>
      <c r="P357" s="30">
        <f t="shared" si="75"/>
        <v>0</v>
      </c>
      <c r="Q357" s="31">
        <f t="shared" si="77"/>
        <v>848340.75061972369</v>
      </c>
    </row>
    <row r="358" spans="1:17" x14ac:dyDescent="0.25">
      <c r="A358" s="6">
        <f t="shared" si="76"/>
        <v>54088</v>
      </c>
      <c r="B358" s="30">
        <f>IFERROR(VLOOKUP(A358, Data!$L$3:$N$123, 3),1)*Pension</f>
        <v>92378.363250911556</v>
      </c>
      <c r="C358" s="37">
        <f t="shared" si="65"/>
        <v>29.587953456536617</v>
      </c>
      <c r="D358" s="37">
        <f>IFERROR(VLOOKUP(A358,Data!$I$3:$J$1442,2),0)</f>
        <v>9.6490263000000007E-2</v>
      </c>
      <c r="E358" s="37">
        <f t="shared" si="66"/>
        <v>9.6290263000000001E-2</v>
      </c>
      <c r="F358" s="37">
        <f t="shared" si="71"/>
        <v>5.7900351711232097E-2</v>
      </c>
      <c r="G358" s="30">
        <f t="shared" si="72"/>
        <v>5348.7397227357369</v>
      </c>
      <c r="H358" s="38">
        <f t="shared" si="67"/>
        <v>125</v>
      </c>
      <c r="I358" s="39">
        <f t="shared" si="68"/>
        <v>125.21286789869951</v>
      </c>
      <c r="J358" s="40">
        <f t="shared" si="69"/>
        <v>30</v>
      </c>
      <c r="K358" s="43">
        <f>VLOOKUP(J358,Data!$Z$3:$AA$122,2)</f>
        <v>0</v>
      </c>
      <c r="L358" s="41">
        <f t="shared" si="70"/>
        <v>0.21286789869951406</v>
      </c>
      <c r="M358" s="43">
        <f>VLOOKUP(H358,Data!$P$3:$X$122,9)</f>
        <v>0</v>
      </c>
      <c r="N358" s="43">
        <f t="shared" si="73"/>
        <v>0</v>
      </c>
      <c r="O358" s="43">
        <f t="shared" si="74"/>
        <v>0</v>
      </c>
      <c r="P358" s="30">
        <f t="shared" si="75"/>
        <v>0</v>
      </c>
      <c r="Q358" s="31">
        <f t="shared" si="77"/>
        <v>848340.75061972369</v>
      </c>
    </row>
    <row r="359" spans="1:17" x14ac:dyDescent="0.25">
      <c r="A359" s="6">
        <f t="shared" si="76"/>
        <v>54117</v>
      </c>
      <c r="B359" s="30">
        <f>IFERROR(VLOOKUP(A359, Data!$L$3:$N$123, 3),1)*Pension</f>
        <v>92378.363250911556</v>
      </c>
      <c r="C359" s="37">
        <f t="shared" si="65"/>
        <v>29.66735112936345</v>
      </c>
      <c r="D359" s="37">
        <f>IFERROR(VLOOKUP(A359,Data!$I$3:$J$1442,2),0)</f>
        <v>9.6490965999999997E-2</v>
      </c>
      <c r="E359" s="37">
        <f t="shared" si="66"/>
        <v>9.6290965999999992E-2</v>
      </c>
      <c r="F359" s="37">
        <f t="shared" si="71"/>
        <v>5.7458180070856242E-2</v>
      </c>
      <c r="G359" s="30">
        <f t="shared" si="72"/>
        <v>5307.892630321845</v>
      </c>
      <c r="H359" s="38">
        <f t="shared" si="67"/>
        <v>125</v>
      </c>
      <c r="I359" s="39">
        <f t="shared" si="68"/>
        <v>125.29226557152636</v>
      </c>
      <c r="J359" s="40">
        <f t="shared" si="69"/>
        <v>30</v>
      </c>
      <c r="K359" s="43">
        <f>VLOOKUP(J359,Data!$Z$3:$AA$122,2)</f>
        <v>0</v>
      </c>
      <c r="L359" s="41">
        <f t="shared" si="70"/>
        <v>0.29226557152635735</v>
      </c>
      <c r="M359" s="43">
        <f>VLOOKUP(H359,Data!$P$3:$X$122,9)</f>
        <v>0</v>
      </c>
      <c r="N359" s="43">
        <f t="shared" si="73"/>
        <v>0</v>
      </c>
      <c r="O359" s="43">
        <f t="shared" si="74"/>
        <v>0</v>
      </c>
      <c r="P359" s="30">
        <f t="shared" si="75"/>
        <v>0</v>
      </c>
      <c r="Q359" s="31">
        <f t="shared" si="77"/>
        <v>848340.75061972369</v>
      </c>
    </row>
    <row r="360" spans="1:17" x14ac:dyDescent="0.25">
      <c r="A360" s="6">
        <f t="shared" si="76"/>
        <v>54148</v>
      </c>
      <c r="B360" s="30">
        <f>IFERROR(VLOOKUP(A360, Data!$L$3:$N$123, 3),1)*Pension</f>
        <v>92378.363250911556</v>
      </c>
      <c r="C360" s="37">
        <f t="shared" si="65"/>
        <v>29.752224503764545</v>
      </c>
      <c r="D360" s="37">
        <f>IFERROR(VLOOKUP(A360,Data!$I$3:$J$1442,2),0)</f>
        <v>9.6491769000000005E-2</v>
      </c>
      <c r="E360" s="37">
        <f t="shared" si="66"/>
        <v>9.6291768999999999E-2</v>
      </c>
      <c r="F360" s="37">
        <f t="shared" si="71"/>
        <v>5.6989152905943655E-2</v>
      </c>
      <c r="G360" s="30">
        <f t="shared" si="72"/>
        <v>5264.5646685070051</v>
      </c>
      <c r="H360" s="38">
        <f t="shared" si="67"/>
        <v>125</v>
      </c>
      <c r="I360" s="39">
        <f t="shared" si="68"/>
        <v>125.37713894592744</v>
      </c>
      <c r="J360" s="40">
        <f t="shared" si="69"/>
        <v>30</v>
      </c>
      <c r="K360" s="43">
        <f>VLOOKUP(J360,Data!$Z$3:$AA$122,2)</f>
        <v>0</v>
      </c>
      <c r="L360" s="41">
        <f t="shared" si="70"/>
        <v>0.37713894592744168</v>
      </c>
      <c r="M360" s="43">
        <f>VLOOKUP(H360,Data!$P$3:$X$122,9)</f>
        <v>0</v>
      </c>
      <c r="N360" s="43">
        <f t="shared" si="73"/>
        <v>0</v>
      </c>
      <c r="O360" s="43">
        <f t="shared" si="74"/>
        <v>0</v>
      </c>
      <c r="P360" s="30">
        <f t="shared" si="75"/>
        <v>0</v>
      </c>
      <c r="Q360" s="31">
        <f t="shared" si="77"/>
        <v>848340.75061972369</v>
      </c>
    </row>
    <row r="361" spans="1:17" x14ac:dyDescent="0.25">
      <c r="A361" s="6">
        <f t="shared" si="76"/>
        <v>54178</v>
      </c>
      <c r="B361" s="30">
        <f>IFERROR(VLOOKUP(A361, Data!$L$3:$N$123, 3),1)*Pension</f>
        <v>92378.363250911556</v>
      </c>
      <c r="C361" s="37">
        <f t="shared" si="65"/>
        <v>29.834360027378509</v>
      </c>
      <c r="D361" s="37">
        <f>IFERROR(VLOOKUP(A361,Data!$I$3:$J$1442,2),0)</f>
        <v>9.6493304000000002E-2</v>
      </c>
      <c r="E361" s="37">
        <f t="shared" si="66"/>
        <v>9.6293303999999996E-2</v>
      </c>
      <c r="F361" s="37">
        <f t="shared" si="71"/>
        <v>5.6537615586308598E-2</v>
      </c>
      <c r="G361" s="30">
        <f t="shared" si="72"/>
        <v>5222.852389972415</v>
      </c>
      <c r="H361" s="38">
        <f t="shared" si="67"/>
        <v>125</v>
      </c>
      <c r="I361" s="39">
        <f t="shared" si="68"/>
        <v>125.45927446954141</v>
      </c>
      <c r="J361" s="40">
        <f t="shared" si="69"/>
        <v>30</v>
      </c>
      <c r="K361" s="43">
        <f>VLOOKUP(J361,Data!$Z$3:$AA$122,2)</f>
        <v>0</v>
      </c>
      <c r="L361" s="41">
        <f t="shared" si="70"/>
        <v>0.4592744695414126</v>
      </c>
      <c r="M361" s="43">
        <f>VLOOKUP(H361,Data!$P$3:$X$122,9)</f>
        <v>0</v>
      </c>
      <c r="N361" s="43">
        <f t="shared" si="73"/>
        <v>0</v>
      </c>
      <c r="O361" s="43">
        <f t="shared" si="74"/>
        <v>0</v>
      </c>
      <c r="P361" s="30">
        <f t="shared" si="75"/>
        <v>0</v>
      </c>
      <c r="Q361" s="31">
        <f t="shared" si="77"/>
        <v>848340.75061972369</v>
      </c>
    </row>
    <row r="362" spans="1:17" x14ac:dyDescent="0.25">
      <c r="A362" s="6">
        <f t="shared" si="76"/>
        <v>54209</v>
      </c>
      <c r="B362" s="30">
        <f>IFERROR(VLOOKUP(A362, Data!$L$3:$N$123, 3),1)*Pension</f>
        <v>92378.363250911556</v>
      </c>
      <c r="C362" s="37">
        <f t="shared" si="65"/>
        <v>29.919233401779604</v>
      </c>
      <c r="D362" s="37">
        <f>IFERROR(VLOOKUP(A362,Data!$I$3:$J$1442,2),0)</f>
        <v>9.6494881000000005E-2</v>
      </c>
      <c r="E362" s="37">
        <f t="shared" si="66"/>
        <v>9.6294880999999999E-2</v>
      </c>
      <c r="F362" s="37">
        <f t="shared" si="71"/>
        <v>5.6074785712055257E-2</v>
      </c>
      <c r="G362" s="30">
        <f t="shared" si="72"/>
        <v>5180.0969237252657</v>
      </c>
      <c r="H362" s="38">
        <f t="shared" si="67"/>
        <v>125</v>
      </c>
      <c r="I362" s="39">
        <f t="shared" si="68"/>
        <v>125.54414784394251</v>
      </c>
      <c r="J362" s="40">
        <f t="shared" si="69"/>
        <v>30</v>
      </c>
      <c r="K362" s="43">
        <f>VLOOKUP(J362,Data!$Z$3:$AA$122,2)</f>
        <v>0</v>
      </c>
      <c r="L362" s="41">
        <f t="shared" si="70"/>
        <v>0.54414784394251114</v>
      </c>
      <c r="M362" s="43">
        <f>VLOOKUP(H362,Data!$P$3:$X$122,9)</f>
        <v>0</v>
      </c>
      <c r="N362" s="43">
        <f t="shared" si="73"/>
        <v>0</v>
      </c>
      <c r="O362" s="43">
        <f t="shared" si="74"/>
        <v>0</v>
      </c>
      <c r="P362" s="30">
        <f t="shared" si="75"/>
        <v>0</v>
      </c>
      <c r="Q362" s="31">
        <f t="shared" si="77"/>
        <v>848340.75061972369</v>
      </c>
    </row>
    <row r="363" spans="1:17" x14ac:dyDescent="0.25">
      <c r="A363" s="6">
        <f t="shared" si="76"/>
        <v>54239</v>
      </c>
      <c r="B363" s="30">
        <f>IFERROR(VLOOKUP(A363, Data!$L$3:$N$123, 3),1)*Pension</f>
        <v>92378.363250911556</v>
      </c>
      <c r="C363" s="37">
        <f t="shared" si="65"/>
        <v>30.001368925393567</v>
      </c>
      <c r="D363" s="37">
        <f>IFERROR(VLOOKUP(A363,Data!$I$3:$J$1442,2),0)</f>
        <v>9.6493931000000005E-2</v>
      </c>
      <c r="E363" s="37">
        <f t="shared" si="66"/>
        <v>9.6293930999999999E-2</v>
      </c>
      <c r="F363" s="37">
        <f t="shared" si="71"/>
        <v>5.5634612234585608E-2</v>
      </c>
      <c r="G363" s="30">
        <f t="shared" si="72"/>
        <v>5139.4344183301573</v>
      </c>
      <c r="H363" s="38">
        <f t="shared" si="67"/>
        <v>125</v>
      </c>
      <c r="I363" s="39">
        <f t="shared" si="68"/>
        <v>125.62628336755647</v>
      </c>
      <c r="J363" s="40">
        <f t="shared" si="69"/>
        <v>30</v>
      </c>
      <c r="K363" s="43">
        <f>VLOOKUP(J363,Data!$Z$3:$AA$122,2)</f>
        <v>0</v>
      </c>
      <c r="L363" s="41">
        <f t="shared" si="70"/>
        <v>0.62628336755646785</v>
      </c>
      <c r="M363" s="43">
        <f>VLOOKUP(H363,Data!$P$3:$X$122,9)</f>
        <v>0</v>
      </c>
      <c r="N363" s="43">
        <f t="shared" si="73"/>
        <v>0</v>
      </c>
      <c r="O363" s="43">
        <f t="shared" si="74"/>
        <v>0</v>
      </c>
      <c r="P363" s="30">
        <f t="shared" si="75"/>
        <v>0</v>
      </c>
      <c r="Q363" s="31">
        <f t="shared" si="77"/>
        <v>848340.75061972369</v>
      </c>
    </row>
    <row r="364" spans="1:17" x14ac:dyDescent="0.25">
      <c r="A364" s="6">
        <f t="shared" si="76"/>
        <v>54270</v>
      </c>
      <c r="B364" s="30">
        <f>IFERROR(VLOOKUP(A364, Data!$L$3:$N$123, 3),1)*Pension</f>
        <v>92378.363250911556</v>
      </c>
      <c r="C364" s="37">
        <f t="shared" si="65"/>
        <v>30.086242299794662</v>
      </c>
      <c r="D364" s="37">
        <f>IFERROR(VLOOKUP(A364,Data!$I$3:$J$1442,2),0)</f>
        <v>9.6419197999999998E-2</v>
      </c>
      <c r="E364" s="37">
        <f t="shared" si="66"/>
        <v>9.6219197999999992E-2</v>
      </c>
      <c r="F364" s="37">
        <f t="shared" si="71"/>
        <v>5.5305987408135457E-2</v>
      </c>
      <c r="G364" s="30">
        <f t="shared" si="72"/>
        <v>5109.0765947390773</v>
      </c>
      <c r="H364" s="38">
        <f t="shared" si="67"/>
        <v>125</v>
      </c>
      <c r="I364" s="39">
        <f t="shared" si="68"/>
        <v>125.71115674195757</v>
      </c>
      <c r="J364" s="40">
        <f t="shared" si="69"/>
        <v>30</v>
      </c>
      <c r="K364" s="43">
        <f>VLOOKUP(J364,Data!$Z$3:$AA$122,2)</f>
        <v>0</v>
      </c>
      <c r="L364" s="41">
        <f t="shared" si="70"/>
        <v>0.7111567419575664</v>
      </c>
      <c r="M364" s="43">
        <f>VLOOKUP(H364,Data!$P$3:$X$122,9)</f>
        <v>0</v>
      </c>
      <c r="N364" s="43">
        <f t="shared" si="73"/>
        <v>0</v>
      </c>
      <c r="O364" s="43">
        <f t="shared" si="74"/>
        <v>0</v>
      </c>
      <c r="P364" s="30">
        <f t="shared" si="75"/>
        <v>0</v>
      </c>
      <c r="Q364" s="31">
        <f t="shared" si="77"/>
        <v>848340.75061972369</v>
      </c>
    </row>
    <row r="365" spans="1:17" x14ac:dyDescent="0.25">
      <c r="A365" s="6">
        <f t="shared" si="76"/>
        <v>54301</v>
      </c>
      <c r="B365" s="30">
        <f>IFERROR(VLOOKUP(A365, Data!$L$3:$N$123, 3),1)*Pension</f>
        <v>92378.363250911556</v>
      </c>
      <c r="C365" s="37">
        <f t="shared" si="65"/>
        <v>30.171115674195757</v>
      </c>
      <c r="D365" s="37">
        <f>IFERROR(VLOOKUP(A365,Data!$I$3:$J$1442,2),0)</f>
        <v>9.6344886000000005E-2</v>
      </c>
      <c r="E365" s="37">
        <f t="shared" si="66"/>
        <v>9.6144885999999999E-2</v>
      </c>
      <c r="F365" s="37">
        <f t="shared" si="71"/>
        <v>5.4979302817152291E-2</v>
      </c>
      <c r="G365" s="30">
        <f t="shared" si="72"/>
        <v>5078.8980069247591</v>
      </c>
      <c r="H365" s="38">
        <f t="shared" si="67"/>
        <v>125</v>
      </c>
      <c r="I365" s="39">
        <f t="shared" si="68"/>
        <v>125.79603011635866</v>
      </c>
      <c r="J365" s="40">
        <f t="shared" si="69"/>
        <v>30</v>
      </c>
      <c r="K365" s="43">
        <f>VLOOKUP(J365,Data!$Z$3:$AA$122,2)</f>
        <v>0</v>
      </c>
      <c r="L365" s="41">
        <f t="shared" si="70"/>
        <v>0.79603011635866494</v>
      </c>
      <c r="M365" s="43">
        <f>VLOOKUP(H365,Data!$P$3:$X$122,9)</f>
        <v>0</v>
      </c>
      <c r="N365" s="43">
        <f t="shared" si="73"/>
        <v>0</v>
      </c>
      <c r="O365" s="43">
        <f t="shared" si="74"/>
        <v>0</v>
      </c>
      <c r="P365" s="30">
        <f t="shared" si="75"/>
        <v>0</v>
      </c>
      <c r="Q365" s="31">
        <f t="shared" si="77"/>
        <v>848340.75061972369</v>
      </c>
    </row>
    <row r="366" spans="1:17" x14ac:dyDescent="0.25">
      <c r="A366" s="6">
        <f t="shared" si="76"/>
        <v>54331</v>
      </c>
      <c r="B366" s="30">
        <f>IFERROR(VLOOKUP(A366, Data!$L$3:$N$123, 3),1)*Pension</f>
        <v>92378.363250911556</v>
      </c>
      <c r="C366" s="37">
        <f t="shared" si="65"/>
        <v>30.253251197809718</v>
      </c>
      <c r="D366" s="37">
        <f>IFERROR(VLOOKUP(A366,Data!$I$3:$J$1442,2),0)</f>
        <v>9.6273367999999998E-2</v>
      </c>
      <c r="E366" s="37">
        <f t="shared" si="66"/>
        <v>9.6073367999999992E-2</v>
      </c>
      <c r="F366" s="37">
        <f t="shared" si="71"/>
        <v>5.4664994127452807E-2</v>
      </c>
      <c r="G366" s="30">
        <f t="shared" si="72"/>
        <v>5049.8626846147827</v>
      </c>
      <c r="H366" s="38">
        <f t="shared" si="67"/>
        <v>125</v>
      </c>
      <c r="I366" s="39">
        <f t="shared" si="68"/>
        <v>125.87816563997262</v>
      </c>
      <c r="J366" s="40">
        <f t="shared" si="69"/>
        <v>30</v>
      </c>
      <c r="K366" s="43">
        <f>VLOOKUP(J366,Data!$Z$3:$AA$122,2)</f>
        <v>0</v>
      </c>
      <c r="L366" s="41">
        <f t="shared" si="70"/>
        <v>0.87816563997262165</v>
      </c>
      <c r="M366" s="43">
        <f>VLOOKUP(H366,Data!$P$3:$X$122,9)</f>
        <v>0</v>
      </c>
      <c r="N366" s="43">
        <f t="shared" si="73"/>
        <v>0</v>
      </c>
      <c r="O366" s="43">
        <f t="shared" si="74"/>
        <v>0</v>
      </c>
      <c r="P366" s="30">
        <f t="shared" si="75"/>
        <v>0</v>
      </c>
      <c r="Q366" s="31">
        <f t="shared" si="77"/>
        <v>848340.75061972369</v>
      </c>
    </row>
    <row r="367" spans="1:17" x14ac:dyDescent="0.25">
      <c r="A367" s="6">
        <f t="shared" si="76"/>
        <v>54362</v>
      </c>
      <c r="B367" s="30">
        <f>IFERROR(VLOOKUP(A367, Data!$L$3:$N$123, 3),1)*Pension</f>
        <v>92378.363250911556</v>
      </c>
      <c r="C367" s="37">
        <f t="shared" si="65"/>
        <v>30.338124572210816</v>
      </c>
      <c r="D367" s="37">
        <f>IFERROR(VLOOKUP(A367,Data!$I$3:$J$1442,2),0)</f>
        <v>9.6199873000000005E-2</v>
      </c>
      <c r="E367" s="37">
        <f t="shared" si="66"/>
        <v>9.5999872999999999E-2</v>
      </c>
      <c r="F367" s="37">
        <f t="shared" si="71"/>
        <v>5.4342095879525487E-2</v>
      </c>
      <c r="G367" s="30">
        <f t="shared" si="72"/>
        <v>5020.03387297467</v>
      </c>
      <c r="H367" s="38">
        <f t="shared" si="67"/>
        <v>125</v>
      </c>
      <c r="I367" s="39">
        <f t="shared" si="68"/>
        <v>125.96303901437372</v>
      </c>
      <c r="J367" s="40">
        <f t="shared" si="69"/>
        <v>30</v>
      </c>
      <c r="K367" s="43">
        <f>VLOOKUP(J367,Data!$Z$3:$AA$122,2)</f>
        <v>0</v>
      </c>
      <c r="L367" s="41">
        <f t="shared" si="70"/>
        <v>0.96303901437372019</v>
      </c>
      <c r="M367" s="43">
        <f>VLOOKUP(H367,Data!$P$3:$X$122,9)</f>
        <v>0</v>
      </c>
      <c r="N367" s="43">
        <f t="shared" si="73"/>
        <v>0</v>
      </c>
      <c r="O367" s="43">
        <f t="shared" si="74"/>
        <v>0</v>
      </c>
      <c r="P367" s="30">
        <f t="shared" si="75"/>
        <v>0</v>
      </c>
      <c r="Q367" s="31">
        <f t="shared" si="77"/>
        <v>848340.75061972369</v>
      </c>
    </row>
    <row r="368" spans="1:17" x14ac:dyDescent="0.25">
      <c r="A368" s="6">
        <f t="shared" si="76"/>
        <v>54392</v>
      </c>
      <c r="B368" s="30">
        <f>IFERROR(VLOOKUP(A368, Data!$L$3:$N$123, 3),1)*Pension</f>
        <v>92378.363250911556</v>
      </c>
      <c r="C368" s="37">
        <f t="shared" si="65"/>
        <v>30.420260095824776</v>
      </c>
      <c r="D368" s="37">
        <f>IFERROR(VLOOKUP(A368,Data!$I$3:$J$1442,2),0)</f>
        <v>9.6129139000000002E-2</v>
      </c>
      <c r="E368" s="37">
        <f t="shared" si="66"/>
        <v>9.5929138999999997E-2</v>
      </c>
      <c r="F368" s="37">
        <f t="shared" si="71"/>
        <v>5.4031430299882943E-2</v>
      </c>
      <c r="G368" s="30">
        <f t="shared" si="72"/>
        <v>4991.3350952088958</v>
      </c>
      <c r="H368" s="38">
        <f t="shared" si="67"/>
        <v>126</v>
      </c>
      <c r="I368" s="39">
        <f t="shared" si="68"/>
        <v>126.04517453798768</v>
      </c>
      <c r="J368" s="40">
        <f t="shared" si="69"/>
        <v>31</v>
      </c>
      <c r="K368" s="43">
        <f>VLOOKUP(J368,Data!$Z$3:$AA$122,2)</f>
        <v>0</v>
      </c>
      <c r="L368" s="41">
        <f t="shared" si="70"/>
        <v>4.5174537987676899E-2</v>
      </c>
      <c r="M368" s="43">
        <f>VLOOKUP(H368,Data!$P$3:$X$122,9)</f>
        <v>0</v>
      </c>
      <c r="N368" s="43">
        <f t="shared" si="73"/>
        <v>0</v>
      </c>
      <c r="O368" s="43">
        <f t="shared" si="74"/>
        <v>0</v>
      </c>
      <c r="P368" s="30">
        <f t="shared" si="75"/>
        <v>0</v>
      </c>
      <c r="Q368" s="31">
        <f t="shared" si="77"/>
        <v>848340.75061972369</v>
      </c>
    </row>
    <row r="369" spans="1:17" x14ac:dyDescent="0.25">
      <c r="A369" s="6">
        <f t="shared" si="76"/>
        <v>54423</v>
      </c>
      <c r="B369" s="30">
        <f>IFERROR(VLOOKUP(A369, Data!$L$3:$N$123, 3),1)*Pension</f>
        <v>96997.281413457167</v>
      </c>
      <c r="C369" s="37">
        <f t="shared" si="65"/>
        <v>30.505133470225871</v>
      </c>
      <c r="D369" s="37">
        <f>IFERROR(VLOOKUP(A369,Data!$I$3:$J$1442,2),0)</f>
        <v>9.6056447000000003E-2</v>
      </c>
      <c r="E369" s="37">
        <f t="shared" si="66"/>
        <v>9.5856446999999997E-2</v>
      </c>
      <c r="F369" s="37">
        <f t="shared" si="71"/>
        <v>5.3712275491049073E-2</v>
      </c>
      <c r="G369" s="30">
        <f t="shared" si="72"/>
        <v>5209.9447011624252</v>
      </c>
      <c r="H369" s="38">
        <f t="shared" si="67"/>
        <v>126</v>
      </c>
      <c r="I369" s="39">
        <f t="shared" si="68"/>
        <v>126.13004791238878</v>
      </c>
      <c r="J369" s="40">
        <f t="shared" si="69"/>
        <v>31</v>
      </c>
      <c r="K369" s="43">
        <f>VLOOKUP(J369,Data!$Z$3:$AA$122,2)</f>
        <v>0</v>
      </c>
      <c r="L369" s="41">
        <f t="shared" si="70"/>
        <v>0.13004791238877544</v>
      </c>
      <c r="M369" s="43">
        <f>VLOOKUP(H369,Data!$P$3:$X$122,9)</f>
        <v>0</v>
      </c>
      <c r="N369" s="43">
        <f t="shared" si="73"/>
        <v>0</v>
      </c>
      <c r="O369" s="43">
        <f t="shared" si="74"/>
        <v>0</v>
      </c>
      <c r="P369" s="30">
        <f t="shared" si="75"/>
        <v>0</v>
      </c>
      <c r="Q369" s="31">
        <f t="shared" si="77"/>
        <v>848340.75061972369</v>
      </c>
    </row>
    <row r="370" spans="1:17" x14ac:dyDescent="0.25">
      <c r="A370" s="6">
        <f t="shared" si="76"/>
        <v>54454</v>
      </c>
      <c r="B370" s="30">
        <f>IFERROR(VLOOKUP(A370, Data!$L$3:$N$123, 3),1)*Pension</f>
        <v>96997.281413457167</v>
      </c>
      <c r="C370" s="37">
        <f t="shared" si="65"/>
        <v>30.590006844626966</v>
      </c>
      <c r="D370" s="37">
        <f>IFERROR(VLOOKUP(A370,Data!$I$3:$J$1442,2),0)</f>
        <v>9.5984158999999999E-2</v>
      </c>
      <c r="E370" s="37">
        <f t="shared" si="66"/>
        <v>9.5784158999999994E-2</v>
      </c>
      <c r="F370" s="37">
        <f t="shared" si="71"/>
        <v>5.3395004855837168E-2</v>
      </c>
      <c r="G370" s="30">
        <f t="shared" si="72"/>
        <v>5179.1703120745497</v>
      </c>
      <c r="H370" s="38">
        <f t="shared" si="67"/>
        <v>126</v>
      </c>
      <c r="I370" s="39">
        <f t="shared" si="68"/>
        <v>126.21492128678987</v>
      </c>
      <c r="J370" s="40">
        <f t="shared" si="69"/>
        <v>31</v>
      </c>
      <c r="K370" s="43">
        <f>VLOOKUP(J370,Data!$Z$3:$AA$122,2)</f>
        <v>0</v>
      </c>
      <c r="L370" s="41">
        <f t="shared" si="70"/>
        <v>0.21492128678987399</v>
      </c>
      <c r="M370" s="43">
        <f>VLOOKUP(H370,Data!$P$3:$X$122,9)</f>
        <v>0</v>
      </c>
      <c r="N370" s="43">
        <f t="shared" si="73"/>
        <v>0</v>
      </c>
      <c r="O370" s="43">
        <f t="shared" si="74"/>
        <v>0</v>
      </c>
      <c r="P370" s="30">
        <f t="shared" si="75"/>
        <v>0</v>
      </c>
      <c r="Q370" s="31">
        <f t="shared" si="77"/>
        <v>848340.75061972369</v>
      </c>
    </row>
    <row r="371" spans="1:17" x14ac:dyDescent="0.25">
      <c r="A371" s="6">
        <f t="shared" si="76"/>
        <v>54482</v>
      </c>
      <c r="B371" s="30">
        <f>IFERROR(VLOOKUP(A371, Data!$L$3:$N$123, 3),1)*Pension</f>
        <v>96997.281413457167</v>
      </c>
      <c r="C371" s="37">
        <f t="shared" si="65"/>
        <v>30.666666666666668</v>
      </c>
      <c r="D371" s="37">
        <f>IFERROR(VLOOKUP(A371,Data!$I$3:$J$1442,2),0)</f>
        <v>9.5919210000000005E-2</v>
      </c>
      <c r="E371" s="37">
        <f t="shared" si="66"/>
        <v>9.5719209999999999E-2</v>
      </c>
      <c r="F371" s="37">
        <f t="shared" si="71"/>
        <v>5.3110049810891895E-2</v>
      </c>
      <c r="G371" s="30">
        <f t="shared" si="72"/>
        <v>5151.5304473898086</v>
      </c>
      <c r="H371" s="38">
        <f t="shared" si="67"/>
        <v>126</v>
      </c>
      <c r="I371" s="39">
        <f t="shared" si="68"/>
        <v>126.29158110882958</v>
      </c>
      <c r="J371" s="40">
        <f t="shared" si="69"/>
        <v>31</v>
      </c>
      <c r="K371" s="43">
        <f>VLOOKUP(J371,Data!$Z$3:$AA$122,2)</f>
        <v>0</v>
      </c>
      <c r="L371" s="41">
        <f t="shared" si="70"/>
        <v>0.29158110882957544</v>
      </c>
      <c r="M371" s="43">
        <f>VLOOKUP(H371,Data!$P$3:$X$122,9)</f>
        <v>0</v>
      </c>
      <c r="N371" s="43">
        <f t="shared" si="73"/>
        <v>0</v>
      </c>
      <c r="O371" s="43">
        <f t="shared" si="74"/>
        <v>0</v>
      </c>
      <c r="P371" s="30">
        <f t="shared" si="75"/>
        <v>0</v>
      </c>
      <c r="Q371" s="31">
        <f t="shared" si="77"/>
        <v>848340.75061972369</v>
      </c>
    </row>
    <row r="372" spans="1:17" x14ac:dyDescent="0.25">
      <c r="A372" s="6">
        <f t="shared" si="76"/>
        <v>54513</v>
      </c>
      <c r="B372" s="30">
        <f>IFERROR(VLOOKUP(A372, Data!$L$3:$N$123, 3),1)*Pension</f>
        <v>96997.281413457167</v>
      </c>
      <c r="C372" s="37">
        <f t="shared" si="65"/>
        <v>30.751540041067763</v>
      </c>
      <c r="D372" s="37">
        <f>IFERROR(VLOOKUP(A372,Data!$I$3:$J$1442,2),0)</f>
        <v>9.5847680000000005E-2</v>
      </c>
      <c r="E372" s="37">
        <f t="shared" si="66"/>
        <v>9.5647679999999999E-2</v>
      </c>
      <c r="F372" s="37">
        <f t="shared" si="71"/>
        <v>5.279633722814573E-2</v>
      </c>
      <c r="G372" s="30">
        <f t="shared" si="72"/>
        <v>5121.1011797182364</v>
      </c>
      <c r="H372" s="38">
        <f t="shared" si="67"/>
        <v>126</v>
      </c>
      <c r="I372" s="39">
        <f t="shared" si="68"/>
        <v>126.37645448323066</v>
      </c>
      <c r="J372" s="40">
        <f t="shared" si="69"/>
        <v>31</v>
      </c>
      <c r="K372" s="43">
        <f>VLOOKUP(J372,Data!$Z$3:$AA$122,2)</f>
        <v>0</v>
      </c>
      <c r="L372" s="41">
        <f t="shared" si="70"/>
        <v>0.37645448323065978</v>
      </c>
      <c r="M372" s="43">
        <f>VLOOKUP(H372,Data!$P$3:$X$122,9)</f>
        <v>0</v>
      </c>
      <c r="N372" s="43">
        <f t="shared" si="73"/>
        <v>0</v>
      </c>
      <c r="O372" s="43">
        <f t="shared" si="74"/>
        <v>0</v>
      </c>
      <c r="P372" s="30">
        <f t="shared" si="75"/>
        <v>0</v>
      </c>
      <c r="Q372" s="31">
        <f t="shared" si="77"/>
        <v>848340.75061972369</v>
      </c>
    </row>
    <row r="373" spans="1:17" x14ac:dyDescent="0.25">
      <c r="A373" s="6">
        <f t="shared" si="76"/>
        <v>54543</v>
      </c>
      <c r="B373" s="30">
        <f>IFERROR(VLOOKUP(A373, Data!$L$3:$N$123, 3),1)*Pension</f>
        <v>96997.281413457167</v>
      </c>
      <c r="C373" s="37">
        <f t="shared" si="65"/>
        <v>30.833675564681723</v>
      </c>
      <c r="D373" s="37">
        <f>IFERROR(VLOOKUP(A373,Data!$I$3:$J$1442,2),0)</f>
        <v>9.5778831999999994E-2</v>
      </c>
      <c r="E373" s="37">
        <f t="shared" si="66"/>
        <v>9.5578831999999989E-2</v>
      </c>
      <c r="F373" s="37">
        <f t="shared" si="71"/>
        <v>5.2494509451006352E-2</v>
      </c>
      <c r="G373" s="30">
        <f t="shared" si="72"/>
        <v>5091.8247058806501</v>
      </c>
      <c r="H373" s="38">
        <f t="shared" si="67"/>
        <v>126</v>
      </c>
      <c r="I373" s="39">
        <f t="shared" si="68"/>
        <v>126.45859000684463</v>
      </c>
      <c r="J373" s="40">
        <f t="shared" si="69"/>
        <v>31</v>
      </c>
      <c r="K373" s="43">
        <f>VLOOKUP(J373,Data!$Z$3:$AA$122,2)</f>
        <v>0</v>
      </c>
      <c r="L373" s="41">
        <f t="shared" si="70"/>
        <v>0.45859000684463069</v>
      </c>
      <c r="M373" s="43">
        <f>VLOOKUP(H373,Data!$P$3:$X$122,9)</f>
        <v>0</v>
      </c>
      <c r="N373" s="43">
        <f t="shared" si="73"/>
        <v>0</v>
      </c>
      <c r="O373" s="43">
        <f t="shared" si="74"/>
        <v>0</v>
      </c>
      <c r="P373" s="30">
        <f t="shared" si="75"/>
        <v>0</v>
      </c>
      <c r="Q373" s="31">
        <f t="shared" si="77"/>
        <v>848340.75061972369</v>
      </c>
    </row>
    <row r="374" spans="1:17" x14ac:dyDescent="0.25">
      <c r="A374" s="6">
        <f t="shared" si="76"/>
        <v>54574</v>
      </c>
      <c r="B374" s="30">
        <f>IFERROR(VLOOKUP(A374, Data!$L$3:$N$123, 3),1)*Pension</f>
        <v>96997.281413457167</v>
      </c>
      <c r="C374" s="37">
        <f t="shared" si="65"/>
        <v>30.918548939082822</v>
      </c>
      <c r="D374" s="37">
        <f>IFERROR(VLOOKUP(A374,Data!$I$3:$J$1442,2),0)</f>
        <v>9.5708074000000004E-2</v>
      </c>
      <c r="E374" s="37">
        <f t="shared" si="66"/>
        <v>9.5508073999999998E-2</v>
      </c>
      <c r="F374" s="37">
        <f t="shared" si="71"/>
        <v>5.218443231710157E-2</v>
      </c>
      <c r="G374" s="30">
        <f t="shared" si="72"/>
        <v>5061.7480668634098</v>
      </c>
      <c r="H374" s="38">
        <f t="shared" si="67"/>
        <v>126</v>
      </c>
      <c r="I374" s="39">
        <f t="shared" si="68"/>
        <v>126.54346338124572</v>
      </c>
      <c r="J374" s="40">
        <f t="shared" si="69"/>
        <v>31</v>
      </c>
      <c r="K374" s="43">
        <f>VLOOKUP(J374,Data!$Z$3:$AA$122,2)</f>
        <v>0</v>
      </c>
      <c r="L374" s="41">
        <f t="shared" si="70"/>
        <v>0.54346338124571503</v>
      </c>
      <c r="M374" s="43">
        <f>VLOOKUP(H374,Data!$P$3:$X$122,9)</f>
        <v>0</v>
      </c>
      <c r="N374" s="43">
        <f t="shared" si="73"/>
        <v>0</v>
      </c>
      <c r="O374" s="43">
        <f t="shared" si="74"/>
        <v>0</v>
      </c>
      <c r="P374" s="30">
        <f t="shared" si="75"/>
        <v>0</v>
      </c>
      <c r="Q374" s="31">
        <f t="shared" si="77"/>
        <v>848340.75061972369</v>
      </c>
    </row>
    <row r="375" spans="1:17" x14ac:dyDescent="0.25">
      <c r="A375" s="6">
        <f t="shared" si="76"/>
        <v>54604</v>
      </c>
      <c r="B375" s="30">
        <f>IFERROR(VLOOKUP(A375, Data!$L$3:$N$123, 3),1)*Pension</f>
        <v>96997.281413457167</v>
      </c>
      <c r="C375" s="37">
        <f t="shared" si="65"/>
        <v>31.000684462696782</v>
      </c>
      <c r="D375" s="37">
        <f>IFERROR(VLOOKUP(A375,Data!$I$3:$J$1442,2),0)</f>
        <v>9.5639967000000006E-2</v>
      </c>
      <c r="E375" s="37">
        <f t="shared" si="66"/>
        <v>9.5439967000000001E-2</v>
      </c>
      <c r="F375" s="37">
        <f t="shared" si="71"/>
        <v>5.1886102351480452E-2</v>
      </c>
      <c r="G375" s="30">
        <f t="shared" si="72"/>
        <v>5032.8108712339908</v>
      </c>
      <c r="H375" s="38">
        <f t="shared" si="67"/>
        <v>126</v>
      </c>
      <c r="I375" s="39">
        <f t="shared" si="68"/>
        <v>126.62559890485969</v>
      </c>
      <c r="J375" s="40">
        <f t="shared" si="69"/>
        <v>31</v>
      </c>
      <c r="K375" s="43">
        <f>VLOOKUP(J375,Data!$Z$3:$AA$122,2)</f>
        <v>0</v>
      </c>
      <c r="L375" s="41">
        <f t="shared" si="70"/>
        <v>0.62559890485968594</v>
      </c>
      <c r="M375" s="43">
        <f>VLOOKUP(H375,Data!$P$3:$X$122,9)</f>
        <v>0</v>
      </c>
      <c r="N375" s="43">
        <f t="shared" si="73"/>
        <v>0</v>
      </c>
      <c r="O375" s="43">
        <f t="shared" si="74"/>
        <v>0</v>
      </c>
      <c r="P375" s="30">
        <f t="shared" si="75"/>
        <v>0</v>
      </c>
      <c r="Q375" s="31">
        <f t="shared" si="77"/>
        <v>848340.75061972369</v>
      </c>
    </row>
    <row r="376" spans="1:17" x14ac:dyDescent="0.25">
      <c r="A376" s="6">
        <f t="shared" si="76"/>
        <v>54635</v>
      </c>
      <c r="B376" s="30">
        <f>IFERROR(VLOOKUP(A376, Data!$L$3:$N$123, 3),1)*Pension</f>
        <v>96997.281413457167</v>
      </c>
      <c r="C376" s="37">
        <f t="shared" si="65"/>
        <v>31.085557837097877</v>
      </c>
      <c r="D376" s="37">
        <f>IFERROR(VLOOKUP(A376,Data!$I$3:$J$1442,2),0)</f>
        <v>9.5569968000000005E-2</v>
      </c>
      <c r="E376" s="37">
        <f t="shared" si="66"/>
        <v>9.5369967999999999E-2</v>
      </c>
      <c r="F376" s="37">
        <f t="shared" si="71"/>
        <v>5.1579619461843543E-2</v>
      </c>
      <c r="G376" s="30">
        <f t="shared" si="72"/>
        <v>5003.0828641394701</v>
      </c>
      <c r="H376" s="38">
        <f t="shared" si="67"/>
        <v>126</v>
      </c>
      <c r="I376" s="39">
        <f t="shared" si="68"/>
        <v>126.71047227926078</v>
      </c>
      <c r="J376" s="40">
        <f t="shared" si="69"/>
        <v>31</v>
      </c>
      <c r="K376" s="43">
        <f>VLOOKUP(J376,Data!$Z$3:$AA$122,2)</f>
        <v>0</v>
      </c>
      <c r="L376" s="41">
        <f t="shared" si="70"/>
        <v>0.71047227926078449</v>
      </c>
      <c r="M376" s="43">
        <f>VLOOKUP(H376,Data!$P$3:$X$122,9)</f>
        <v>0</v>
      </c>
      <c r="N376" s="43">
        <f t="shared" si="73"/>
        <v>0</v>
      </c>
      <c r="O376" s="43">
        <f t="shared" si="74"/>
        <v>0</v>
      </c>
      <c r="P376" s="30">
        <f t="shared" si="75"/>
        <v>0</v>
      </c>
      <c r="Q376" s="31">
        <f t="shared" si="77"/>
        <v>848340.75061972369</v>
      </c>
    </row>
    <row r="377" spans="1:17" x14ac:dyDescent="0.25">
      <c r="A377" s="6">
        <f t="shared" si="76"/>
        <v>54666</v>
      </c>
      <c r="B377" s="30">
        <f>IFERROR(VLOOKUP(A377, Data!$L$3:$N$123, 3),1)*Pension</f>
        <v>96997.281413457167</v>
      </c>
      <c r="C377" s="37">
        <f t="shared" si="65"/>
        <v>31.170431211498972</v>
      </c>
      <c r="D377" s="37">
        <f>IFERROR(VLOOKUP(A377,Data!$I$3:$J$1442,2),0)</f>
        <v>9.5500349999999998E-2</v>
      </c>
      <c r="E377" s="37">
        <f t="shared" si="66"/>
        <v>9.5300349999999992E-2</v>
      </c>
      <c r="F377" s="37">
        <f t="shared" si="71"/>
        <v>5.1274947233792077E-2</v>
      </c>
      <c r="G377" s="30">
        <f t="shared" si="72"/>
        <v>4973.5304862962976</v>
      </c>
      <c r="H377" s="38">
        <f t="shared" si="67"/>
        <v>126</v>
      </c>
      <c r="I377" s="39">
        <f t="shared" si="68"/>
        <v>126.79534565366187</v>
      </c>
      <c r="J377" s="40">
        <f t="shared" si="69"/>
        <v>31</v>
      </c>
      <c r="K377" s="43">
        <f>VLOOKUP(J377,Data!$Z$3:$AA$122,2)</f>
        <v>0</v>
      </c>
      <c r="L377" s="41">
        <f t="shared" si="70"/>
        <v>0.79534565366186882</v>
      </c>
      <c r="M377" s="43">
        <f>VLOOKUP(H377,Data!$P$3:$X$122,9)</f>
        <v>0</v>
      </c>
      <c r="N377" s="43">
        <f t="shared" si="73"/>
        <v>0</v>
      </c>
      <c r="O377" s="43">
        <f t="shared" si="74"/>
        <v>0</v>
      </c>
      <c r="P377" s="30">
        <f t="shared" si="75"/>
        <v>0</v>
      </c>
      <c r="Q377" s="31">
        <f t="shared" si="77"/>
        <v>848340.75061972369</v>
      </c>
    </row>
    <row r="378" spans="1:17" x14ac:dyDescent="0.25">
      <c r="A378" s="6">
        <f t="shared" si="76"/>
        <v>54696</v>
      </c>
      <c r="B378" s="30">
        <f>IFERROR(VLOOKUP(A378, Data!$L$3:$N$123, 3),1)*Pension</f>
        <v>96997.281413457167</v>
      </c>
      <c r="C378" s="37">
        <f t="shared" si="65"/>
        <v>31.252566735112936</v>
      </c>
      <c r="D378" s="37">
        <f>IFERROR(VLOOKUP(A378,Data!$I$3:$J$1442,2),0)</f>
        <v>9.5433338000000006E-2</v>
      </c>
      <c r="E378" s="37">
        <f t="shared" si="66"/>
        <v>9.5233338000000001E-2</v>
      </c>
      <c r="F378" s="37">
        <f t="shared" si="71"/>
        <v>5.0981816387643659E-2</v>
      </c>
      <c r="G378" s="30">
        <f t="shared" si="72"/>
        <v>4945.0975911214746</v>
      </c>
      <c r="H378" s="38">
        <f t="shared" si="67"/>
        <v>126</v>
      </c>
      <c r="I378" s="39">
        <f t="shared" si="68"/>
        <v>126.87748117727584</v>
      </c>
      <c r="J378" s="40">
        <f t="shared" si="69"/>
        <v>31</v>
      </c>
      <c r="K378" s="43">
        <f>VLOOKUP(J378,Data!$Z$3:$AA$122,2)</f>
        <v>0</v>
      </c>
      <c r="L378" s="41">
        <f t="shared" si="70"/>
        <v>0.87748117727583974</v>
      </c>
      <c r="M378" s="43">
        <f>VLOOKUP(H378,Data!$P$3:$X$122,9)</f>
        <v>0</v>
      </c>
      <c r="N378" s="43">
        <f t="shared" si="73"/>
        <v>0</v>
      </c>
      <c r="O378" s="43">
        <f t="shared" si="74"/>
        <v>0</v>
      </c>
      <c r="P378" s="30">
        <f t="shared" si="75"/>
        <v>0</v>
      </c>
      <c r="Q378" s="31">
        <f t="shared" si="77"/>
        <v>848340.75061972369</v>
      </c>
    </row>
    <row r="379" spans="1:17" x14ac:dyDescent="0.25">
      <c r="A379" s="6">
        <f t="shared" si="76"/>
        <v>54727</v>
      </c>
      <c r="B379" s="30">
        <f>IFERROR(VLOOKUP(A379, Data!$L$3:$N$123, 3),1)*Pension</f>
        <v>96997.281413457167</v>
      </c>
      <c r="C379" s="37">
        <f t="shared" si="65"/>
        <v>31.337440109514031</v>
      </c>
      <c r="D379" s="37">
        <f>IFERROR(VLOOKUP(A379,Data!$I$3:$J$1442,2),0)</f>
        <v>9.5364460999999998E-2</v>
      </c>
      <c r="E379" s="37">
        <f t="shared" si="66"/>
        <v>9.5164460999999992E-2</v>
      </c>
      <c r="F379" s="37">
        <f t="shared" si="71"/>
        <v>5.0680675385819489E-2</v>
      </c>
      <c r="G379" s="30">
        <f t="shared" si="72"/>
        <v>4915.8877326224047</v>
      </c>
      <c r="H379" s="38">
        <f t="shared" si="67"/>
        <v>126</v>
      </c>
      <c r="I379" s="39">
        <f t="shared" si="68"/>
        <v>126.96235455167694</v>
      </c>
      <c r="J379" s="40">
        <f t="shared" si="69"/>
        <v>31</v>
      </c>
      <c r="K379" s="43">
        <f>VLOOKUP(J379,Data!$Z$3:$AA$122,2)</f>
        <v>0</v>
      </c>
      <c r="L379" s="41">
        <f t="shared" si="70"/>
        <v>0.96235455167693829</v>
      </c>
      <c r="M379" s="43">
        <f>VLOOKUP(H379,Data!$P$3:$X$122,9)</f>
        <v>0</v>
      </c>
      <c r="N379" s="43">
        <f t="shared" si="73"/>
        <v>0</v>
      </c>
      <c r="O379" s="43">
        <f t="shared" si="74"/>
        <v>0</v>
      </c>
      <c r="P379" s="30">
        <f t="shared" si="75"/>
        <v>0</v>
      </c>
      <c r="Q379" s="31">
        <f t="shared" si="77"/>
        <v>848340.75061972369</v>
      </c>
    </row>
    <row r="380" spans="1:17" x14ac:dyDescent="0.25">
      <c r="A380" s="6">
        <f t="shared" si="76"/>
        <v>54757</v>
      </c>
      <c r="B380" s="30">
        <f>IFERROR(VLOOKUP(A380, Data!$L$3:$N$123, 3),1)*Pension</f>
        <v>96997.281413457167</v>
      </c>
      <c r="C380" s="37">
        <f t="shared" si="65"/>
        <v>31.419575633127995</v>
      </c>
      <c r="D380" s="37">
        <f>IFERROR(VLOOKUP(A380,Data!$I$3:$J$1442,2),0)</f>
        <v>9.5298161000000006E-2</v>
      </c>
      <c r="E380" s="37">
        <f t="shared" si="66"/>
        <v>9.5098161E-2</v>
      </c>
      <c r="F380" s="37">
        <f t="shared" si="71"/>
        <v>5.039094100065325E-2</v>
      </c>
      <c r="G380" s="30">
        <f t="shared" si="72"/>
        <v>4887.7842849292801</v>
      </c>
      <c r="H380" s="38">
        <f t="shared" si="67"/>
        <v>127</v>
      </c>
      <c r="I380" s="39">
        <f t="shared" si="68"/>
        <v>127.04449007529089</v>
      </c>
      <c r="J380" s="40">
        <f t="shared" si="69"/>
        <v>32</v>
      </c>
      <c r="K380" s="43">
        <f>VLOOKUP(J380,Data!$Z$3:$AA$122,2)</f>
        <v>0</v>
      </c>
      <c r="L380" s="41">
        <f t="shared" si="70"/>
        <v>4.4490075290894993E-2</v>
      </c>
      <c r="M380" s="43">
        <f>VLOOKUP(H380,Data!$P$3:$X$122,9)</f>
        <v>0</v>
      </c>
      <c r="N380" s="43">
        <f t="shared" si="73"/>
        <v>0</v>
      </c>
      <c r="O380" s="43">
        <f t="shared" si="74"/>
        <v>0</v>
      </c>
      <c r="P380" s="30">
        <f t="shared" si="75"/>
        <v>0</v>
      </c>
      <c r="Q380" s="31">
        <f t="shared" si="77"/>
        <v>848340.75061972369</v>
      </c>
    </row>
    <row r="381" spans="1:17" x14ac:dyDescent="0.25">
      <c r="A381" s="6">
        <f t="shared" si="76"/>
        <v>54788</v>
      </c>
      <c r="B381" s="30">
        <f>IFERROR(VLOOKUP(A381, Data!$L$3:$N$123, 3),1)*Pension</f>
        <v>101847.14548413001</v>
      </c>
      <c r="C381" s="37">
        <f t="shared" si="65"/>
        <v>31.504449007529089</v>
      </c>
      <c r="D381" s="37">
        <f>IFERROR(VLOOKUP(A381,Data!$I$3:$J$1442,2),0)</f>
        <v>9.5230013000000002E-2</v>
      </c>
      <c r="E381" s="37">
        <f t="shared" si="66"/>
        <v>9.5030012999999997E-2</v>
      </c>
      <c r="F381" s="37">
        <f t="shared" si="71"/>
        <v>5.00932906639079E-2</v>
      </c>
      <c r="G381" s="30">
        <f t="shared" si="72"/>
        <v>5101.8586620258393</v>
      </c>
      <c r="H381" s="38">
        <f t="shared" si="67"/>
        <v>127</v>
      </c>
      <c r="I381" s="39">
        <f t="shared" si="68"/>
        <v>127.12936344969199</v>
      </c>
      <c r="J381" s="40">
        <f t="shared" si="69"/>
        <v>32</v>
      </c>
      <c r="K381" s="43">
        <f>VLOOKUP(J381,Data!$Z$3:$AA$122,2)</f>
        <v>0</v>
      </c>
      <c r="L381" s="41">
        <f t="shared" si="70"/>
        <v>0.12936344969199354</v>
      </c>
      <c r="M381" s="43">
        <f>VLOOKUP(H381,Data!$P$3:$X$122,9)</f>
        <v>0</v>
      </c>
      <c r="N381" s="43">
        <f t="shared" si="73"/>
        <v>0</v>
      </c>
      <c r="O381" s="43">
        <f t="shared" si="74"/>
        <v>0</v>
      </c>
      <c r="P381" s="30">
        <f t="shared" si="75"/>
        <v>0</v>
      </c>
      <c r="Q381" s="31">
        <f t="shared" si="77"/>
        <v>848340.75061972369</v>
      </c>
    </row>
    <row r="382" spans="1:17" x14ac:dyDescent="0.25">
      <c r="A382" s="6">
        <f t="shared" si="76"/>
        <v>54819</v>
      </c>
      <c r="B382" s="30">
        <f>IFERROR(VLOOKUP(A382, Data!$L$3:$N$123, 3),1)*Pension</f>
        <v>101847.14548413001</v>
      </c>
      <c r="C382" s="37">
        <f t="shared" si="65"/>
        <v>31.589322381930184</v>
      </c>
      <c r="D382" s="37">
        <f>IFERROR(VLOOKUP(A382,Data!$I$3:$J$1442,2),0)</f>
        <v>9.5162231E-2</v>
      </c>
      <c r="E382" s="37">
        <f t="shared" si="66"/>
        <v>9.4962230999999994E-2</v>
      </c>
      <c r="F382" s="37">
        <f t="shared" si="71"/>
        <v>4.9797398804039536E-2</v>
      </c>
      <c r="G382" s="30">
        <f t="shared" si="72"/>
        <v>5071.7229207262562</v>
      </c>
      <c r="H382" s="38">
        <f t="shared" si="67"/>
        <v>127</v>
      </c>
      <c r="I382" s="39">
        <f t="shared" si="68"/>
        <v>127.21423682409309</v>
      </c>
      <c r="J382" s="40">
        <f t="shared" si="69"/>
        <v>32</v>
      </c>
      <c r="K382" s="43">
        <f>VLOOKUP(J382,Data!$Z$3:$AA$122,2)</f>
        <v>0</v>
      </c>
      <c r="L382" s="41">
        <f t="shared" si="70"/>
        <v>0.21423682409309208</v>
      </c>
      <c r="M382" s="43">
        <f>VLOOKUP(H382,Data!$P$3:$X$122,9)</f>
        <v>0</v>
      </c>
      <c r="N382" s="43">
        <f t="shared" si="73"/>
        <v>0</v>
      </c>
      <c r="O382" s="43">
        <f t="shared" si="74"/>
        <v>0</v>
      </c>
      <c r="P382" s="30">
        <f t="shared" si="75"/>
        <v>0</v>
      </c>
      <c r="Q382" s="31">
        <f t="shared" si="77"/>
        <v>848340.75061972369</v>
      </c>
    </row>
    <row r="383" spans="1:17" x14ac:dyDescent="0.25">
      <c r="A383" s="6">
        <f t="shared" si="76"/>
        <v>54847</v>
      </c>
      <c r="B383" s="30">
        <f>IFERROR(VLOOKUP(A383, Data!$L$3:$N$123, 3),1)*Pension</f>
        <v>101847.14548413001</v>
      </c>
      <c r="C383" s="37">
        <f t="shared" si="65"/>
        <v>31.665982203969882</v>
      </c>
      <c r="D383" s="37">
        <f>IFERROR(VLOOKUP(A383,Data!$I$3:$J$1442,2),0)</f>
        <v>9.5101322000000002E-2</v>
      </c>
      <c r="E383" s="37">
        <f t="shared" si="66"/>
        <v>9.4901321999999996E-2</v>
      </c>
      <c r="F383" s="37">
        <f t="shared" si="71"/>
        <v>4.9531642382433849E-2</v>
      </c>
      <c r="G383" s="30">
        <f t="shared" si="72"/>
        <v>5044.6563877916406</v>
      </c>
      <c r="H383" s="38">
        <f t="shared" si="67"/>
        <v>127</v>
      </c>
      <c r="I383" s="39">
        <f t="shared" si="68"/>
        <v>127.29089664613278</v>
      </c>
      <c r="J383" s="40">
        <f t="shared" si="69"/>
        <v>32</v>
      </c>
      <c r="K383" s="43">
        <f>VLOOKUP(J383,Data!$Z$3:$AA$122,2)</f>
        <v>0</v>
      </c>
      <c r="L383" s="41">
        <f t="shared" si="70"/>
        <v>0.29089664613277932</v>
      </c>
      <c r="M383" s="43">
        <f>VLOOKUP(H383,Data!$P$3:$X$122,9)</f>
        <v>0</v>
      </c>
      <c r="N383" s="43">
        <f t="shared" si="73"/>
        <v>0</v>
      </c>
      <c r="O383" s="43">
        <f t="shared" si="74"/>
        <v>0</v>
      </c>
      <c r="P383" s="30">
        <f t="shared" si="75"/>
        <v>0</v>
      </c>
      <c r="Q383" s="31">
        <f t="shared" si="77"/>
        <v>848340.75061972369</v>
      </c>
    </row>
    <row r="384" spans="1:17" x14ac:dyDescent="0.25">
      <c r="A384" s="6">
        <f t="shared" si="76"/>
        <v>54878</v>
      </c>
      <c r="B384" s="30">
        <f>IFERROR(VLOOKUP(A384, Data!$L$3:$N$123, 3),1)*Pension</f>
        <v>101847.14548413001</v>
      </c>
      <c r="C384" s="37">
        <f t="shared" si="65"/>
        <v>31.750855578370977</v>
      </c>
      <c r="D384" s="37">
        <f>IFERROR(VLOOKUP(A384,Data!$I$3:$J$1442,2),0)</f>
        <v>9.5034228999999998E-2</v>
      </c>
      <c r="E384" s="37">
        <f t="shared" si="66"/>
        <v>9.4834228999999992E-2</v>
      </c>
      <c r="F384" s="37">
        <f t="shared" si="71"/>
        <v>4.923906783657115E-2</v>
      </c>
      <c r="G384" s="30">
        <f t="shared" si="72"/>
        <v>5014.8585054542091</v>
      </c>
      <c r="H384" s="38">
        <f t="shared" si="67"/>
        <v>127</v>
      </c>
      <c r="I384" s="39">
        <f t="shared" si="68"/>
        <v>127.37577002053388</v>
      </c>
      <c r="J384" s="40">
        <f t="shared" si="69"/>
        <v>32</v>
      </c>
      <c r="K384" s="43">
        <f>VLOOKUP(J384,Data!$Z$3:$AA$122,2)</f>
        <v>0</v>
      </c>
      <c r="L384" s="41">
        <f t="shared" si="70"/>
        <v>0.37577002053387787</v>
      </c>
      <c r="M384" s="43">
        <f>VLOOKUP(H384,Data!$P$3:$X$122,9)</f>
        <v>0</v>
      </c>
      <c r="N384" s="43">
        <f t="shared" si="73"/>
        <v>0</v>
      </c>
      <c r="O384" s="43">
        <f t="shared" si="74"/>
        <v>0</v>
      </c>
      <c r="P384" s="30">
        <f t="shared" si="75"/>
        <v>0</v>
      </c>
      <c r="Q384" s="31">
        <f t="shared" si="77"/>
        <v>848340.75061972369</v>
      </c>
    </row>
    <row r="385" spans="1:17" x14ac:dyDescent="0.25">
      <c r="A385" s="6">
        <f t="shared" si="76"/>
        <v>54908</v>
      </c>
      <c r="B385" s="30">
        <f>IFERROR(VLOOKUP(A385, Data!$L$3:$N$123, 3),1)*Pension</f>
        <v>101847.14548413001</v>
      </c>
      <c r="C385" s="37">
        <f t="shared" si="65"/>
        <v>31.832991101984941</v>
      </c>
      <c r="D385" s="37">
        <f>IFERROR(VLOOKUP(A385,Data!$I$3:$J$1442,2),0)</f>
        <v>9.4969640999999994E-2</v>
      </c>
      <c r="E385" s="37">
        <f t="shared" si="66"/>
        <v>9.4769640999999988E-2</v>
      </c>
      <c r="F385" s="37">
        <f t="shared" si="71"/>
        <v>4.8957576642143813E-2</v>
      </c>
      <c r="G385" s="30">
        <f t="shared" si="72"/>
        <v>4986.1894308228666</v>
      </c>
      <c r="H385" s="38">
        <f t="shared" si="67"/>
        <v>127</v>
      </c>
      <c r="I385" s="39">
        <f t="shared" si="68"/>
        <v>127.45790554414785</v>
      </c>
      <c r="J385" s="40">
        <f t="shared" si="69"/>
        <v>32</v>
      </c>
      <c r="K385" s="43">
        <f>VLOOKUP(J385,Data!$Z$3:$AA$122,2)</f>
        <v>0</v>
      </c>
      <c r="L385" s="41">
        <f t="shared" si="70"/>
        <v>0.45790554414784879</v>
      </c>
      <c r="M385" s="43">
        <f>VLOOKUP(H385,Data!$P$3:$X$122,9)</f>
        <v>0</v>
      </c>
      <c r="N385" s="43">
        <f t="shared" si="73"/>
        <v>0</v>
      </c>
      <c r="O385" s="43">
        <f t="shared" si="74"/>
        <v>0</v>
      </c>
      <c r="P385" s="30">
        <f t="shared" si="75"/>
        <v>0</v>
      </c>
      <c r="Q385" s="31">
        <f t="shared" si="77"/>
        <v>848340.75061972369</v>
      </c>
    </row>
    <row r="386" spans="1:17" x14ac:dyDescent="0.25">
      <c r="A386" s="6">
        <f t="shared" si="76"/>
        <v>54939</v>
      </c>
      <c r="B386" s="30">
        <f>IFERROR(VLOOKUP(A386, Data!$L$3:$N$123, 3),1)*Pension</f>
        <v>101847.14548413001</v>
      </c>
      <c r="C386" s="37">
        <f t="shared" si="65"/>
        <v>31.917864476386036</v>
      </c>
      <c r="D386" s="37">
        <f>IFERROR(VLOOKUP(A386,Data!$I$3:$J$1442,2),0)</f>
        <v>9.4903249999999995E-2</v>
      </c>
      <c r="E386" s="37">
        <f t="shared" si="66"/>
        <v>9.4703249999999989E-2</v>
      </c>
      <c r="F386" s="37">
        <f t="shared" si="71"/>
        <v>4.8668391783046987E-2</v>
      </c>
      <c r="G386" s="30">
        <f t="shared" si="72"/>
        <v>4956.7367784066246</v>
      </c>
      <c r="H386" s="38">
        <f t="shared" si="67"/>
        <v>127</v>
      </c>
      <c r="I386" s="39">
        <f t="shared" si="68"/>
        <v>127.54277891854893</v>
      </c>
      <c r="J386" s="40">
        <f t="shared" si="69"/>
        <v>32</v>
      </c>
      <c r="K386" s="43">
        <f>VLOOKUP(J386,Data!$Z$3:$AA$122,2)</f>
        <v>0</v>
      </c>
      <c r="L386" s="41">
        <f t="shared" si="70"/>
        <v>0.54277891854893312</v>
      </c>
      <c r="M386" s="43">
        <f>VLOOKUP(H386,Data!$P$3:$X$122,9)</f>
        <v>0</v>
      </c>
      <c r="N386" s="43">
        <f t="shared" si="73"/>
        <v>0</v>
      </c>
      <c r="O386" s="43">
        <f t="shared" si="74"/>
        <v>0</v>
      </c>
      <c r="P386" s="30">
        <f t="shared" si="75"/>
        <v>0</v>
      </c>
      <c r="Q386" s="31">
        <f t="shared" si="77"/>
        <v>848340.75061972369</v>
      </c>
    </row>
    <row r="387" spans="1:17" x14ac:dyDescent="0.25">
      <c r="A387" s="6">
        <f t="shared" si="76"/>
        <v>54969</v>
      </c>
      <c r="B387" s="30">
        <f>IFERROR(VLOOKUP(A387, Data!$L$3:$N$123, 3),1)*Pension</f>
        <v>101847.14548413001</v>
      </c>
      <c r="C387" s="37">
        <f t="shared" ref="C387:C450" si="78">(A387-EffDate)/365.25</f>
        <v>32</v>
      </c>
      <c r="D387" s="37">
        <f>IFERROR(VLOOKUP(A387,Data!$I$3:$J$1442,2),0)</f>
        <v>9.4839334999999997E-2</v>
      </c>
      <c r="E387" s="37">
        <f t="shared" ref="E387:E450" si="79">D387-Fees</f>
        <v>9.4639334999999991E-2</v>
      </c>
      <c r="F387" s="37">
        <f t="shared" si="71"/>
        <v>4.8390163470256799E-2</v>
      </c>
      <c r="G387" s="30">
        <f t="shared" si="72"/>
        <v>4928.4000189560775</v>
      </c>
      <c r="H387" s="38">
        <f t="shared" ref="H387:H450" si="80">IF(OR(A387 = DATE(YEAR(A387), MONTH(Date_of_Birth), DAY(Date_of_Birth)),AND(A387 = DATE(YEAR(A387), MONTH(Date_of_Birth), DAY(Date_of_Birth)-1), AND(MONTH(Date_of_Birth)=2, DAY(Date_of_Birth) = 29))), ROUND((A387-Date_of_Birth)/365.25,0),ROUNDDOWN((A387-Date_of_Birth)/365.25,0))</f>
        <v>127</v>
      </c>
      <c r="I387" s="39">
        <f t="shared" ref="I387:I450" si="81">IF(OR(A387 = DATE(YEAR(A387), MONTH(Date_of_Birth), DAY(Date_of_Birth)),AND(A387 = DATE(YEAR(A387), MONTH(Date_of_Birth), DAY(Date_of_Birth)-1), AND(MONTH(Date_of_Birth)=2, DAY(Date_of_Birth) = 29))), ROUND((A387-Date_of_Birth)/365.25,0),(A387-Date_of_Birth)/365.25)</f>
        <v>127.6249144421629</v>
      </c>
      <c r="J387" s="40">
        <f t="shared" ref="J387:J450" si="82">H387-StartAge</f>
        <v>32</v>
      </c>
      <c r="K387" s="43">
        <f>VLOOKUP(J387,Data!$Z$3:$AA$122,2)</f>
        <v>0</v>
      </c>
      <c r="L387" s="41">
        <f t="shared" ref="L387:L450" si="83">IF(A387&lt;=NextBirth,(A387-EffDate)/365.25,(I387-H387))</f>
        <v>0.62491444216290404</v>
      </c>
      <c r="M387" s="43">
        <f>VLOOKUP(H387,Data!$P$3:$X$122,9)</f>
        <v>0</v>
      </c>
      <c r="N387" s="43">
        <f t="shared" si="73"/>
        <v>0</v>
      </c>
      <c r="O387" s="43">
        <f t="shared" si="74"/>
        <v>0</v>
      </c>
      <c r="P387" s="30">
        <f t="shared" si="75"/>
        <v>0</v>
      </c>
      <c r="Q387" s="31">
        <f t="shared" si="77"/>
        <v>848340.75061972369</v>
      </c>
    </row>
    <row r="388" spans="1:17" x14ac:dyDescent="0.25">
      <c r="A388" s="6">
        <f t="shared" si="76"/>
        <v>55000</v>
      </c>
      <c r="B388" s="30">
        <f>IFERROR(VLOOKUP(A388, Data!$L$3:$N$123, 3),1)*Pension</f>
        <v>101847.14548413001</v>
      </c>
      <c r="C388" s="37">
        <f t="shared" si="78"/>
        <v>32.084873374401099</v>
      </c>
      <c r="D388" s="37">
        <f>IFERROR(VLOOKUP(A388,Data!$I$3:$J$1442,2),0)</f>
        <v>9.4773633999999995E-2</v>
      </c>
      <c r="E388" s="37">
        <f t="shared" si="79"/>
        <v>9.457363399999999E-2</v>
      </c>
      <c r="F388" s="37">
        <f t="shared" ref="F388:F451" si="84">EXP(-E388*C388)</f>
        <v>4.8104330658311358E-2</v>
      </c>
      <c r="G388" s="30">
        <f t="shared" ref="G388:G451" si="85">B388*F388</f>
        <v>4899.2887629737324</v>
      </c>
      <c r="H388" s="38">
        <f t="shared" si="80"/>
        <v>127</v>
      </c>
      <c r="I388" s="39">
        <f t="shared" si="81"/>
        <v>127.709787816564</v>
      </c>
      <c r="J388" s="40">
        <f t="shared" si="82"/>
        <v>32</v>
      </c>
      <c r="K388" s="43">
        <f>VLOOKUP(J388,Data!$Z$3:$AA$122,2)</f>
        <v>0</v>
      </c>
      <c r="L388" s="41">
        <f t="shared" si="83"/>
        <v>0.70978781656400258</v>
      </c>
      <c r="M388" s="43">
        <f>VLOOKUP(H388,Data!$P$3:$X$122,9)</f>
        <v>0</v>
      </c>
      <c r="N388" s="43">
        <f t="shared" ref="N388:N451" si="86">IF(M388=0, 0, EXP(-L388*M388))</f>
        <v>0</v>
      </c>
      <c r="O388" s="43">
        <f t="shared" ref="O388:O451" si="87">K388*N388</f>
        <v>0</v>
      </c>
      <c r="P388" s="30">
        <f t="shared" ref="P388:P451" si="88">G388*O388</f>
        <v>0</v>
      </c>
      <c r="Q388" s="31">
        <f t="shared" si="77"/>
        <v>848340.75061972369</v>
      </c>
    </row>
    <row r="389" spans="1:17" x14ac:dyDescent="0.25">
      <c r="A389" s="6">
        <f t="shared" ref="A389:A452" si="89">EOMONTH(A388,1)</f>
        <v>55031</v>
      </c>
      <c r="B389" s="30">
        <f>IFERROR(VLOOKUP(A389, Data!$L$3:$N$123, 3),1)*Pension</f>
        <v>101847.14548413001</v>
      </c>
      <c r="C389" s="37">
        <f t="shared" si="78"/>
        <v>32.16974674880219</v>
      </c>
      <c r="D389" s="37">
        <f>IFERROR(VLOOKUP(A389,Data!$I$3:$J$1442,2),0)</f>
        <v>9.4708279000000006E-2</v>
      </c>
      <c r="E389" s="37">
        <f t="shared" si="79"/>
        <v>9.4508279000000001E-2</v>
      </c>
      <c r="F389" s="37">
        <f t="shared" si="84"/>
        <v>4.7820187256639668E-2</v>
      </c>
      <c r="G389" s="30">
        <f t="shared" si="85"/>
        <v>4870.3495686053202</v>
      </c>
      <c r="H389" s="38">
        <f t="shared" si="80"/>
        <v>127</v>
      </c>
      <c r="I389" s="39">
        <f t="shared" si="81"/>
        <v>127.79466119096509</v>
      </c>
      <c r="J389" s="40">
        <f t="shared" si="82"/>
        <v>32</v>
      </c>
      <c r="K389" s="43">
        <f>VLOOKUP(J389,Data!$Z$3:$AA$122,2)</f>
        <v>0</v>
      </c>
      <c r="L389" s="41">
        <f t="shared" si="83"/>
        <v>0.79466119096508692</v>
      </c>
      <c r="M389" s="43">
        <f>VLOOKUP(H389,Data!$P$3:$X$122,9)</f>
        <v>0</v>
      </c>
      <c r="N389" s="43">
        <f t="shared" si="86"/>
        <v>0</v>
      </c>
      <c r="O389" s="43">
        <f t="shared" si="87"/>
        <v>0</v>
      </c>
      <c r="P389" s="30">
        <f t="shared" si="88"/>
        <v>0</v>
      </c>
      <c r="Q389" s="31">
        <f t="shared" ref="Q389:Q452" si="90">Q388+P389</f>
        <v>848340.75061972369</v>
      </c>
    </row>
    <row r="390" spans="1:17" x14ac:dyDescent="0.25">
      <c r="A390" s="6">
        <f t="shared" si="89"/>
        <v>55061</v>
      </c>
      <c r="B390" s="30">
        <f>IFERROR(VLOOKUP(A390, Data!$L$3:$N$123, 3),1)*Pension</f>
        <v>101847.14548413001</v>
      </c>
      <c r="C390" s="37">
        <f t="shared" si="78"/>
        <v>32.251882272416154</v>
      </c>
      <c r="D390" s="37">
        <f>IFERROR(VLOOKUP(A390,Data!$I$3:$J$1442,2),0)</f>
        <v>9.4645359999999998E-2</v>
      </c>
      <c r="E390" s="37">
        <f t="shared" si="79"/>
        <v>9.4445359999999992E-2</v>
      </c>
      <c r="F390" s="37">
        <f t="shared" si="84"/>
        <v>4.7546807509582761E-2</v>
      </c>
      <c r="G390" s="30">
        <f t="shared" si="85"/>
        <v>4842.5066217344011</v>
      </c>
      <c r="H390" s="38">
        <f t="shared" si="80"/>
        <v>127</v>
      </c>
      <c r="I390" s="39">
        <f t="shared" si="81"/>
        <v>127.87679671457906</v>
      </c>
      <c r="J390" s="40">
        <f t="shared" si="82"/>
        <v>32</v>
      </c>
      <c r="K390" s="43">
        <f>VLOOKUP(J390,Data!$Z$3:$AA$122,2)</f>
        <v>0</v>
      </c>
      <c r="L390" s="41">
        <f t="shared" si="83"/>
        <v>0.87679671457905783</v>
      </c>
      <c r="M390" s="43">
        <f>VLOOKUP(H390,Data!$P$3:$X$122,9)</f>
        <v>0</v>
      </c>
      <c r="N390" s="43">
        <f t="shared" si="86"/>
        <v>0</v>
      </c>
      <c r="O390" s="43">
        <f t="shared" si="87"/>
        <v>0</v>
      </c>
      <c r="P390" s="30">
        <f t="shared" si="88"/>
        <v>0</v>
      </c>
      <c r="Q390" s="31">
        <f t="shared" si="90"/>
        <v>848340.75061972369</v>
      </c>
    </row>
    <row r="391" spans="1:17" x14ac:dyDescent="0.25">
      <c r="A391" s="6">
        <f t="shared" si="89"/>
        <v>55092</v>
      </c>
      <c r="B391" s="30">
        <f>IFERROR(VLOOKUP(A391, Data!$L$3:$N$123, 3),1)*Pension</f>
        <v>101847.14548413001</v>
      </c>
      <c r="C391" s="37">
        <f t="shared" si="78"/>
        <v>32.336755646817245</v>
      </c>
      <c r="D391" s="37">
        <f>IFERROR(VLOOKUP(A391,Data!$I$3:$J$1442,2),0)</f>
        <v>9.458068E-2</v>
      </c>
      <c r="E391" s="37">
        <f t="shared" si="79"/>
        <v>9.4380679999999995E-2</v>
      </c>
      <c r="F391" s="37">
        <f t="shared" si="84"/>
        <v>4.7265956093857413E-2</v>
      </c>
      <c r="G391" s="30">
        <f t="shared" si="85"/>
        <v>4813.9027067375973</v>
      </c>
      <c r="H391" s="38">
        <f t="shared" si="80"/>
        <v>127</v>
      </c>
      <c r="I391" s="39">
        <f t="shared" si="81"/>
        <v>127.96167008898016</v>
      </c>
      <c r="J391" s="40">
        <f t="shared" si="82"/>
        <v>32</v>
      </c>
      <c r="K391" s="43">
        <f>VLOOKUP(J391,Data!$Z$3:$AA$122,2)</f>
        <v>0</v>
      </c>
      <c r="L391" s="41">
        <f t="shared" si="83"/>
        <v>0.96167008898015638</v>
      </c>
      <c r="M391" s="43">
        <f>VLOOKUP(H391,Data!$P$3:$X$122,9)</f>
        <v>0</v>
      </c>
      <c r="N391" s="43">
        <f t="shared" si="86"/>
        <v>0</v>
      </c>
      <c r="O391" s="43">
        <f t="shared" si="87"/>
        <v>0</v>
      </c>
      <c r="P391" s="30">
        <f t="shared" si="88"/>
        <v>0</v>
      </c>
      <c r="Q391" s="31">
        <f t="shared" si="90"/>
        <v>848340.75061972369</v>
      </c>
    </row>
    <row r="392" spans="1:17" x14ac:dyDescent="0.25">
      <c r="A392" s="6">
        <f t="shared" si="89"/>
        <v>55122</v>
      </c>
      <c r="B392" s="30">
        <f>IFERROR(VLOOKUP(A392, Data!$L$3:$N$123, 3),1)*Pension</f>
        <v>101847.14548413001</v>
      </c>
      <c r="C392" s="37">
        <f t="shared" si="78"/>
        <v>32.418891170431209</v>
      </c>
      <c r="D392" s="37">
        <f>IFERROR(VLOOKUP(A392,Data!$I$3:$J$1442,2),0)</f>
        <v>9.4518407999999998E-2</v>
      </c>
      <c r="E392" s="37">
        <f t="shared" si="79"/>
        <v>9.4318407999999992E-2</v>
      </c>
      <c r="F392" s="37">
        <f t="shared" si="84"/>
        <v>4.69957454213124E-2</v>
      </c>
      <c r="G392" s="30">
        <f t="shared" si="85"/>
        <v>4786.3825210595414</v>
      </c>
      <c r="H392" s="38">
        <f t="shared" si="80"/>
        <v>128</v>
      </c>
      <c r="I392" s="39">
        <f t="shared" si="81"/>
        <v>128.04380561259413</v>
      </c>
      <c r="J392" s="40">
        <f t="shared" si="82"/>
        <v>33</v>
      </c>
      <c r="K392" s="43">
        <f>VLOOKUP(J392,Data!$Z$3:$AA$122,2)</f>
        <v>0</v>
      </c>
      <c r="L392" s="41">
        <f t="shared" si="83"/>
        <v>4.3805612594127297E-2</v>
      </c>
      <c r="M392" s="43">
        <f>VLOOKUP(H392,Data!$P$3:$X$122,9)</f>
        <v>0</v>
      </c>
      <c r="N392" s="43">
        <f t="shared" si="86"/>
        <v>0</v>
      </c>
      <c r="O392" s="43">
        <f t="shared" si="87"/>
        <v>0</v>
      </c>
      <c r="P392" s="30">
        <f t="shared" si="88"/>
        <v>0</v>
      </c>
      <c r="Q392" s="31">
        <f t="shared" si="90"/>
        <v>848340.75061972369</v>
      </c>
    </row>
    <row r="393" spans="1:17" x14ac:dyDescent="0.25">
      <c r="A393" s="6">
        <f t="shared" si="89"/>
        <v>55153</v>
      </c>
      <c r="B393" s="30">
        <f>IFERROR(VLOOKUP(A393, Data!$L$3:$N$123, 3),1)*Pension</f>
        <v>106939.50275833653</v>
      </c>
      <c r="C393" s="37">
        <f t="shared" si="78"/>
        <v>32.503764544832308</v>
      </c>
      <c r="D393" s="37">
        <f>IFERROR(VLOOKUP(A393,Data!$I$3:$J$1442,2),0)</f>
        <v>9.4454390999999999E-2</v>
      </c>
      <c r="E393" s="37">
        <f t="shared" si="79"/>
        <v>9.4254390999999993E-2</v>
      </c>
      <c r="F393" s="37">
        <f t="shared" si="84"/>
        <v>4.6718150302189343E-2</v>
      </c>
      <c r="G393" s="30">
        <f t="shared" si="85"/>
        <v>4996.015763105358</v>
      </c>
      <c r="H393" s="38">
        <f t="shared" si="80"/>
        <v>128</v>
      </c>
      <c r="I393" s="39">
        <f t="shared" si="81"/>
        <v>128.1286789869952</v>
      </c>
      <c r="J393" s="40">
        <f t="shared" si="82"/>
        <v>33</v>
      </c>
      <c r="K393" s="43">
        <f>VLOOKUP(J393,Data!$Z$3:$AA$122,2)</f>
        <v>0</v>
      </c>
      <c r="L393" s="41">
        <f t="shared" si="83"/>
        <v>0.12867898699519742</v>
      </c>
      <c r="M393" s="43">
        <f>VLOOKUP(H393,Data!$P$3:$X$122,9)</f>
        <v>0</v>
      </c>
      <c r="N393" s="43">
        <f t="shared" si="86"/>
        <v>0</v>
      </c>
      <c r="O393" s="43">
        <f t="shared" si="87"/>
        <v>0</v>
      </c>
      <c r="P393" s="30">
        <f t="shared" si="88"/>
        <v>0</v>
      </c>
      <c r="Q393" s="31">
        <f t="shared" si="90"/>
        <v>848340.75061972369</v>
      </c>
    </row>
    <row r="394" spans="1:17" x14ac:dyDescent="0.25">
      <c r="A394" s="6">
        <f t="shared" si="89"/>
        <v>55184</v>
      </c>
      <c r="B394" s="30">
        <f>IFERROR(VLOOKUP(A394, Data!$L$3:$N$123, 3),1)*Pension</f>
        <v>106939.50275833653</v>
      </c>
      <c r="C394" s="37">
        <f t="shared" si="78"/>
        <v>32.588637919233399</v>
      </c>
      <c r="D394" s="37">
        <f>IFERROR(VLOOKUP(A394,Data!$I$3:$J$1442,2),0)</f>
        <v>9.4390708000000004E-2</v>
      </c>
      <c r="E394" s="37">
        <f t="shared" si="79"/>
        <v>9.4190707999999998E-2</v>
      </c>
      <c r="F394" s="37">
        <f t="shared" si="84"/>
        <v>4.644219405316579E-2</v>
      </c>
      <c r="G394" s="30">
        <f t="shared" si="85"/>
        <v>4966.5051390517237</v>
      </c>
      <c r="H394" s="38">
        <f t="shared" si="80"/>
        <v>128</v>
      </c>
      <c r="I394" s="39">
        <f t="shared" si="81"/>
        <v>128.2135523613963</v>
      </c>
      <c r="J394" s="40">
        <f t="shared" si="82"/>
        <v>33</v>
      </c>
      <c r="K394" s="43">
        <f>VLOOKUP(J394,Data!$Z$3:$AA$122,2)</f>
        <v>0</v>
      </c>
      <c r="L394" s="41">
        <f t="shared" si="83"/>
        <v>0.21355236139629596</v>
      </c>
      <c r="M394" s="43">
        <f>VLOOKUP(H394,Data!$P$3:$X$122,9)</f>
        <v>0</v>
      </c>
      <c r="N394" s="43">
        <f t="shared" si="86"/>
        <v>0</v>
      </c>
      <c r="O394" s="43">
        <f t="shared" si="87"/>
        <v>0</v>
      </c>
      <c r="P394" s="30">
        <f t="shared" si="88"/>
        <v>0</v>
      </c>
      <c r="Q394" s="31">
        <f t="shared" si="90"/>
        <v>848340.75061972369</v>
      </c>
    </row>
    <row r="395" spans="1:17" x14ac:dyDescent="0.25">
      <c r="A395" s="6">
        <f t="shared" si="89"/>
        <v>55212</v>
      </c>
      <c r="B395" s="30">
        <f>IFERROR(VLOOKUP(A395, Data!$L$3:$N$123, 3),1)*Pension</f>
        <v>106939.50275833653</v>
      </c>
      <c r="C395" s="37">
        <f t="shared" si="78"/>
        <v>32.6652977412731</v>
      </c>
      <c r="D395" s="37">
        <f>IFERROR(VLOOKUP(A395,Data!$I$3:$J$1442,2),0)</f>
        <v>9.4333472000000002E-2</v>
      </c>
      <c r="E395" s="37">
        <f t="shared" si="79"/>
        <v>9.4133471999999996E-2</v>
      </c>
      <c r="F395" s="37">
        <f t="shared" si="84"/>
        <v>4.6194345031590534E-2</v>
      </c>
      <c r="G395" s="30">
        <f t="shared" si="85"/>
        <v>4940.0002879253252</v>
      </c>
      <c r="H395" s="38">
        <f t="shared" si="80"/>
        <v>128</v>
      </c>
      <c r="I395" s="39">
        <f t="shared" si="81"/>
        <v>128.29021218343601</v>
      </c>
      <c r="J395" s="40">
        <f t="shared" si="82"/>
        <v>33</v>
      </c>
      <c r="K395" s="43">
        <f>VLOOKUP(J395,Data!$Z$3:$AA$122,2)</f>
        <v>0</v>
      </c>
      <c r="L395" s="41">
        <f t="shared" si="83"/>
        <v>0.29021218343601163</v>
      </c>
      <c r="M395" s="43">
        <f>VLOOKUP(H395,Data!$P$3:$X$122,9)</f>
        <v>0</v>
      </c>
      <c r="N395" s="43">
        <f t="shared" si="86"/>
        <v>0</v>
      </c>
      <c r="O395" s="43">
        <f t="shared" si="87"/>
        <v>0</v>
      </c>
      <c r="P395" s="30">
        <f t="shared" si="88"/>
        <v>0</v>
      </c>
      <c r="Q395" s="31">
        <f t="shared" si="90"/>
        <v>848340.75061972369</v>
      </c>
    </row>
    <row r="396" spans="1:17" x14ac:dyDescent="0.25">
      <c r="A396" s="6">
        <f t="shared" si="89"/>
        <v>55243</v>
      </c>
      <c r="B396" s="30">
        <f>IFERROR(VLOOKUP(A396, Data!$L$3:$N$123, 3),1)*Pension</f>
        <v>106939.50275833653</v>
      </c>
      <c r="C396" s="37">
        <f t="shared" si="78"/>
        <v>32.750171115674199</v>
      </c>
      <c r="D396" s="37">
        <f>IFERROR(VLOOKUP(A396,Data!$I$3:$J$1442,2),0)</f>
        <v>9.4270415999999996E-2</v>
      </c>
      <c r="E396" s="37">
        <f t="shared" si="79"/>
        <v>9.407041599999999E-2</v>
      </c>
      <c r="F396" s="37">
        <f t="shared" si="84"/>
        <v>4.592148351769515E-2</v>
      </c>
      <c r="G396" s="30">
        <f t="shared" si="85"/>
        <v>4910.8206133074664</v>
      </c>
      <c r="H396" s="38">
        <f t="shared" si="80"/>
        <v>128</v>
      </c>
      <c r="I396" s="39">
        <f t="shared" si="81"/>
        <v>128.37508555783711</v>
      </c>
      <c r="J396" s="40">
        <f t="shared" si="82"/>
        <v>33</v>
      </c>
      <c r="K396" s="43">
        <f>VLOOKUP(J396,Data!$Z$3:$AA$122,2)</f>
        <v>0</v>
      </c>
      <c r="L396" s="41">
        <f t="shared" si="83"/>
        <v>0.37508555783711017</v>
      </c>
      <c r="M396" s="43">
        <f>VLOOKUP(H396,Data!$P$3:$X$122,9)</f>
        <v>0</v>
      </c>
      <c r="N396" s="43">
        <f t="shared" si="86"/>
        <v>0</v>
      </c>
      <c r="O396" s="43">
        <f t="shared" si="87"/>
        <v>0</v>
      </c>
      <c r="P396" s="30">
        <f t="shared" si="88"/>
        <v>0</v>
      </c>
      <c r="Q396" s="31">
        <f t="shared" si="90"/>
        <v>848340.75061972369</v>
      </c>
    </row>
    <row r="397" spans="1:17" x14ac:dyDescent="0.25">
      <c r="A397" s="6">
        <f t="shared" si="89"/>
        <v>55273</v>
      </c>
      <c r="B397" s="30">
        <f>IFERROR(VLOOKUP(A397, Data!$L$3:$N$123, 3),1)*Pension</f>
        <v>106939.50275833653</v>
      </c>
      <c r="C397" s="37">
        <f t="shared" si="78"/>
        <v>32.832306639288156</v>
      </c>
      <c r="D397" s="37">
        <f>IFERROR(VLOOKUP(A397,Data!$I$3:$J$1442,2),0)</f>
        <v>9.4209705000000005E-2</v>
      </c>
      <c r="E397" s="37">
        <f t="shared" si="79"/>
        <v>9.4009704999999999E-2</v>
      </c>
      <c r="F397" s="37">
        <f t="shared" si="84"/>
        <v>4.5658957879534556E-2</v>
      </c>
      <c r="G397" s="30">
        <f t="shared" si="85"/>
        <v>4882.7462521012567</v>
      </c>
      <c r="H397" s="38">
        <f t="shared" si="80"/>
        <v>128</v>
      </c>
      <c r="I397" s="39">
        <f t="shared" si="81"/>
        <v>128.45722108145105</v>
      </c>
      <c r="J397" s="40">
        <f t="shared" si="82"/>
        <v>33</v>
      </c>
      <c r="K397" s="43">
        <f>VLOOKUP(J397,Data!$Z$3:$AA$122,2)</f>
        <v>0</v>
      </c>
      <c r="L397" s="41">
        <f t="shared" si="83"/>
        <v>0.45722108145105267</v>
      </c>
      <c r="M397" s="43">
        <f>VLOOKUP(H397,Data!$P$3:$X$122,9)</f>
        <v>0</v>
      </c>
      <c r="N397" s="43">
        <f t="shared" si="86"/>
        <v>0</v>
      </c>
      <c r="O397" s="43">
        <f t="shared" si="87"/>
        <v>0</v>
      </c>
      <c r="P397" s="30">
        <f t="shared" si="88"/>
        <v>0</v>
      </c>
      <c r="Q397" s="31">
        <f t="shared" si="90"/>
        <v>848340.75061972369</v>
      </c>
    </row>
    <row r="398" spans="1:17" x14ac:dyDescent="0.25">
      <c r="A398" s="6">
        <f t="shared" si="89"/>
        <v>55304</v>
      </c>
      <c r="B398" s="30">
        <f>IFERROR(VLOOKUP(A398, Data!$L$3:$N$123, 3),1)*Pension</f>
        <v>106939.50275833653</v>
      </c>
      <c r="C398" s="37">
        <f t="shared" si="78"/>
        <v>32.917180013689254</v>
      </c>
      <c r="D398" s="37">
        <f>IFERROR(VLOOKUP(A398,Data!$I$3:$J$1442,2),0)</f>
        <v>9.4147287999999996E-2</v>
      </c>
      <c r="E398" s="37">
        <f t="shared" si="79"/>
        <v>9.394728799999999E-2</v>
      </c>
      <c r="F398" s="37">
        <f t="shared" si="84"/>
        <v>4.5389258860876018E-2</v>
      </c>
      <c r="G398" s="30">
        <f t="shared" si="85"/>
        <v>4853.904773151502</v>
      </c>
      <c r="H398" s="38">
        <f t="shared" si="80"/>
        <v>128</v>
      </c>
      <c r="I398" s="39">
        <f t="shared" si="81"/>
        <v>128.54209445585215</v>
      </c>
      <c r="J398" s="40">
        <f t="shared" si="82"/>
        <v>33</v>
      </c>
      <c r="K398" s="43">
        <f>VLOOKUP(J398,Data!$Z$3:$AA$122,2)</f>
        <v>0</v>
      </c>
      <c r="L398" s="41">
        <f t="shared" si="83"/>
        <v>0.54209445585215121</v>
      </c>
      <c r="M398" s="43">
        <f>VLOOKUP(H398,Data!$P$3:$X$122,9)</f>
        <v>0</v>
      </c>
      <c r="N398" s="43">
        <f t="shared" si="86"/>
        <v>0</v>
      </c>
      <c r="O398" s="43">
        <f t="shared" si="87"/>
        <v>0</v>
      </c>
      <c r="P398" s="30">
        <f t="shared" si="88"/>
        <v>0</v>
      </c>
      <c r="Q398" s="31">
        <f t="shared" si="90"/>
        <v>848340.75061972369</v>
      </c>
    </row>
    <row r="399" spans="1:17" x14ac:dyDescent="0.25">
      <c r="A399" s="6">
        <f t="shared" si="89"/>
        <v>55334</v>
      </c>
      <c r="B399" s="30">
        <f>IFERROR(VLOOKUP(A399, Data!$L$3:$N$123, 3),1)*Pension</f>
        <v>106939.50275833653</v>
      </c>
      <c r="C399" s="37">
        <f t="shared" si="78"/>
        <v>32.999315537303218</v>
      </c>
      <c r="D399" s="37">
        <f>IFERROR(VLOOKUP(A399,Data!$I$3:$J$1442,2),0)</f>
        <v>9.4087190000000001E-2</v>
      </c>
      <c r="E399" s="37">
        <f t="shared" si="79"/>
        <v>9.3887189999999995E-2</v>
      </c>
      <c r="F399" s="37">
        <f t="shared" si="84"/>
        <v>4.5129776942028133E-2</v>
      </c>
      <c r="G399" s="30">
        <f t="shared" si="85"/>
        <v>4826.1559057751301</v>
      </c>
      <c r="H399" s="38">
        <f t="shared" si="80"/>
        <v>128</v>
      </c>
      <c r="I399" s="39">
        <f t="shared" si="81"/>
        <v>128.62422997946612</v>
      </c>
      <c r="J399" s="40">
        <f t="shared" si="82"/>
        <v>33</v>
      </c>
      <c r="K399" s="43">
        <f>VLOOKUP(J399,Data!$Z$3:$AA$122,2)</f>
        <v>0</v>
      </c>
      <c r="L399" s="41">
        <f t="shared" si="83"/>
        <v>0.62422997946612213</v>
      </c>
      <c r="M399" s="43">
        <f>VLOOKUP(H399,Data!$P$3:$X$122,9)</f>
        <v>0</v>
      </c>
      <c r="N399" s="43">
        <f t="shared" si="86"/>
        <v>0</v>
      </c>
      <c r="O399" s="43">
        <f t="shared" si="87"/>
        <v>0</v>
      </c>
      <c r="P399" s="30">
        <f t="shared" si="88"/>
        <v>0</v>
      </c>
      <c r="Q399" s="31">
        <f t="shared" si="90"/>
        <v>848340.75061972369</v>
      </c>
    </row>
    <row r="400" spans="1:17" x14ac:dyDescent="0.25">
      <c r="A400" s="6">
        <f t="shared" si="89"/>
        <v>55365</v>
      </c>
      <c r="B400" s="30">
        <f>IFERROR(VLOOKUP(A400, Data!$L$3:$N$123, 3),1)*Pension</f>
        <v>106939.50275833653</v>
      </c>
      <c r="C400" s="37">
        <f t="shared" si="78"/>
        <v>33.08418891170431</v>
      </c>
      <c r="D400" s="37">
        <f>IFERROR(VLOOKUP(A400,Data!$I$3:$J$1442,2),0)</f>
        <v>9.4025401999999994E-2</v>
      </c>
      <c r="E400" s="37">
        <f t="shared" si="79"/>
        <v>9.3825401999999988E-2</v>
      </c>
      <c r="F400" s="37">
        <f t="shared" si="84"/>
        <v>4.4863204258121007E-2</v>
      </c>
      <c r="G400" s="30">
        <f t="shared" si="85"/>
        <v>4797.6487555091462</v>
      </c>
      <c r="H400" s="38">
        <f t="shared" si="80"/>
        <v>128</v>
      </c>
      <c r="I400" s="39">
        <f t="shared" si="81"/>
        <v>128.70910335386722</v>
      </c>
      <c r="J400" s="40">
        <f t="shared" si="82"/>
        <v>33</v>
      </c>
      <c r="K400" s="43">
        <f>VLOOKUP(J400,Data!$Z$3:$AA$122,2)</f>
        <v>0</v>
      </c>
      <c r="L400" s="41">
        <f t="shared" si="83"/>
        <v>0.70910335386722068</v>
      </c>
      <c r="M400" s="43">
        <f>VLOOKUP(H400,Data!$P$3:$X$122,9)</f>
        <v>0</v>
      </c>
      <c r="N400" s="43">
        <f t="shared" si="86"/>
        <v>0</v>
      </c>
      <c r="O400" s="43">
        <f t="shared" si="87"/>
        <v>0</v>
      </c>
      <c r="P400" s="30">
        <f t="shared" si="88"/>
        <v>0</v>
      </c>
      <c r="Q400" s="31">
        <f t="shared" si="90"/>
        <v>848340.75061972369</v>
      </c>
    </row>
    <row r="401" spans="1:17" x14ac:dyDescent="0.25">
      <c r="A401" s="6">
        <f t="shared" si="89"/>
        <v>55396</v>
      </c>
      <c r="B401" s="30">
        <f>IFERROR(VLOOKUP(A401, Data!$L$3:$N$123, 3),1)*Pension</f>
        <v>106939.50275833653</v>
      </c>
      <c r="C401" s="37">
        <f t="shared" si="78"/>
        <v>33.169062286105408</v>
      </c>
      <c r="D401" s="37">
        <f>IFERROR(VLOOKUP(A401,Data!$I$3:$J$1442,2),0)</f>
        <v>9.3963931000000001E-2</v>
      </c>
      <c r="E401" s="37">
        <f t="shared" si="79"/>
        <v>9.3763930999999995E-2</v>
      </c>
      <c r="F401" s="37">
        <f t="shared" si="84"/>
        <v>4.4598204994368042E-2</v>
      </c>
      <c r="G401" s="30">
        <f t="shared" si="85"/>
        <v>4769.3098660120795</v>
      </c>
      <c r="H401" s="38">
        <f t="shared" si="80"/>
        <v>128</v>
      </c>
      <c r="I401" s="39">
        <f t="shared" si="81"/>
        <v>128.79397672826832</v>
      </c>
      <c r="J401" s="40">
        <f t="shared" si="82"/>
        <v>33</v>
      </c>
      <c r="K401" s="43">
        <f>VLOOKUP(J401,Data!$Z$3:$AA$122,2)</f>
        <v>0</v>
      </c>
      <c r="L401" s="41">
        <f t="shared" si="83"/>
        <v>0.79397672826831922</v>
      </c>
      <c r="M401" s="43">
        <f>VLOOKUP(H401,Data!$P$3:$X$122,9)</f>
        <v>0</v>
      </c>
      <c r="N401" s="43">
        <f t="shared" si="86"/>
        <v>0</v>
      </c>
      <c r="O401" s="43">
        <f t="shared" si="87"/>
        <v>0</v>
      </c>
      <c r="P401" s="30">
        <f t="shared" si="88"/>
        <v>0</v>
      </c>
      <c r="Q401" s="31">
        <f t="shared" si="90"/>
        <v>848340.75061972369</v>
      </c>
    </row>
    <row r="402" spans="1:17" x14ac:dyDescent="0.25">
      <c r="A402" s="6">
        <f t="shared" si="89"/>
        <v>55426</v>
      </c>
      <c r="B402" s="30">
        <f>IFERROR(VLOOKUP(A402, Data!$L$3:$N$123, 3),1)*Pension</f>
        <v>106939.50275833653</v>
      </c>
      <c r="C402" s="37">
        <f t="shared" si="78"/>
        <v>33.251197809719372</v>
      </c>
      <c r="D402" s="37">
        <f>IFERROR(VLOOKUP(A402,Data!$I$3:$J$1442,2),0)</f>
        <v>9.3904741E-2</v>
      </c>
      <c r="E402" s="37">
        <f t="shared" si="79"/>
        <v>9.3704740999999994E-2</v>
      </c>
      <c r="F402" s="37">
        <f t="shared" si="84"/>
        <v>4.4343245633610348E-2</v>
      </c>
      <c r="G402" s="30">
        <f t="shared" si="85"/>
        <v>4742.0446387490683</v>
      </c>
      <c r="H402" s="38">
        <f t="shared" si="80"/>
        <v>128</v>
      </c>
      <c r="I402" s="39">
        <f t="shared" si="81"/>
        <v>128.87611225188226</v>
      </c>
      <c r="J402" s="40">
        <f t="shared" si="82"/>
        <v>33</v>
      </c>
      <c r="K402" s="43">
        <f>VLOOKUP(J402,Data!$Z$3:$AA$122,2)</f>
        <v>0</v>
      </c>
      <c r="L402" s="41">
        <f t="shared" si="83"/>
        <v>0.87611225188226172</v>
      </c>
      <c r="M402" s="43">
        <f>VLOOKUP(H402,Data!$P$3:$X$122,9)</f>
        <v>0</v>
      </c>
      <c r="N402" s="43">
        <f t="shared" si="86"/>
        <v>0</v>
      </c>
      <c r="O402" s="43">
        <f t="shared" si="87"/>
        <v>0</v>
      </c>
      <c r="P402" s="30">
        <f t="shared" si="88"/>
        <v>0</v>
      </c>
      <c r="Q402" s="31">
        <f t="shared" si="90"/>
        <v>848340.75061972369</v>
      </c>
    </row>
    <row r="403" spans="1:17" x14ac:dyDescent="0.25">
      <c r="A403" s="6">
        <f t="shared" si="89"/>
        <v>55457</v>
      </c>
      <c r="B403" s="30">
        <f>IFERROR(VLOOKUP(A403, Data!$L$3:$N$123, 3),1)*Pension</f>
        <v>106939.50275833653</v>
      </c>
      <c r="C403" s="37">
        <f t="shared" si="78"/>
        <v>33.336071184120463</v>
      </c>
      <c r="D403" s="37">
        <f>IFERROR(VLOOKUP(A403,Data!$I$3:$J$1442,2),0)</f>
        <v>9.3843885000000002E-2</v>
      </c>
      <c r="E403" s="37">
        <f t="shared" si="79"/>
        <v>9.3643884999999996E-2</v>
      </c>
      <c r="F403" s="37">
        <f t="shared" si="84"/>
        <v>4.4081317915601957E-2</v>
      </c>
      <c r="G403" s="30">
        <f t="shared" si="85"/>
        <v>4714.034218826625</v>
      </c>
      <c r="H403" s="38">
        <f t="shared" si="80"/>
        <v>128</v>
      </c>
      <c r="I403" s="39">
        <f t="shared" si="81"/>
        <v>128.96098562628336</v>
      </c>
      <c r="J403" s="40">
        <f t="shared" si="82"/>
        <v>33</v>
      </c>
      <c r="K403" s="43">
        <f>VLOOKUP(J403,Data!$Z$3:$AA$122,2)</f>
        <v>0</v>
      </c>
      <c r="L403" s="41">
        <f t="shared" si="83"/>
        <v>0.96098562628336026</v>
      </c>
      <c r="M403" s="43">
        <f>VLOOKUP(H403,Data!$P$3:$X$122,9)</f>
        <v>0</v>
      </c>
      <c r="N403" s="43">
        <f t="shared" si="86"/>
        <v>0</v>
      </c>
      <c r="O403" s="43">
        <f t="shared" si="87"/>
        <v>0</v>
      </c>
      <c r="P403" s="30">
        <f t="shared" si="88"/>
        <v>0</v>
      </c>
      <c r="Q403" s="31">
        <f t="shared" si="90"/>
        <v>848340.75061972369</v>
      </c>
    </row>
    <row r="404" spans="1:17" x14ac:dyDescent="0.25">
      <c r="A404" s="6">
        <f t="shared" si="89"/>
        <v>55487</v>
      </c>
      <c r="B404" s="30">
        <f>IFERROR(VLOOKUP(A404, Data!$L$3:$N$123, 3),1)*Pension</f>
        <v>106939.50275833653</v>
      </c>
      <c r="C404" s="37">
        <f t="shared" si="78"/>
        <v>33.418206707734427</v>
      </c>
      <c r="D404" s="37">
        <f>IFERROR(VLOOKUP(A404,Data!$I$3:$J$1442,2),0)</f>
        <v>9.3785285999999995E-2</v>
      </c>
      <c r="E404" s="37">
        <f t="shared" si="79"/>
        <v>9.358528599999999E-2</v>
      </c>
      <c r="F404" s="37">
        <f t="shared" si="84"/>
        <v>4.3829313285748399E-2</v>
      </c>
      <c r="G404" s="30">
        <f t="shared" si="85"/>
        <v>4687.0849690172872</v>
      </c>
      <c r="H404" s="38">
        <f t="shared" si="80"/>
        <v>129</v>
      </c>
      <c r="I404" s="39">
        <f t="shared" si="81"/>
        <v>129.04312114989733</v>
      </c>
      <c r="J404" s="40">
        <f t="shared" si="82"/>
        <v>34</v>
      </c>
      <c r="K404" s="43">
        <f>VLOOKUP(J404,Data!$Z$3:$AA$122,2)</f>
        <v>0</v>
      </c>
      <c r="L404" s="41">
        <f t="shared" si="83"/>
        <v>4.3121149897331179E-2</v>
      </c>
      <c r="M404" s="43">
        <f>VLOOKUP(H404,Data!$P$3:$X$122,9)</f>
        <v>0</v>
      </c>
      <c r="N404" s="43">
        <f t="shared" si="86"/>
        <v>0</v>
      </c>
      <c r="O404" s="43">
        <f t="shared" si="87"/>
        <v>0</v>
      </c>
      <c r="P404" s="30">
        <f t="shared" si="88"/>
        <v>0</v>
      </c>
      <c r="Q404" s="31">
        <f t="shared" si="90"/>
        <v>848340.75061972369</v>
      </c>
    </row>
    <row r="405" spans="1:17" x14ac:dyDescent="0.25">
      <c r="A405" s="6">
        <f t="shared" si="89"/>
        <v>55518</v>
      </c>
      <c r="B405" s="30">
        <f>IFERROR(VLOOKUP(A405, Data!$L$3:$N$123, 3),1)*Pension</f>
        <v>112286.47789625335</v>
      </c>
      <c r="C405" s="37">
        <f t="shared" si="78"/>
        <v>33.503080082135526</v>
      </c>
      <c r="D405" s="37">
        <f>IFERROR(VLOOKUP(A405,Data!$I$3:$J$1442,2),0)</f>
        <v>9.3725035999999998E-2</v>
      </c>
      <c r="E405" s="37">
        <f t="shared" si="79"/>
        <v>9.3525035999999992E-2</v>
      </c>
      <c r="F405" s="37">
        <f t="shared" si="84"/>
        <v>4.3570421239418261E-2</v>
      </c>
      <c r="G405" s="30">
        <f t="shared" si="85"/>
        <v>4892.3691414303858</v>
      </c>
      <c r="H405" s="38">
        <f t="shared" si="80"/>
        <v>129</v>
      </c>
      <c r="I405" s="39">
        <f t="shared" si="81"/>
        <v>129.12799452429843</v>
      </c>
      <c r="J405" s="40">
        <f t="shared" si="82"/>
        <v>34</v>
      </c>
      <c r="K405" s="43">
        <f>VLOOKUP(J405,Data!$Z$3:$AA$122,2)</f>
        <v>0</v>
      </c>
      <c r="L405" s="41">
        <f t="shared" si="83"/>
        <v>0.12799452429842972</v>
      </c>
      <c r="M405" s="43">
        <f>VLOOKUP(H405,Data!$P$3:$X$122,9)</f>
        <v>0</v>
      </c>
      <c r="N405" s="43">
        <f t="shared" si="86"/>
        <v>0</v>
      </c>
      <c r="O405" s="43">
        <f t="shared" si="87"/>
        <v>0</v>
      </c>
      <c r="P405" s="30">
        <f t="shared" si="88"/>
        <v>0</v>
      </c>
      <c r="Q405" s="31">
        <f t="shared" si="90"/>
        <v>848340.75061972369</v>
      </c>
    </row>
    <row r="406" spans="1:17" x14ac:dyDescent="0.25">
      <c r="A406" s="6">
        <f t="shared" si="89"/>
        <v>55549</v>
      </c>
      <c r="B406" s="30">
        <f>IFERROR(VLOOKUP(A406, Data!$L$3:$N$123, 3),1)*Pension</f>
        <v>112286.47789625335</v>
      </c>
      <c r="C406" s="37">
        <f t="shared" si="78"/>
        <v>33.587953456536617</v>
      </c>
      <c r="D406" s="37">
        <f>IFERROR(VLOOKUP(A406,Data!$I$3:$J$1442,2),0)</f>
        <v>9.3665090000000006E-2</v>
      </c>
      <c r="E406" s="37">
        <f t="shared" si="79"/>
        <v>9.3465090000000001E-2</v>
      </c>
      <c r="F406" s="37">
        <f t="shared" si="84"/>
        <v>4.3313059137708984E-2</v>
      </c>
      <c r="G406" s="30">
        <f t="shared" si="85"/>
        <v>4863.470857485474</v>
      </c>
      <c r="H406" s="38">
        <f t="shared" si="80"/>
        <v>129</v>
      </c>
      <c r="I406" s="39">
        <f t="shared" si="81"/>
        <v>129.21286789869953</v>
      </c>
      <c r="J406" s="40">
        <f t="shared" si="82"/>
        <v>34</v>
      </c>
      <c r="K406" s="43">
        <f>VLOOKUP(J406,Data!$Z$3:$AA$122,2)</f>
        <v>0</v>
      </c>
      <c r="L406" s="41">
        <f t="shared" si="83"/>
        <v>0.21286789869952827</v>
      </c>
      <c r="M406" s="43">
        <f>VLOOKUP(H406,Data!$P$3:$X$122,9)</f>
        <v>0</v>
      </c>
      <c r="N406" s="43">
        <f t="shared" si="86"/>
        <v>0</v>
      </c>
      <c r="O406" s="43">
        <f t="shared" si="87"/>
        <v>0</v>
      </c>
      <c r="P406" s="30">
        <f t="shared" si="88"/>
        <v>0</v>
      </c>
      <c r="Q406" s="31">
        <f t="shared" si="90"/>
        <v>848340.75061972369</v>
      </c>
    </row>
    <row r="407" spans="1:17" x14ac:dyDescent="0.25">
      <c r="A407" s="6">
        <f t="shared" si="89"/>
        <v>55578</v>
      </c>
      <c r="B407" s="30">
        <f>IFERROR(VLOOKUP(A407, Data!$L$3:$N$123, 3),1)*Pension</f>
        <v>112286.47789625335</v>
      </c>
      <c r="C407" s="37">
        <f t="shared" si="78"/>
        <v>33.667351129363446</v>
      </c>
      <c r="D407" s="37">
        <f>IFERROR(VLOOKUP(A407,Data!$I$3:$J$1442,2),0)</f>
        <v>9.3609285E-2</v>
      </c>
      <c r="E407" s="37">
        <f t="shared" si="79"/>
        <v>9.3409284999999995E-2</v>
      </c>
      <c r="F407" s="37">
        <f t="shared" si="84"/>
        <v>4.3073677606184364E-2</v>
      </c>
      <c r="G407" s="30">
        <f t="shared" si="85"/>
        <v>4836.5915484371635</v>
      </c>
      <c r="H407" s="38">
        <f t="shared" si="80"/>
        <v>129</v>
      </c>
      <c r="I407" s="39">
        <f t="shared" si="81"/>
        <v>129.29226557152634</v>
      </c>
      <c r="J407" s="40">
        <f t="shared" si="82"/>
        <v>34</v>
      </c>
      <c r="K407" s="43">
        <f>VLOOKUP(J407,Data!$Z$3:$AA$122,2)</f>
        <v>0</v>
      </c>
      <c r="L407" s="41">
        <f t="shared" si="83"/>
        <v>0.29226557152634314</v>
      </c>
      <c r="M407" s="43">
        <f>VLOOKUP(H407,Data!$P$3:$X$122,9)</f>
        <v>0</v>
      </c>
      <c r="N407" s="43">
        <f t="shared" si="86"/>
        <v>0</v>
      </c>
      <c r="O407" s="43">
        <f t="shared" si="87"/>
        <v>0</v>
      </c>
      <c r="P407" s="30">
        <f t="shared" si="88"/>
        <v>0</v>
      </c>
      <c r="Q407" s="31">
        <f t="shared" si="90"/>
        <v>848340.75061972369</v>
      </c>
    </row>
    <row r="408" spans="1:17" x14ac:dyDescent="0.25">
      <c r="A408" s="6">
        <f t="shared" si="89"/>
        <v>55609</v>
      </c>
      <c r="B408" s="30">
        <f>IFERROR(VLOOKUP(A408, Data!$L$3:$N$123, 3),1)*Pension</f>
        <v>112286.47789625335</v>
      </c>
      <c r="C408" s="37">
        <f t="shared" si="78"/>
        <v>33.752224503764545</v>
      </c>
      <c r="D408" s="37">
        <f>IFERROR(VLOOKUP(A408,Data!$I$3:$J$1442,2),0)</f>
        <v>9.3549921999999994E-2</v>
      </c>
      <c r="E408" s="37">
        <f t="shared" si="79"/>
        <v>9.3349921999999988E-2</v>
      </c>
      <c r="F408" s="37">
        <f t="shared" si="84"/>
        <v>4.281924941769704E-2</v>
      </c>
      <c r="G408" s="30">
        <f t="shared" si="85"/>
        <v>4808.0227032743978</v>
      </c>
      <c r="H408" s="38">
        <f t="shared" si="80"/>
        <v>129</v>
      </c>
      <c r="I408" s="39">
        <f t="shared" si="81"/>
        <v>129.37713894592744</v>
      </c>
      <c r="J408" s="40">
        <f t="shared" si="82"/>
        <v>34</v>
      </c>
      <c r="K408" s="43">
        <f>VLOOKUP(J408,Data!$Z$3:$AA$122,2)</f>
        <v>0</v>
      </c>
      <c r="L408" s="41">
        <f t="shared" si="83"/>
        <v>0.37713894592744168</v>
      </c>
      <c r="M408" s="43">
        <f>VLOOKUP(H408,Data!$P$3:$X$122,9)</f>
        <v>0</v>
      </c>
      <c r="N408" s="43">
        <f t="shared" si="86"/>
        <v>0</v>
      </c>
      <c r="O408" s="43">
        <f t="shared" si="87"/>
        <v>0</v>
      </c>
      <c r="P408" s="30">
        <f t="shared" si="88"/>
        <v>0</v>
      </c>
      <c r="Q408" s="31">
        <f t="shared" si="90"/>
        <v>848340.75061972369</v>
      </c>
    </row>
    <row r="409" spans="1:17" x14ac:dyDescent="0.25">
      <c r="A409" s="6">
        <f t="shared" si="89"/>
        <v>55639</v>
      </c>
      <c r="B409" s="30">
        <f>IFERROR(VLOOKUP(A409, Data!$L$3:$N$123, 3),1)*Pension</f>
        <v>112286.47789625335</v>
      </c>
      <c r="C409" s="37">
        <f t="shared" si="78"/>
        <v>33.834360027378509</v>
      </c>
      <c r="D409" s="37">
        <f>IFERROR(VLOOKUP(A409,Data!$I$3:$J$1442,2),0)</f>
        <v>9.3492756999999996E-2</v>
      </c>
      <c r="E409" s="37">
        <f t="shared" si="79"/>
        <v>9.329275699999999E-2</v>
      </c>
      <c r="F409" s="37">
        <f t="shared" si="84"/>
        <v>4.2574460329049123E-2</v>
      </c>
      <c r="G409" s="30">
        <f t="shared" si="85"/>
        <v>4780.5361986826892</v>
      </c>
      <c r="H409" s="38">
        <f t="shared" si="80"/>
        <v>129</v>
      </c>
      <c r="I409" s="39">
        <f t="shared" si="81"/>
        <v>129.45927446954141</v>
      </c>
      <c r="J409" s="40">
        <f t="shared" si="82"/>
        <v>34</v>
      </c>
      <c r="K409" s="43">
        <f>VLOOKUP(J409,Data!$Z$3:$AA$122,2)</f>
        <v>0</v>
      </c>
      <c r="L409" s="41">
        <f t="shared" si="83"/>
        <v>0.4592744695414126</v>
      </c>
      <c r="M409" s="43">
        <f>VLOOKUP(H409,Data!$P$3:$X$122,9)</f>
        <v>0</v>
      </c>
      <c r="N409" s="43">
        <f t="shared" si="86"/>
        <v>0</v>
      </c>
      <c r="O409" s="43">
        <f t="shared" si="87"/>
        <v>0</v>
      </c>
      <c r="P409" s="30">
        <f t="shared" si="88"/>
        <v>0</v>
      </c>
      <c r="Q409" s="31">
        <f t="shared" si="90"/>
        <v>848340.75061972369</v>
      </c>
    </row>
    <row r="410" spans="1:17" x14ac:dyDescent="0.25">
      <c r="A410" s="6">
        <f t="shared" si="89"/>
        <v>55670</v>
      </c>
      <c r="B410" s="30">
        <f>IFERROR(VLOOKUP(A410, Data!$L$3:$N$123, 3),1)*Pension</f>
        <v>112286.47789625335</v>
      </c>
      <c r="C410" s="37">
        <f t="shared" si="78"/>
        <v>33.9192334017796</v>
      </c>
      <c r="D410" s="37">
        <f>IFERROR(VLOOKUP(A410,Data!$I$3:$J$1442,2),0)</f>
        <v>9.3433978000000001E-2</v>
      </c>
      <c r="E410" s="37">
        <f t="shared" si="79"/>
        <v>9.3233977999999995E-2</v>
      </c>
      <c r="F410" s="37">
        <f t="shared" si="84"/>
        <v>4.232298073107757E-2</v>
      </c>
      <c r="G410" s="30">
        <f t="shared" si="85"/>
        <v>4752.2984403636974</v>
      </c>
      <c r="H410" s="38">
        <f t="shared" si="80"/>
        <v>129</v>
      </c>
      <c r="I410" s="39">
        <f t="shared" si="81"/>
        <v>129.54414784394251</v>
      </c>
      <c r="J410" s="40">
        <f t="shared" si="82"/>
        <v>34</v>
      </c>
      <c r="K410" s="43">
        <f>VLOOKUP(J410,Data!$Z$3:$AA$122,2)</f>
        <v>0</v>
      </c>
      <c r="L410" s="41">
        <f t="shared" si="83"/>
        <v>0.54414784394251114</v>
      </c>
      <c r="M410" s="43">
        <f>VLOOKUP(H410,Data!$P$3:$X$122,9)</f>
        <v>0</v>
      </c>
      <c r="N410" s="43">
        <f t="shared" si="86"/>
        <v>0</v>
      </c>
      <c r="O410" s="43">
        <f t="shared" si="87"/>
        <v>0</v>
      </c>
      <c r="P410" s="30">
        <f t="shared" si="88"/>
        <v>0</v>
      </c>
      <c r="Q410" s="31">
        <f t="shared" si="90"/>
        <v>848340.75061972369</v>
      </c>
    </row>
    <row r="411" spans="1:17" x14ac:dyDescent="0.25">
      <c r="A411" s="6">
        <f t="shared" si="89"/>
        <v>55700</v>
      </c>
      <c r="B411" s="30">
        <f>IFERROR(VLOOKUP(A411, Data!$L$3:$N$123, 3),1)*Pension</f>
        <v>112286.47789625335</v>
      </c>
      <c r="C411" s="37">
        <f t="shared" si="78"/>
        <v>34.001368925393564</v>
      </c>
      <c r="D411" s="37">
        <f>IFERROR(VLOOKUP(A411,Data!$I$3:$J$1442,2),0)</f>
        <v>9.3377373999999999E-2</v>
      </c>
      <c r="E411" s="37">
        <f t="shared" si="79"/>
        <v>9.3177373999999993E-2</v>
      </c>
      <c r="F411" s="37">
        <f t="shared" si="84"/>
        <v>4.2081028518434621E-2</v>
      </c>
      <c r="G411" s="30">
        <f t="shared" si="85"/>
        <v>4725.130478586816</v>
      </c>
      <c r="H411" s="38">
        <f t="shared" si="80"/>
        <v>129</v>
      </c>
      <c r="I411" s="39">
        <f t="shared" si="81"/>
        <v>129.62628336755648</v>
      </c>
      <c r="J411" s="40">
        <f t="shared" si="82"/>
        <v>34</v>
      </c>
      <c r="K411" s="43">
        <f>VLOOKUP(J411,Data!$Z$3:$AA$122,2)</f>
        <v>0</v>
      </c>
      <c r="L411" s="41">
        <f t="shared" si="83"/>
        <v>0.62628336755648206</v>
      </c>
      <c r="M411" s="43">
        <f>VLOOKUP(H411,Data!$P$3:$X$122,9)</f>
        <v>0</v>
      </c>
      <c r="N411" s="43">
        <f t="shared" si="86"/>
        <v>0</v>
      </c>
      <c r="O411" s="43">
        <f t="shared" si="87"/>
        <v>0</v>
      </c>
      <c r="P411" s="30">
        <f t="shared" si="88"/>
        <v>0</v>
      </c>
      <c r="Q411" s="31">
        <f t="shared" si="90"/>
        <v>848340.75061972369</v>
      </c>
    </row>
    <row r="412" spans="1:17" x14ac:dyDescent="0.25">
      <c r="A412" s="6">
        <f t="shared" si="89"/>
        <v>55731</v>
      </c>
      <c r="B412" s="30">
        <f>IFERROR(VLOOKUP(A412, Data!$L$3:$N$123, 3),1)*Pension</f>
        <v>112286.47789625335</v>
      </c>
      <c r="C412" s="37">
        <f t="shared" si="78"/>
        <v>34.086242299794662</v>
      </c>
      <c r="D412" s="37">
        <f>IFERROR(VLOOKUP(A412,Data!$I$3:$J$1442,2),0)</f>
        <v>9.3319170000000007E-2</v>
      </c>
      <c r="E412" s="37">
        <f t="shared" si="79"/>
        <v>9.3119170000000001E-2</v>
      </c>
      <c r="F412" s="37">
        <f t="shared" si="84"/>
        <v>4.1832463949594292E-2</v>
      </c>
      <c r="G412" s="30">
        <f t="shared" si="85"/>
        <v>4697.2200386219347</v>
      </c>
      <c r="H412" s="38">
        <f t="shared" si="80"/>
        <v>129</v>
      </c>
      <c r="I412" s="39">
        <f t="shared" si="81"/>
        <v>129.71115674195755</v>
      </c>
      <c r="J412" s="40">
        <f t="shared" si="82"/>
        <v>34</v>
      </c>
      <c r="K412" s="43">
        <f>VLOOKUP(J412,Data!$Z$3:$AA$122,2)</f>
        <v>0</v>
      </c>
      <c r="L412" s="41">
        <f t="shared" si="83"/>
        <v>0.71115674195755219</v>
      </c>
      <c r="M412" s="43">
        <f>VLOOKUP(H412,Data!$P$3:$X$122,9)</f>
        <v>0</v>
      </c>
      <c r="N412" s="43">
        <f t="shared" si="86"/>
        <v>0</v>
      </c>
      <c r="O412" s="43">
        <f t="shared" si="87"/>
        <v>0</v>
      </c>
      <c r="P412" s="30">
        <f t="shared" si="88"/>
        <v>0</v>
      </c>
      <c r="Q412" s="31">
        <f t="shared" si="90"/>
        <v>848340.75061972369</v>
      </c>
    </row>
    <row r="413" spans="1:17" x14ac:dyDescent="0.25">
      <c r="A413" s="6">
        <f t="shared" si="89"/>
        <v>55762</v>
      </c>
      <c r="B413" s="30">
        <f>IFERROR(VLOOKUP(A413, Data!$L$3:$N$123, 3),1)*Pension</f>
        <v>112286.47789625335</v>
      </c>
      <c r="C413" s="37">
        <f t="shared" si="78"/>
        <v>34.171115674195754</v>
      </c>
      <c r="D413" s="37">
        <f>IFERROR(VLOOKUP(A413,Data!$I$3:$J$1442,2),0)</f>
        <v>9.3261255000000001E-2</v>
      </c>
      <c r="E413" s="37">
        <f t="shared" si="79"/>
        <v>9.3061254999999996E-2</v>
      </c>
      <c r="F413" s="37">
        <f t="shared" si="84"/>
        <v>4.1585367790621754E-2</v>
      </c>
      <c r="G413" s="30">
        <f t="shared" si="85"/>
        <v>4669.4744812292156</v>
      </c>
      <c r="H413" s="38">
        <f t="shared" si="80"/>
        <v>129</v>
      </c>
      <c r="I413" s="39">
        <f t="shared" si="81"/>
        <v>129.79603011635865</v>
      </c>
      <c r="J413" s="40">
        <f t="shared" si="82"/>
        <v>34</v>
      </c>
      <c r="K413" s="43">
        <f>VLOOKUP(J413,Data!$Z$3:$AA$122,2)</f>
        <v>0</v>
      </c>
      <c r="L413" s="41">
        <f t="shared" si="83"/>
        <v>0.79603011635865073</v>
      </c>
      <c r="M413" s="43">
        <f>VLOOKUP(H413,Data!$P$3:$X$122,9)</f>
        <v>0</v>
      </c>
      <c r="N413" s="43">
        <f t="shared" si="86"/>
        <v>0</v>
      </c>
      <c r="O413" s="43">
        <f t="shared" si="87"/>
        <v>0</v>
      </c>
      <c r="P413" s="30">
        <f t="shared" si="88"/>
        <v>0</v>
      </c>
      <c r="Q413" s="31">
        <f t="shared" si="90"/>
        <v>848340.75061972369</v>
      </c>
    </row>
    <row r="414" spans="1:17" x14ac:dyDescent="0.25">
      <c r="A414" s="6">
        <f t="shared" si="89"/>
        <v>55792</v>
      </c>
      <c r="B414" s="30">
        <f>IFERROR(VLOOKUP(A414, Data!$L$3:$N$123, 3),1)*Pension</f>
        <v>112286.47789625335</v>
      </c>
      <c r="C414" s="37">
        <f t="shared" si="78"/>
        <v>34.253251197809718</v>
      </c>
      <c r="D414" s="37">
        <f>IFERROR(VLOOKUP(A414,Data!$I$3:$J$1442,2),0)</f>
        <v>9.3205482000000006E-2</v>
      </c>
      <c r="E414" s="37">
        <f t="shared" si="79"/>
        <v>9.3005482E-2</v>
      </c>
      <c r="F414" s="37">
        <f t="shared" si="84"/>
        <v>4.1347631531277143E-2</v>
      </c>
      <c r="G414" s="30">
        <f t="shared" si="85"/>
        <v>4642.7799139991785</v>
      </c>
      <c r="H414" s="38">
        <f t="shared" si="80"/>
        <v>129</v>
      </c>
      <c r="I414" s="39">
        <f t="shared" si="81"/>
        <v>129.87816563997262</v>
      </c>
      <c r="J414" s="40">
        <f t="shared" si="82"/>
        <v>34</v>
      </c>
      <c r="K414" s="43">
        <f>VLOOKUP(J414,Data!$Z$3:$AA$122,2)</f>
        <v>0</v>
      </c>
      <c r="L414" s="41">
        <f t="shared" si="83"/>
        <v>0.87816563997262165</v>
      </c>
      <c r="M414" s="43">
        <f>VLOOKUP(H414,Data!$P$3:$X$122,9)</f>
        <v>0</v>
      </c>
      <c r="N414" s="43">
        <f t="shared" si="86"/>
        <v>0</v>
      </c>
      <c r="O414" s="43">
        <f t="shared" si="87"/>
        <v>0</v>
      </c>
      <c r="P414" s="30">
        <f t="shared" si="88"/>
        <v>0</v>
      </c>
      <c r="Q414" s="31">
        <f t="shared" si="90"/>
        <v>848340.75061972369</v>
      </c>
    </row>
    <row r="415" spans="1:17" x14ac:dyDescent="0.25">
      <c r="A415" s="6">
        <f t="shared" si="89"/>
        <v>55823</v>
      </c>
      <c r="B415" s="30">
        <f>IFERROR(VLOOKUP(A415, Data!$L$3:$N$123, 3),1)*Pension</f>
        <v>112286.47789625335</v>
      </c>
      <c r="C415" s="37">
        <f t="shared" si="78"/>
        <v>34.338124572210816</v>
      </c>
      <c r="D415" s="37">
        <f>IFERROR(VLOOKUP(A415,Data!$I$3:$J$1442,2),0)</f>
        <v>9.3148129999999996E-2</v>
      </c>
      <c r="E415" s="37">
        <f t="shared" si="79"/>
        <v>9.294812999999999E-2</v>
      </c>
      <c r="F415" s="37">
        <f t="shared" si="84"/>
        <v>4.1103398731820583E-2</v>
      </c>
      <c r="G415" s="30">
        <f t="shared" si="85"/>
        <v>4615.3558731614594</v>
      </c>
      <c r="H415" s="38">
        <f t="shared" si="80"/>
        <v>129</v>
      </c>
      <c r="I415" s="39">
        <f t="shared" si="81"/>
        <v>129.96303901437372</v>
      </c>
      <c r="J415" s="40">
        <f t="shared" si="82"/>
        <v>34</v>
      </c>
      <c r="K415" s="43">
        <f>VLOOKUP(J415,Data!$Z$3:$AA$122,2)</f>
        <v>0</v>
      </c>
      <c r="L415" s="41">
        <f t="shared" si="83"/>
        <v>0.96303901437372019</v>
      </c>
      <c r="M415" s="43">
        <f>VLOOKUP(H415,Data!$P$3:$X$122,9)</f>
        <v>0</v>
      </c>
      <c r="N415" s="43">
        <f t="shared" si="86"/>
        <v>0</v>
      </c>
      <c r="O415" s="43">
        <f t="shared" si="87"/>
        <v>0</v>
      </c>
      <c r="P415" s="30">
        <f t="shared" si="88"/>
        <v>0</v>
      </c>
      <c r="Q415" s="31">
        <f t="shared" si="90"/>
        <v>848340.75061972369</v>
      </c>
    </row>
    <row r="416" spans="1:17" x14ac:dyDescent="0.25">
      <c r="A416" s="6">
        <f t="shared" si="89"/>
        <v>55853</v>
      </c>
      <c r="B416" s="30">
        <f>IFERROR(VLOOKUP(A416, Data!$L$3:$N$123, 3),1)*Pension</f>
        <v>112286.47789625335</v>
      </c>
      <c r="C416" s="37">
        <f t="shared" si="78"/>
        <v>34.42026009582478</v>
      </c>
      <c r="D416" s="37">
        <f>IFERROR(VLOOKUP(A416,Data!$I$3:$J$1442,2),0)</f>
        <v>9.3092896999999994E-2</v>
      </c>
      <c r="E416" s="37">
        <f t="shared" si="79"/>
        <v>9.2892896999999988E-2</v>
      </c>
      <c r="F416" s="37">
        <f t="shared" si="84"/>
        <v>4.0868418590929448E-2</v>
      </c>
      <c r="G416" s="30">
        <f t="shared" si="85"/>
        <v>4588.9707807652285</v>
      </c>
      <c r="H416" s="38">
        <f t="shared" si="80"/>
        <v>130</v>
      </c>
      <c r="I416" s="39">
        <f t="shared" si="81"/>
        <v>130.04517453798769</v>
      </c>
      <c r="J416" s="40">
        <f t="shared" si="82"/>
        <v>35</v>
      </c>
      <c r="K416" s="43">
        <f>VLOOKUP(J416,Data!$Z$3:$AA$122,2)</f>
        <v>0</v>
      </c>
      <c r="L416" s="41">
        <f t="shared" si="83"/>
        <v>4.517453798769111E-2</v>
      </c>
      <c r="M416" s="43">
        <f>VLOOKUP(H416,Data!$P$3:$X$122,9)</f>
        <v>0</v>
      </c>
      <c r="N416" s="43">
        <f t="shared" si="86"/>
        <v>0</v>
      </c>
      <c r="O416" s="43">
        <f t="shared" si="87"/>
        <v>0</v>
      </c>
      <c r="P416" s="30">
        <f t="shared" si="88"/>
        <v>0</v>
      </c>
      <c r="Q416" s="31">
        <f t="shared" si="90"/>
        <v>848340.75061972369</v>
      </c>
    </row>
    <row r="417" spans="1:17" x14ac:dyDescent="0.25">
      <c r="A417" s="6">
        <f t="shared" si="89"/>
        <v>55884</v>
      </c>
      <c r="B417" s="30">
        <f>IFERROR(VLOOKUP(A417, Data!$L$3:$N$123, 3),1)*Pension</f>
        <v>117900.80179106603</v>
      </c>
      <c r="C417" s="37">
        <f t="shared" si="78"/>
        <v>34.505133470225871</v>
      </c>
      <c r="D417" s="37">
        <f>IFERROR(VLOOKUP(A417,Data!$I$3:$J$1442,2),0)</f>
        <v>9.3036098999999997E-2</v>
      </c>
      <c r="E417" s="37">
        <f t="shared" si="79"/>
        <v>9.2836098999999991E-2</v>
      </c>
      <c r="F417" s="37">
        <f t="shared" si="84"/>
        <v>4.0627017141538276E-2</v>
      </c>
      <c r="G417" s="30">
        <f t="shared" si="85"/>
        <v>4789.957895366746</v>
      </c>
      <c r="H417" s="38">
        <f t="shared" si="80"/>
        <v>130</v>
      </c>
      <c r="I417" s="39">
        <f t="shared" si="81"/>
        <v>130.13004791238876</v>
      </c>
      <c r="J417" s="40">
        <f t="shared" si="82"/>
        <v>35</v>
      </c>
      <c r="K417" s="43">
        <f>VLOOKUP(J417,Data!$Z$3:$AA$122,2)</f>
        <v>0</v>
      </c>
      <c r="L417" s="41">
        <f t="shared" si="83"/>
        <v>0.13004791238876123</v>
      </c>
      <c r="M417" s="43">
        <f>VLOOKUP(H417,Data!$P$3:$X$122,9)</f>
        <v>0</v>
      </c>
      <c r="N417" s="43">
        <f t="shared" si="86"/>
        <v>0</v>
      </c>
      <c r="O417" s="43">
        <f t="shared" si="87"/>
        <v>0</v>
      </c>
      <c r="P417" s="30">
        <f t="shared" si="88"/>
        <v>0</v>
      </c>
      <c r="Q417" s="31">
        <f t="shared" si="90"/>
        <v>848340.75061972369</v>
      </c>
    </row>
    <row r="418" spans="1:17" x14ac:dyDescent="0.25">
      <c r="A418" s="6">
        <f t="shared" si="89"/>
        <v>55915</v>
      </c>
      <c r="B418" s="30">
        <f>IFERROR(VLOOKUP(A418, Data!$L$3:$N$123, 3),1)*Pension</f>
        <v>117900.80179106603</v>
      </c>
      <c r="C418" s="37">
        <f t="shared" si="78"/>
        <v>34.59000684462697</v>
      </c>
      <c r="D418" s="37">
        <f>IFERROR(VLOOKUP(A418,Data!$I$3:$J$1442,2),0)</f>
        <v>9.2979580000000006E-2</v>
      </c>
      <c r="E418" s="37">
        <f t="shared" si="79"/>
        <v>9.277958E-2</v>
      </c>
      <c r="F418" s="37">
        <f t="shared" si="84"/>
        <v>4.03870412244305E-2</v>
      </c>
      <c r="G418" s="30">
        <f t="shared" si="85"/>
        <v>4761.664542329193</v>
      </c>
      <c r="H418" s="38">
        <f t="shared" si="80"/>
        <v>130</v>
      </c>
      <c r="I418" s="39">
        <f t="shared" si="81"/>
        <v>130.21492128678986</v>
      </c>
      <c r="J418" s="40">
        <f t="shared" si="82"/>
        <v>35</v>
      </c>
      <c r="K418" s="43">
        <f>VLOOKUP(J418,Data!$Z$3:$AA$122,2)</f>
        <v>0</v>
      </c>
      <c r="L418" s="41">
        <f t="shared" si="83"/>
        <v>0.21492128678985978</v>
      </c>
      <c r="M418" s="43">
        <f>VLOOKUP(H418,Data!$P$3:$X$122,9)</f>
        <v>0</v>
      </c>
      <c r="N418" s="43">
        <f t="shared" si="86"/>
        <v>0</v>
      </c>
      <c r="O418" s="43">
        <f t="shared" si="87"/>
        <v>0</v>
      </c>
      <c r="P418" s="30">
        <f t="shared" si="88"/>
        <v>0</v>
      </c>
      <c r="Q418" s="31">
        <f t="shared" si="90"/>
        <v>848340.75061972369</v>
      </c>
    </row>
    <row r="419" spans="1:17" x14ac:dyDescent="0.25">
      <c r="A419" s="6">
        <f t="shared" si="89"/>
        <v>55943</v>
      </c>
      <c r="B419" s="30">
        <f>IFERROR(VLOOKUP(A419, Data!$L$3:$N$123, 3),1)*Pension</f>
        <v>117900.80179106603</v>
      </c>
      <c r="C419" s="37">
        <f t="shared" si="78"/>
        <v>34.666666666666664</v>
      </c>
      <c r="D419" s="37">
        <f>IFERROR(VLOOKUP(A419,Data!$I$3:$J$1442,2),0)</f>
        <v>9.2928767999999995E-2</v>
      </c>
      <c r="E419" s="37">
        <f t="shared" si="79"/>
        <v>9.2728767999999989E-2</v>
      </c>
      <c r="F419" s="37">
        <f t="shared" si="84"/>
        <v>4.0171508007866813E-2</v>
      </c>
      <c r="G419" s="30">
        <f t="shared" si="85"/>
        <v>4736.2530032837267</v>
      </c>
      <c r="H419" s="38">
        <f t="shared" si="80"/>
        <v>130</v>
      </c>
      <c r="I419" s="39">
        <f t="shared" si="81"/>
        <v>130.29158110882958</v>
      </c>
      <c r="J419" s="40">
        <f t="shared" si="82"/>
        <v>35</v>
      </c>
      <c r="K419" s="43">
        <f>VLOOKUP(J419,Data!$Z$3:$AA$122,2)</f>
        <v>0</v>
      </c>
      <c r="L419" s="41">
        <f t="shared" si="83"/>
        <v>0.29158110882957544</v>
      </c>
      <c r="M419" s="43">
        <f>VLOOKUP(H419,Data!$P$3:$X$122,9)</f>
        <v>0</v>
      </c>
      <c r="N419" s="43">
        <f t="shared" si="86"/>
        <v>0</v>
      </c>
      <c r="O419" s="43">
        <f t="shared" si="87"/>
        <v>0</v>
      </c>
      <c r="P419" s="30">
        <f t="shared" si="88"/>
        <v>0</v>
      </c>
      <c r="Q419" s="31">
        <f t="shared" si="90"/>
        <v>848340.75061972369</v>
      </c>
    </row>
    <row r="420" spans="1:17" x14ac:dyDescent="0.25">
      <c r="A420" s="6">
        <f t="shared" si="89"/>
        <v>55974</v>
      </c>
      <c r="B420" s="30">
        <f>IFERROR(VLOOKUP(A420, Data!$L$3:$N$123, 3),1)*Pension</f>
        <v>117900.80179106603</v>
      </c>
      <c r="C420" s="37">
        <f t="shared" si="78"/>
        <v>34.751540041067763</v>
      </c>
      <c r="D420" s="37">
        <f>IFERROR(VLOOKUP(A420,Data!$I$3:$J$1442,2),0)</f>
        <v>9.2872774000000005E-2</v>
      </c>
      <c r="E420" s="37">
        <f t="shared" si="79"/>
        <v>9.2672773999999999E-2</v>
      </c>
      <c r="F420" s="37">
        <f t="shared" si="84"/>
        <v>3.9934222482502238E-2</v>
      </c>
      <c r="G420" s="30">
        <f t="shared" si="85"/>
        <v>4708.276849589829</v>
      </c>
      <c r="H420" s="38">
        <f t="shared" si="80"/>
        <v>130</v>
      </c>
      <c r="I420" s="39">
        <f t="shared" si="81"/>
        <v>130.37645448323067</v>
      </c>
      <c r="J420" s="40">
        <f t="shared" si="82"/>
        <v>35</v>
      </c>
      <c r="K420" s="43">
        <f>VLOOKUP(J420,Data!$Z$3:$AA$122,2)</f>
        <v>0</v>
      </c>
      <c r="L420" s="41">
        <f t="shared" si="83"/>
        <v>0.37645448323067399</v>
      </c>
      <c r="M420" s="43">
        <f>VLOOKUP(H420,Data!$P$3:$X$122,9)</f>
        <v>0</v>
      </c>
      <c r="N420" s="43">
        <f t="shared" si="86"/>
        <v>0</v>
      </c>
      <c r="O420" s="43">
        <f t="shared" si="87"/>
        <v>0</v>
      </c>
      <c r="P420" s="30">
        <f t="shared" si="88"/>
        <v>0</v>
      </c>
      <c r="Q420" s="31">
        <f t="shared" si="90"/>
        <v>848340.75061972369</v>
      </c>
    </row>
    <row r="421" spans="1:17" x14ac:dyDescent="0.25">
      <c r="A421" s="6">
        <f t="shared" si="89"/>
        <v>56004</v>
      </c>
      <c r="B421" s="30">
        <f>IFERROR(VLOOKUP(A421, Data!$L$3:$N$123, 3),1)*Pension</f>
        <v>117900.80179106603</v>
      </c>
      <c r="C421" s="37">
        <f t="shared" si="78"/>
        <v>34.833675564681727</v>
      </c>
      <c r="D421" s="37">
        <f>IFERROR(VLOOKUP(A421,Data!$I$3:$J$1442,2),0)</f>
        <v>9.2818844999999997E-2</v>
      </c>
      <c r="E421" s="37">
        <f t="shared" si="79"/>
        <v>9.2618844999999991E-2</v>
      </c>
      <c r="F421" s="37">
        <f t="shared" si="84"/>
        <v>3.9705927389771932E-2</v>
      </c>
      <c r="G421" s="30">
        <f t="shared" si="85"/>
        <v>4681.3606751119605</v>
      </c>
      <c r="H421" s="38">
        <f t="shared" si="80"/>
        <v>130</v>
      </c>
      <c r="I421" s="39">
        <f t="shared" si="81"/>
        <v>130.45859000684462</v>
      </c>
      <c r="J421" s="40">
        <f t="shared" si="82"/>
        <v>35</v>
      </c>
      <c r="K421" s="43">
        <f>VLOOKUP(J421,Data!$Z$3:$AA$122,2)</f>
        <v>0</v>
      </c>
      <c r="L421" s="41">
        <f t="shared" si="83"/>
        <v>0.45859000684461648</v>
      </c>
      <c r="M421" s="43">
        <f>VLOOKUP(H421,Data!$P$3:$X$122,9)</f>
        <v>0</v>
      </c>
      <c r="N421" s="43">
        <f t="shared" si="86"/>
        <v>0</v>
      </c>
      <c r="O421" s="43">
        <f t="shared" si="87"/>
        <v>0</v>
      </c>
      <c r="P421" s="30">
        <f t="shared" si="88"/>
        <v>0</v>
      </c>
      <c r="Q421" s="31">
        <f t="shared" si="90"/>
        <v>848340.75061972369</v>
      </c>
    </row>
    <row r="422" spans="1:17" x14ac:dyDescent="0.25">
      <c r="A422" s="6">
        <f t="shared" si="89"/>
        <v>56035</v>
      </c>
      <c r="B422" s="30">
        <f>IFERROR(VLOOKUP(A422, Data!$L$3:$N$123, 3),1)*Pension</f>
        <v>117900.80179106603</v>
      </c>
      <c r="C422" s="37">
        <f t="shared" si="78"/>
        <v>34.918548939082818</v>
      </c>
      <c r="D422" s="37">
        <f>IFERROR(VLOOKUP(A422,Data!$I$3:$J$1442,2),0)</f>
        <v>9.2763386000000003E-2</v>
      </c>
      <c r="E422" s="37">
        <f t="shared" si="79"/>
        <v>9.2563385999999997E-2</v>
      </c>
      <c r="F422" s="37">
        <f t="shared" si="84"/>
        <v>3.9471391945901706E-2</v>
      </c>
      <c r="G422" s="30">
        <f t="shared" si="85"/>
        <v>4653.708758231237</v>
      </c>
      <c r="H422" s="38">
        <f t="shared" si="80"/>
        <v>130</v>
      </c>
      <c r="I422" s="39">
        <f t="shared" si="81"/>
        <v>130.54346338124572</v>
      </c>
      <c r="J422" s="40">
        <f t="shared" si="82"/>
        <v>35</v>
      </c>
      <c r="K422" s="43">
        <f>VLOOKUP(J422,Data!$Z$3:$AA$122,2)</f>
        <v>0</v>
      </c>
      <c r="L422" s="41">
        <f t="shared" si="83"/>
        <v>0.54346338124571503</v>
      </c>
      <c r="M422" s="43">
        <f>VLOOKUP(H422,Data!$P$3:$X$122,9)</f>
        <v>0</v>
      </c>
      <c r="N422" s="43">
        <f t="shared" si="86"/>
        <v>0</v>
      </c>
      <c r="O422" s="43">
        <f t="shared" si="87"/>
        <v>0</v>
      </c>
      <c r="P422" s="30">
        <f t="shared" si="88"/>
        <v>0</v>
      </c>
      <c r="Q422" s="31">
        <f t="shared" si="90"/>
        <v>848340.75061972369</v>
      </c>
    </row>
    <row r="423" spans="1:17" x14ac:dyDescent="0.25">
      <c r="A423" s="6">
        <f t="shared" si="89"/>
        <v>56065</v>
      </c>
      <c r="B423" s="30">
        <f>IFERROR(VLOOKUP(A423, Data!$L$3:$N$123, 3),1)*Pension</f>
        <v>117900.80179106603</v>
      </c>
      <c r="C423" s="37">
        <f t="shared" si="78"/>
        <v>35.000684462696782</v>
      </c>
      <c r="D423" s="37">
        <f>IFERROR(VLOOKUP(A423,Data!$I$3:$J$1442,2),0)</f>
        <v>9.2709972000000002E-2</v>
      </c>
      <c r="E423" s="37">
        <f t="shared" si="79"/>
        <v>9.2509971999999996E-2</v>
      </c>
      <c r="F423" s="37">
        <f t="shared" si="84"/>
        <v>3.9245741414848413E-2</v>
      </c>
      <c r="G423" s="30">
        <f t="shared" si="85"/>
        <v>4627.1043796954737</v>
      </c>
      <c r="H423" s="38">
        <f t="shared" si="80"/>
        <v>130</v>
      </c>
      <c r="I423" s="39">
        <f t="shared" si="81"/>
        <v>130.62559890485969</v>
      </c>
      <c r="J423" s="40">
        <f t="shared" si="82"/>
        <v>35</v>
      </c>
      <c r="K423" s="43">
        <f>VLOOKUP(J423,Data!$Z$3:$AA$122,2)</f>
        <v>0</v>
      </c>
      <c r="L423" s="41">
        <f t="shared" si="83"/>
        <v>0.62559890485968594</v>
      </c>
      <c r="M423" s="43">
        <f>VLOOKUP(H423,Data!$P$3:$X$122,9)</f>
        <v>0</v>
      </c>
      <c r="N423" s="43">
        <f t="shared" si="86"/>
        <v>0</v>
      </c>
      <c r="O423" s="43">
        <f t="shared" si="87"/>
        <v>0</v>
      </c>
      <c r="P423" s="30">
        <f t="shared" si="88"/>
        <v>0</v>
      </c>
      <c r="Q423" s="31">
        <f t="shared" si="90"/>
        <v>848340.75061972369</v>
      </c>
    </row>
    <row r="424" spans="1:17" x14ac:dyDescent="0.25">
      <c r="A424" s="6">
        <f t="shared" si="89"/>
        <v>56096</v>
      </c>
      <c r="B424" s="30">
        <f>IFERROR(VLOOKUP(A424, Data!$L$3:$N$123, 3),1)*Pension</f>
        <v>117900.80179106603</v>
      </c>
      <c r="C424" s="37">
        <f t="shared" si="78"/>
        <v>35.08555783709788</v>
      </c>
      <c r="D424" s="37">
        <f>IFERROR(VLOOKUP(A424,Data!$I$3:$J$1442,2),0)</f>
        <v>9.2655039999999994E-2</v>
      </c>
      <c r="E424" s="37">
        <f t="shared" si="79"/>
        <v>9.2455039999999988E-2</v>
      </c>
      <c r="F424" s="37">
        <f t="shared" si="84"/>
        <v>3.9013924689717649E-2</v>
      </c>
      <c r="G424" s="30">
        <f t="shared" si="85"/>
        <v>4599.7730019339779</v>
      </c>
      <c r="H424" s="38">
        <f t="shared" si="80"/>
        <v>130</v>
      </c>
      <c r="I424" s="39">
        <f t="shared" si="81"/>
        <v>130.71047227926078</v>
      </c>
      <c r="J424" s="40">
        <f t="shared" si="82"/>
        <v>35</v>
      </c>
      <c r="K424" s="43">
        <f>VLOOKUP(J424,Data!$Z$3:$AA$122,2)</f>
        <v>0</v>
      </c>
      <c r="L424" s="41">
        <f t="shared" si="83"/>
        <v>0.71047227926078449</v>
      </c>
      <c r="M424" s="43">
        <f>VLOOKUP(H424,Data!$P$3:$X$122,9)</f>
        <v>0</v>
      </c>
      <c r="N424" s="43">
        <f t="shared" si="86"/>
        <v>0</v>
      </c>
      <c r="O424" s="43">
        <f t="shared" si="87"/>
        <v>0</v>
      </c>
      <c r="P424" s="30">
        <f t="shared" si="88"/>
        <v>0</v>
      </c>
      <c r="Q424" s="31">
        <f t="shared" si="90"/>
        <v>848340.75061972369</v>
      </c>
    </row>
    <row r="425" spans="1:17" x14ac:dyDescent="0.25">
      <c r="A425" s="6">
        <f t="shared" si="89"/>
        <v>56127</v>
      </c>
      <c r="B425" s="30">
        <f>IFERROR(VLOOKUP(A425, Data!$L$3:$N$123, 3),1)*Pension</f>
        <v>117900.80179106603</v>
      </c>
      <c r="C425" s="37">
        <f t="shared" si="78"/>
        <v>35.170431211498972</v>
      </c>
      <c r="D425" s="37">
        <f>IFERROR(VLOOKUP(A425,Data!$I$3:$J$1442,2),0)</f>
        <v>9.2600373E-2</v>
      </c>
      <c r="E425" s="37">
        <f t="shared" si="79"/>
        <v>9.2400372999999994E-2</v>
      </c>
      <c r="F425" s="37">
        <f t="shared" si="84"/>
        <v>3.8783477428755535E-2</v>
      </c>
      <c r="G425" s="30">
        <f t="shared" si="85"/>
        <v>4572.6030850959896</v>
      </c>
      <c r="H425" s="38">
        <f t="shared" si="80"/>
        <v>130</v>
      </c>
      <c r="I425" s="39">
        <f t="shared" si="81"/>
        <v>130.79534565366188</v>
      </c>
      <c r="J425" s="40">
        <f t="shared" si="82"/>
        <v>35</v>
      </c>
      <c r="K425" s="43">
        <f>VLOOKUP(J425,Data!$Z$3:$AA$122,2)</f>
        <v>0</v>
      </c>
      <c r="L425" s="41">
        <f t="shared" si="83"/>
        <v>0.79534565366188303</v>
      </c>
      <c r="M425" s="43">
        <f>VLOOKUP(H425,Data!$P$3:$X$122,9)</f>
        <v>0</v>
      </c>
      <c r="N425" s="43">
        <f t="shared" si="86"/>
        <v>0</v>
      </c>
      <c r="O425" s="43">
        <f t="shared" si="87"/>
        <v>0</v>
      </c>
      <c r="P425" s="30">
        <f t="shared" si="88"/>
        <v>0</v>
      </c>
      <c r="Q425" s="31">
        <f t="shared" si="90"/>
        <v>848340.75061972369</v>
      </c>
    </row>
    <row r="426" spans="1:17" x14ac:dyDescent="0.25">
      <c r="A426" s="6">
        <f t="shared" si="89"/>
        <v>56157</v>
      </c>
      <c r="B426" s="30">
        <f>IFERROR(VLOOKUP(A426, Data!$L$3:$N$123, 3),1)*Pension</f>
        <v>117900.80179106603</v>
      </c>
      <c r="C426" s="37">
        <f t="shared" si="78"/>
        <v>35.252566735112936</v>
      </c>
      <c r="D426" s="37">
        <f>IFERROR(VLOOKUP(A426,Data!$I$3:$J$1442,2),0)</f>
        <v>9.254772E-2</v>
      </c>
      <c r="E426" s="37">
        <f t="shared" si="79"/>
        <v>9.2347719999999994E-2</v>
      </c>
      <c r="F426" s="37">
        <f t="shared" si="84"/>
        <v>3.8561760192514144E-2</v>
      </c>
      <c r="G426" s="30">
        <f t="shared" si="85"/>
        <v>4546.4624451722302</v>
      </c>
      <c r="H426" s="38">
        <f t="shared" si="80"/>
        <v>130</v>
      </c>
      <c r="I426" s="39">
        <f t="shared" si="81"/>
        <v>130.87748117727583</v>
      </c>
      <c r="J426" s="40">
        <f t="shared" si="82"/>
        <v>35</v>
      </c>
      <c r="K426" s="43">
        <f>VLOOKUP(J426,Data!$Z$3:$AA$122,2)</f>
        <v>0</v>
      </c>
      <c r="L426" s="41">
        <f t="shared" si="83"/>
        <v>0.87748117727582553</v>
      </c>
      <c r="M426" s="43">
        <f>VLOOKUP(H426,Data!$P$3:$X$122,9)</f>
        <v>0</v>
      </c>
      <c r="N426" s="43">
        <f t="shared" si="86"/>
        <v>0</v>
      </c>
      <c r="O426" s="43">
        <f t="shared" si="87"/>
        <v>0</v>
      </c>
      <c r="P426" s="30">
        <f t="shared" si="88"/>
        <v>0</v>
      </c>
      <c r="Q426" s="31">
        <f t="shared" si="90"/>
        <v>848340.75061972369</v>
      </c>
    </row>
    <row r="427" spans="1:17" x14ac:dyDescent="0.25">
      <c r="A427" s="6">
        <f t="shared" si="89"/>
        <v>56188</v>
      </c>
      <c r="B427" s="30">
        <f>IFERROR(VLOOKUP(A427, Data!$L$3:$N$123, 3),1)*Pension</f>
        <v>117900.80179106603</v>
      </c>
      <c r="C427" s="37">
        <f t="shared" si="78"/>
        <v>35.337440109514034</v>
      </c>
      <c r="D427" s="37">
        <f>IFERROR(VLOOKUP(A427,Data!$I$3:$J$1442,2),0)</f>
        <v>9.2493568999999998E-2</v>
      </c>
      <c r="E427" s="37">
        <f t="shared" si="79"/>
        <v>9.2293568999999992E-2</v>
      </c>
      <c r="F427" s="37">
        <f t="shared" si="84"/>
        <v>3.8333983942008647E-2</v>
      </c>
      <c r="G427" s="30">
        <f t="shared" si="85"/>
        <v>4519.6074426086698</v>
      </c>
      <c r="H427" s="38">
        <f t="shared" si="80"/>
        <v>130</v>
      </c>
      <c r="I427" s="39">
        <f t="shared" si="81"/>
        <v>130.96235455167692</v>
      </c>
      <c r="J427" s="40">
        <f t="shared" si="82"/>
        <v>35</v>
      </c>
      <c r="K427" s="43">
        <f>VLOOKUP(J427,Data!$Z$3:$AA$122,2)</f>
        <v>0</v>
      </c>
      <c r="L427" s="41">
        <f t="shared" si="83"/>
        <v>0.96235455167692407</v>
      </c>
      <c r="M427" s="43">
        <f>VLOOKUP(H427,Data!$P$3:$X$122,9)</f>
        <v>0</v>
      </c>
      <c r="N427" s="43">
        <f t="shared" si="86"/>
        <v>0</v>
      </c>
      <c r="O427" s="43">
        <f t="shared" si="87"/>
        <v>0</v>
      </c>
      <c r="P427" s="30">
        <f t="shared" si="88"/>
        <v>0</v>
      </c>
      <c r="Q427" s="31">
        <f t="shared" si="90"/>
        <v>848340.75061972369</v>
      </c>
    </row>
    <row r="428" spans="1:17" x14ac:dyDescent="0.25">
      <c r="A428" s="6">
        <f t="shared" si="89"/>
        <v>56218</v>
      </c>
      <c r="B428" s="30">
        <f>IFERROR(VLOOKUP(A428, Data!$L$3:$N$123, 3),1)*Pension</f>
        <v>117900.80179106603</v>
      </c>
      <c r="C428" s="37">
        <f t="shared" si="78"/>
        <v>35.419575633127998</v>
      </c>
      <c r="D428" s="37">
        <f>IFERROR(VLOOKUP(A428,Data!$I$3:$J$1442,2),0)</f>
        <v>9.2441412000000001E-2</v>
      </c>
      <c r="E428" s="37">
        <f t="shared" si="79"/>
        <v>9.2241411999999995E-2</v>
      </c>
      <c r="F428" s="37">
        <f t="shared" si="84"/>
        <v>3.8114836285044681E-2</v>
      </c>
      <c r="G428" s="30">
        <f t="shared" si="85"/>
        <v>4493.7697581419843</v>
      </c>
      <c r="H428" s="38">
        <f t="shared" si="80"/>
        <v>131</v>
      </c>
      <c r="I428" s="39">
        <f t="shared" si="81"/>
        <v>131.04449007529089</v>
      </c>
      <c r="J428" s="40">
        <f t="shared" si="82"/>
        <v>36</v>
      </c>
      <c r="K428" s="43">
        <f>VLOOKUP(J428,Data!$Z$3:$AA$122,2)</f>
        <v>0</v>
      </c>
      <c r="L428" s="41">
        <f t="shared" si="83"/>
        <v>4.4490075290894993E-2</v>
      </c>
      <c r="M428" s="43">
        <f>VLOOKUP(H428,Data!$P$3:$X$122,9)</f>
        <v>0</v>
      </c>
      <c r="N428" s="43">
        <f t="shared" si="86"/>
        <v>0</v>
      </c>
      <c r="O428" s="43">
        <f t="shared" si="87"/>
        <v>0</v>
      </c>
      <c r="P428" s="30">
        <f t="shared" si="88"/>
        <v>0</v>
      </c>
      <c r="Q428" s="31">
        <f t="shared" si="90"/>
        <v>848340.75061972369</v>
      </c>
    </row>
    <row r="429" spans="1:17" x14ac:dyDescent="0.25">
      <c r="A429" s="6">
        <f t="shared" si="89"/>
        <v>56249</v>
      </c>
      <c r="B429" s="30">
        <f>IFERROR(VLOOKUP(A429, Data!$L$3:$N$123, 3),1)*Pension</f>
        <v>123795.84188061931</v>
      </c>
      <c r="C429" s="37">
        <f t="shared" si="78"/>
        <v>35.504449007529089</v>
      </c>
      <c r="D429" s="37">
        <f>IFERROR(VLOOKUP(A429,Data!$I$3:$J$1442,2),0)</f>
        <v>9.2387769999999994E-2</v>
      </c>
      <c r="E429" s="37">
        <f t="shared" si="79"/>
        <v>9.2187769999999988E-2</v>
      </c>
      <c r="F429" s="37">
        <f t="shared" si="84"/>
        <v>3.7889699717969023E-2</v>
      </c>
      <c r="G429" s="30">
        <f t="shared" si="85"/>
        <v>4690.5872751898396</v>
      </c>
      <c r="H429" s="38">
        <f t="shared" si="80"/>
        <v>131</v>
      </c>
      <c r="I429" s="39">
        <f t="shared" si="81"/>
        <v>131.12936344969199</v>
      </c>
      <c r="J429" s="40">
        <f t="shared" si="82"/>
        <v>36</v>
      </c>
      <c r="K429" s="43">
        <f>VLOOKUP(J429,Data!$Z$3:$AA$122,2)</f>
        <v>0</v>
      </c>
      <c r="L429" s="41">
        <f t="shared" si="83"/>
        <v>0.12936344969199354</v>
      </c>
      <c r="M429" s="43">
        <f>VLOOKUP(H429,Data!$P$3:$X$122,9)</f>
        <v>0</v>
      </c>
      <c r="N429" s="43">
        <f t="shared" si="86"/>
        <v>0</v>
      </c>
      <c r="O429" s="43">
        <f t="shared" si="87"/>
        <v>0</v>
      </c>
      <c r="P429" s="30">
        <f t="shared" si="88"/>
        <v>0</v>
      </c>
      <c r="Q429" s="31">
        <f t="shared" si="90"/>
        <v>848340.75061972369</v>
      </c>
    </row>
    <row r="430" spans="1:17" x14ac:dyDescent="0.25">
      <c r="A430" s="6">
        <f t="shared" si="89"/>
        <v>56280</v>
      </c>
      <c r="B430" s="30">
        <f>IFERROR(VLOOKUP(A430, Data!$L$3:$N$123, 3),1)*Pension</f>
        <v>123795.84188061931</v>
      </c>
      <c r="C430" s="37">
        <f t="shared" si="78"/>
        <v>35.589322381930188</v>
      </c>
      <c r="D430" s="37">
        <f>IFERROR(VLOOKUP(A430,Data!$I$3:$J$1442,2),0)</f>
        <v>9.2334384000000005E-2</v>
      </c>
      <c r="E430" s="37">
        <f t="shared" si="79"/>
        <v>9.2134384E-2</v>
      </c>
      <c r="F430" s="37">
        <f t="shared" si="84"/>
        <v>3.7665892786634375E-2</v>
      </c>
      <c r="G430" s="30">
        <f t="shared" si="85"/>
        <v>4662.8809077065489</v>
      </c>
      <c r="H430" s="38">
        <f t="shared" si="80"/>
        <v>131</v>
      </c>
      <c r="I430" s="39">
        <f t="shared" si="81"/>
        <v>131.21423682409309</v>
      </c>
      <c r="J430" s="40">
        <f t="shared" si="82"/>
        <v>36</v>
      </c>
      <c r="K430" s="43">
        <f>VLOOKUP(J430,Data!$Z$3:$AA$122,2)</f>
        <v>0</v>
      </c>
      <c r="L430" s="41">
        <f t="shared" si="83"/>
        <v>0.21423682409309208</v>
      </c>
      <c r="M430" s="43">
        <f>VLOOKUP(H430,Data!$P$3:$X$122,9)</f>
        <v>0</v>
      </c>
      <c r="N430" s="43">
        <f t="shared" si="86"/>
        <v>0</v>
      </c>
      <c r="O430" s="43">
        <f t="shared" si="87"/>
        <v>0</v>
      </c>
      <c r="P430" s="30">
        <f t="shared" si="88"/>
        <v>0</v>
      </c>
      <c r="Q430" s="31">
        <f t="shared" si="90"/>
        <v>848340.75061972369</v>
      </c>
    </row>
    <row r="431" spans="1:17" x14ac:dyDescent="0.25">
      <c r="A431" s="6">
        <f t="shared" si="89"/>
        <v>56308</v>
      </c>
      <c r="B431" s="30">
        <f>IFERROR(VLOOKUP(A431, Data!$L$3:$N$123, 3),1)*Pension</f>
        <v>123795.84188061931</v>
      </c>
      <c r="C431" s="37">
        <f t="shared" si="78"/>
        <v>35.665982203969882</v>
      </c>
      <c r="D431" s="37">
        <f>IFERROR(VLOOKUP(A431,Data!$I$3:$J$1442,2),0)</f>
        <v>9.2286382E-2</v>
      </c>
      <c r="E431" s="37">
        <f t="shared" si="79"/>
        <v>9.2086381999999994E-2</v>
      </c>
      <c r="F431" s="37">
        <f t="shared" si="84"/>
        <v>3.7464882117532947E-2</v>
      </c>
      <c r="G431" s="30">
        <f t="shared" si="85"/>
        <v>4637.9966226981505</v>
      </c>
      <c r="H431" s="38">
        <f t="shared" si="80"/>
        <v>131</v>
      </c>
      <c r="I431" s="39">
        <f t="shared" si="81"/>
        <v>131.29089664613278</v>
      </c>
      <c r="J431" s="40">
        <f t="shared" si="82"/>
        <v>36</v>
      </c>
      <c r="K431" s="43">
        <f>VLOOKUP(J431,Data!$Z$3:$AA$122,2)</f>
        <v>0</v>
      </c>
      <c r="L431" s="41">
        <f t="shared" si="83"/>
        <v>0.29089664613277932</v>
      </c>
      <c r="M431" s="43">
        <f>VLOOKUP(H431,Data!$P$3:$X$122,9)</f>
        <v>0</v>
      </c>
      <c r="N431" s="43">
        <f t="shared" si="86"/>
        <v>0</v>
      </c>
      <c r="O431" s="43">
        <f t="shared" si="87"/>
        <v>0</v>
      </c>
      <c r="P431" s="30">
        <f t="shared" si="88"/>
        <v>0</v>
      </c>
      <c r="Q431" s="31">
        <f t="shared" si="90"/>
        <v>848340.75061972369</v>
      </c>
    </row>
    <row r="432" spans="1:17" x14ac:dyDescent="0.25">
      <c r="A432" s="6">
        <f t="shared" si="89"/>
        <v>56339</v>
      </c>
      <c r="B432" s="30">
        <f>IFERROR(VLOOKUP(A432, Data!$L$3:$N$123, 3),1)*Pension</f>
        <v>123795.84188061931</v>
      </c>
      <c r="C432" s="37">
        <f t="shared" si="78"/>
        <v>35.750855578370981</v>
      </c>
      <c r="D432" s="37">
        <f>IFERROR(VLOOKUP(A432,Data!$I$3:$J$1442,2),0)</f>
        <v>9.2233477999999994E-2</v>
      </c>
      <c r="E432" s="37">
        <f t="shared" si="79"/>
        <v>9.2033477999999988E-2</v>
      </c>
      <c r="F432" s="37">
        <f t="shared" si="84"/>
        <v>3.7243584381724905E-2</v>
      </c>
      <c r="G432" s="30">
        <f t="shared" si="85"/>
        <v>4610.6008831875188</v>
      </c>
      <c r="H432" s="38">
        <f t="shared" si="80"/>
        <v>131</v>
      </c>
      <c r="I432" s="39">
        <f t="shared" si="81"/>
        <v>131.37577002053388</v>
      </c>
      <c r="J432" s="40">
        <f t="shared" si="82"/>
        <v>36</v>
      </c>
      <c r="K432" s="43">
        <f>VLOOKUP(J432,Data!$Z$3:$AA$122,2)</f>
        <v>0</v>
      </c>
      <c r="L432" s="41">
        <f t="shared" si="83"/>
        <v>0.37577002053387787</v>
      </c>
      <c r="M432" s="43">
        <f>VLOOKUP(H432,Data!$P$3:$X$122,9)</f>
        <v>0</v>
      </c>
      <c r="N432" s="43">
        <f t="shared" si="86"/>
        <v>0</v>
      </c>
      <c r="O432" s="43">
        <f t="shared" si="87"/>
        <v>0</v>
      </c>
      <c r="P432" s="30">
        <f t="shared" si="88"/>
        <v>0</v>
      </c>
      <c r="Q432" s="31">
        <f t="shared" si="90"/>
        <v>848340.75061972369</v>
      </c>
    </row>
    <row r="433" spans="1:17" x14ac:dyDescent="0.25">
      <c r="A433" s="6">
        <f t="shared" si="89"/>
        <v>56369</v>
      </c>
      <c r="B433" s="30">
        <f>IFERROR(VLOOKUP(A433, Data!$L$3:$N$123, 3),1)*Pension</f>
        <v>123795.84188061931</v>
      </c>
      <c r="C433" s="37">
        <f t="shared" si="78"/>
        <v>35.832991101984945</v>
      </c>
      <c r="D433" s="37">
        <f>IFERROR(VLOOKUP(A433,Data!$I$3:$J$1442,2),0)</f>
        <v>9.2182519000000004E-2</v>
      </c>
      <c r="E433" s="37">
        <f t="shared" si="79"/>
        <v>9.1982518999999999E-2</v>
      </c>
      <c r="F433" s="37">
        <f t="shared" si="84"/>
        <v>3.7030670219124769E-2</v>
      </c>
      <c r="G433" s="30">
        <f t="shared" si="85"/>
        <v>4584.2429951801278</v>
      </c>
      <c r="H433" s="38">
        <f t="shared" si="80"/>
        <v>131</v>
      </c>
      <c r="I433" s="39">
        <f t="shared" si="81"/>
        <v>131.45790554414785</v>
      </c>
      <c r="J433" s="40">
        <f t="shared" si="82"/>
        <v>36</v>
      </c>
      <c r="K433" s="43">
        <f>VLOOKUP(J433,Data!$Z$3:$AA$122,2)</f>
        <v>0</v>
      </c>
      <c r="L433" s="41">
        <f t="shared" si="83"/>
        <v>0.45790554414784879</v>
      </c>
      <c r="M433" s="43">
        <f>VLOOKUP(H433,Data!$P$3:$X$122,9)</f>
        <v>0</v>
      </c>
      <c r="N433" s="43">
        <f t="shared" si="86"/>
        <v>0</v>
      </c>
      <c r="O433" s="43">
        <f t="shared" si="87"/>
        <v>0</v>
      </c>
      <c r="P433" s="30">
        <f t="shared" si="88"/>
        <v>0</v>
      </c>
      <c r="Q433" s="31">
        <f t="shared" si="90"/>
        <v>848340.75061972369</v>
      </c>
    </row>
    <row r="434" spans="1:17" x14ac:dyDescent="0.25">
      <c r="A434" s="6">
        <f t="shared" si="89"/>
        <v>56400</v>
      </c>
      <c r="B434" s="30">
        <f>IFERROR(VLOOKUP(A434, Data!$L$3:$N$123, 3),1)*Pension</f>
        <v>123795.84188061931</v>
      </c>
      <c r="C434" s="37">
        <f t="shared" si="78"/>
        <v>35.917864476386036</v>
      </c>
      <c r="D434" s="37">
        <f>IFERROR(VLOOKUP(A434,Data!$I$3:$J$1442,2),0)</f>
        <v>9.2130106000000003E-2</v>
      </c>
      <c r="E434" s="37">
        <f t="shared" si="79"/>
        <v>9.1930105999999998E-2</v>
      </c>
      <c r="F434" s="37">
        <f t="shared" si="84"/>
        <v>3.6811937839225491E-2</v>
      </c>
      <c r="G434" s="30">
        <f t="shared" si="85"/>
        <v>4557.1648360639456</v>
      </c>
      <c r="H434" s="38">
        <f t="shared" si="80"/>
        <v>131</v>
      </c>
      <c r="I434" s="39">
        <f t="shared" si="81"/>
        <v>131.54277891854895</v>
      </c>
      <c r="J434" s="40">
        <f t="shared" si="82"/>
        <v>36</v>
      </c>
      <c r="K434" s="43">
        <f>VLOOKUP(J434,Data!$Z$3:$AA$122,2)</f>
        <v>0</v>
      </c>
      <c r="L434" s="41">
        <f t="shared" si="83"/>
        <v>0.54277891854894733</v>
      </c>
      <c r="M434" s="43">
        <f>VLOOKUP(H434,Data!$P$3:$X$122,9)</f>
        <v>0</v>
      </c>
      <c r="N434" s="43">
        <f t="shared" si="86"/>
        <v>0</v>
      </c>
      <c r="O434" s="43">
        <f t="shared" si="87"/>
        <v>0</v>
      </c>
      <c r="P434" s="30">
        <f t="shared" si="88"/>
        <v>0</v>
      </c>
      <c r="Q434" s="31">
        <f t="shared" si="90"/>
        <v>848340.75061972369</v>
      </c>
    </row>
    <row r="435" spans="1:17" x14ac:dyDescent="0.25">
      <c r="A435" s="6">
        <f t="shared" si="89"/>
        <v>56430</v>
      </c>
      <c r="B435" s="30">
        <f>IFERROR(VLOOKUP(A435, Data!$L$3:$N$123, 3),1)*Pension</f>
        <v>123795.84188061931</v>
      </c>
      <c r="C435" s="37">
        <f t="shared" si="78"/>
        <v>36</v>
      </c>
      <c r="D435" s="37">
        <f>IFERROR(VLOOKUP(A435,Data!$I$3:$J$1442,2),0)</f>
        <v>9.2079619000000001E-2</v>
      </c>
      <c r="E435" s="37">
        <f t="shared" si="79"/>
        <v>9.1879618999999996E-2</v>
      </c>
      <c r="F435" s="37">
        <f t="shared" si="84"/>
        <v>3.6601491647833821E-2</v>
      </c>
      <c r="G435" s="30">
        <f t="shared" si="85"/>
        <v>4531.1124726300441</v>
      </c>
      <c r="H435" s="38">
        <f t="shared" si="80"/>
        <v>131</v>
      </c>
      <c r="I435" s="39">
        <f t="shared" si="81"/>
        <v>131.62491444216289</v>
      </c>
      <c r="J435" s="40">
        <f t="shared" si="82"/>
        <v>36</v>
      </c>
      <c r="K435" s="43">
        <f>VLOOKUP(J435,Data!$Z$3:$AA$122,2)</f>
        <v>0</v>
      </c>
      <c r="L435" s="41">
        <f t="shared" si="83"/>
        <v>0.62491444216288983</v>
      </c>
      <c r="M435" s="43">
        <f>VLOOKUP(H435,Data!$P$3:$X$122,9)</f>
        <v>0</v>
      </c>
      <c r="N435" s="43">
        <f t="shared" si="86"/>
        <v>0</v>
      </c>
      <c r="O435" s="43">
        <f t="shared" si="87"/>
        <v>0</v>
      </c>
      <c r="P435" s="30">
        <f t="shared" si="88"/>
        <v>0</v>
      </c>
      <c r="Q435" s="31">
        <f t="shared" si="90"/>
        <v>848340.75061972369</v>
      </c>
    </row>
    <row r="436" spans="1:17" x14ac:dyDescent="0.25">
      <c r="A436" s="6">
        <f t="shared" si="89"/>
        <v>56461</v>
      </c>
      <c r="B436" s="30">
        <f>IFERROR(VLOOKUP(A436, Data!$L$3:$N$123, 3),1)*Pension</f>
        <v>123795.84188061931</v>
      </c>
      <c r="C436" s="37">
        <f t="shared" si="78"/>
        <v>36.084873374401099</v>
      </c>
      <c r="D436" s="37">
        <f>IFERROR(VLOOKUP(A436,Data!$I$3:$J$1442,2),0)</f>
        <v>9.2027690999999995E-2</v>
      </c>
      <c r="E436" s="37">
        <f t="shared" si="79"/>
        <v>9.1827690999999989E-2</v>
      </c>
      <c r="F436" s="37">
        <f t="shared" si="84"/>
        <v>3.6385293816772753E-2</v>
      </c>
      <c r="G436" s="30">
        <f t="shared" si="85"/>
        <v>4504.3480801210753</v>
      </c>
      <c r="H436" s="38">
        <f t="shared" si="80"/>
        <v>131</v>
      </c>
      <c r="I436" s="39">
        <f t="shared" si="81"/>
        <v>131.70978781656399</v>
      </c>
      <c r="J436" s="40">
        <f t="shared" si="82"/>
        <v>36</v>
      </c>
      <c r="K436" s="43">
        <f>VLOOKUP(J436,Data!$Z$3:$AA$122,2)</f>
        <v>0</v>
      </c>
      <c r="L436" s="41">
        <f t="shared" si="83"/>
        <v>0.70978781656398837</v>
      </c>
      <c r="M436" s="43">
        <f>VLOOKUP(H436,Data!$P$3:$X$122,9)</f>
        <v>0</v>
      </c>
      <c r="N436" s="43">
        <f t="shared" si="86"/>
        <v>0</v>
      </c>
      <c r="O436" s="43">
        <f t="shared" si="87"/>
        <v>0</v>
      </c>
      <c r="P436" s="30">
        <f t="shared" si="88"/>
        <v>0</v>
      </c>
      <c r="Q436" s="31">
        <f t="shared" si="90"/>
        <v>848340.75061972369</v>
      </c>
    </row>
    <row r="437" spans="1:17" x14ac:dyDescent="0.25">
      <c r="A437" s="6">
        <f t="shared" si="89"/>
        <v>56492</v>
      </c>
      <c r="B437" s="30">
        <f>IFERROR(VLOOKUP(A437, Data!$L$3:$N$123, 3),1)*Pension</f>
        <v>123795.84188061931</v>
      </c>
      <c r="C437" s="37">
        <f t="shared" si="78"/>
        <v>36.16974674880219</v>
      </c>
      <c r="D437" s="37">
        <f>IFERROR(VLOOKUP(A437,Data!$I$3:$J$1442,2),0)</f>
        <v>9.1976005999999999E-2</v>
      </c>
      <c r="E437" s="37">
        <f t="shared" si="79"/>
        <v>9.1776005999999993E-2</v>
      </c>
      <c r="F437" s="37">
        <f t="shared" si="84"/>
        <v>3.6170373941194732E-2</v>
      </c>
      <c r="G437" s="30">
        <f t="shared" si="85"/>
        <v>4477.7418931870161</v>
      </c>
      <c r="H437" s="38">
        <f t="shared" si="80"/>
        <v>131</v>
      </c>
      <c r="I437" s="39">
        <f t="shared" si="81"/>
        <v>131.79466119096509</v>
      </c>
      <c r="J437" s="40">
        <f t="shared" si="82"/>
        <v>36</v>
      </c>
      <c r="K437" s="43">
        <f>VLOOKUP(J437,Data!$Z$3:$AA$122,2)</f>
        <v>0</v>
      </c>
      <c r="L437" s="41">
        <f t="shared" si="83"/>
        <v>0.79466119096508692</v>
      </c>
      <c r="M437" s="43">
        <f>VLOOKUP(H437,Data!$P$3:$X$122,9)</f>
        <v>0</v>
      </c>
      <c r="N437" s="43">
        <f t="shared" si="86"/>
        <v>0</v>
      </c>
      <c r="O437" s="43">
        <f t="shared" si="87"/>
        <v>0</v>
      </c>
      <c r="P437" s="30">
        <f t="shared" si="88"/>
        <v>0</v>
      </c>
      <c r="Q437" s="31">
        <f t="shared" si="90"/>
        <v>848340.75061972369</v>
      </c>
    </row>
    <row r="438" spans="1:17" x14ac:dyDescent="0.25">
      <c r="A438" s="6">
        <f t="shared" si="89"/>
        <v>56522</v>
      </c>
      <c r="B438" s="30">
        <f>IFERROR(VLOOKUP(A438, Data!$L$3:$N$123, 3),1)*Pension</f>
        <v>123795.84188061931</v>
      </c>
      <c r="C438" s="37">
        <f t="shared" si="78"/>
        <v>36.251882272416154</v>
      </c>
      <c r="D438" s="37">
        <f>IFERROR(VLOOKUP(A438,Data!$I$3:$J$1442,2),0)</f>
        <v>9.1926219000000003E-2</v>
      </c>
      <c r="E438" s="37">
        <f t="shared" si="79"/>
        <v>9.1726218999999998E-2</v>
      </c>
      <c r="F438" s="37">
        <f t="shared" si="84"/>
        <v>3.5963595348933862E-2</v>
      </c>
      <c r="G438" s="30">
        <f t="shared" si="85"/>
        <v>4452.1435632751927</v>
      </c>
      <c r="H438" s="38">
        <f t="shared" si="80"/>
        <v>131</v>
      </c>
      <c r="I438" s="39">
        <f t="shared" si="81"/>
        <v>131.87679671457906</v>
      </c>
      <c r="J438" s="40">
        <f t="shared" si="82"/>
        <v>36</v>
      </c>
      <c r="K438" s="43">
        <f>VLOOKUP(J438,Data!$Z$3:$AA$122,2)</f>
        <v>0</v>
      </c>
      <c r="L438" s="41">
        <f t="shared" si="83"/>
        <v>0.87679671457905783</v>
      </c>
      <c r="M438" s="43">
        <f>VLOOKUP(H438,Data!$P$3:$X$122,9)</f>
        <v>0</v>
      </c>
      <c r="N438" s="43">
        <f t="shared" si="86"/>
        <v>0</v>
      </c>
      <c r="O438" s="43">
        <f t="shared" si="87"/>
        <v>0</v>
      </c>
      <c r="P438" s="30">
        <f t="shared" si="88"/>
        <v>0</v>
      </c>
      <c r="Q438" s="31">
        <f t="shared" si="90"/>
        <v>848340.75061972369</v>
      </c>
    </row>
    <row r="439" spans="1:17" x14ac:dyDescent="0.25">
      <c r="A439" s="6">
        <f t="shared" si="89"/>
        <v>56553</v>
      </c>
      <c r="B439" s="30">
        <f>IFERROR(VLOOKUP(A439, Data!$L$3:$N$123, 3),1)*Pension</f>
        <v>123795.84188061931</v>
      </c>
      <c r="C439" s="37">
        <f t="shared" si="78"/>
        <v>36.336755646817245</v>
      </c>
      <c r="D439" s="37">
        <f>IFERROR(VLOOKUP(A439,Data!$I$3:$J$1442,2),0)</f>
        <v>9.1875008999999994E-2</v>
      </c>
      <c r="E439" s="37">
        <f t="shared" si="79"/>
        <v>9.1675008999999988E-2</v>
      </c>
      <c r="F439" s="37">
        <f t="shared" si="84"/>
        <v>3.5751165786801625E-2</v>
      </c>
      <c r="G439" s="30">
        <f t="shared" si="85"/>
        <v>4425.8456667907012</v>
      </c>
      <c r="H439" s="38">
        <f t="shared" si="80"/>
        <v>131</v>
      </c>
      <c r="I439" s="39">
        <f t="shared" si="81"/>
        <v>131.96167008898016</v>
      </c>
      <c r="J439" s="40">
        <f t="shared" si="82"/>
        <v>36</v>
      </c>
      <c r="K439" s="43">
        <f>VLOOKUP(J439,Data!$Z$3:$AA$122,2)</f>
        <v>0</v>
      </c>
      <c r="L439" s="41">
        <f t="shared" si="83"/>
        <v>0.96167008898015638</v>
      </c>
      <c r="M439" s="43">
        <f>VLOOKUP(H439,Data!$P$3:$X$122,9)</f>
        <v>0</v>
      </c>
      <c r="N439" s="43">
        <f t="shared" si="86"/>
        <v>0</v>
      </c>
      <c r="O439" s="43">
        <f t="shared" si="87"/>
        <v>0</v>
      </c>
      <c r="P439" s="30">
        <f t="shared" si="88"/>
        <v>0</v>
      </c>
      <c r="Q439" s="31">
        <f t="shared" si="90"/>
        <v>848340.75061972369</v>
      </c>
    </row>
    <row r="440" spans="1:17" x14ac:dyDescent="0.25">
      <c r="A440" s="6">
        <f t="shared" si="89"/>
        <v>56583</v>
      </c>
      <c r="B440" s="30">
        <f>IFERROR(VLOOKUP(A440, Data!$L$3:$N$123, 3),1)*Pension</f>
        <v>123795.84188061931</v>
      </c>
      <c r="C440" s="37">
        <f t="shared" si="78"/>
        <v>36.418891170431209</v>
      </c>
      <c r="D440" s="37">
        <f>IFERROR(VLOOKUP(A440,Data!$I$3:$J$1442,2),0)</f>
        <v>9.1825677999999994E-2</v>
      </c>
      <c r="E440" s="37">
        <f t="shared" si="79"/>
        <v>9.1625677999999988E-2</v>
      </c>
      <c r="F440" s="37">
        <f t="shared" si="84"/>
        <v>3.5546783838655366E-2</v>
      </c>
      <c r="G440" s="30">
        <f t="shared" si="85"/>
        <v>4400.5440314547332</v>
      </c>
      <c r="H440" s="38">
        <f t="shared" si="80"/>
        <v>132</v>
      </c>
      <c r="I440" s="39">
        <f t="shared" si="81"/>
        <v>132.04380561259413</v>
      </c>
      <c r="J440" s="40">
        <f t="shared" si="82"/>
        <v>37</v>
      </c>
      <c r="K440" s="43">
        <f>VLOOKUP(J440,Data!$Z$3:$AA$122,2)</f>
        <v>0</v>
      </c>
      <c r="L440" s="41">
        <f t="shared" si="83"/>
        <v>4.3805612594127297E-2</v>
      </c>
      <c r="M440" s="43">
        <f>VLOOKUP(H440,Data!$P$3:$X$122,9)</f>
        <v>0</v>
      </c>
      <c r="N440" s="43">
        <f t="shared" si="86"/>
        <v>0</v>
      </c>
      <c r="O440" s="43">
        <f t="shared" si="87"/>
        <v>0</v>
      </c>
      <c r="P440" s="30">
        <f t="shared" si="88"/>
        <v>0</v>
      </c>
      <c r="Q440" s="31">
        <f t="shared" si="90"/>
        <v>848340.75061972369</v>
      </c>
    </row>
    <row r="441" spans="1:17" x14ac:dyDescent="0.25">
      <c r="A441" s="6">
        <f t="shared" si="89"/>
        <v>56614</v>
      </c>
      <c r="B441" s="30">
        <f>IFERROR(VLOOKUP(A441, Data!$L$3:$N$123, 3),1)*Pension</f>
        <v>129985.63397465029</v>
      </c>
      <c r="C441" s="37">
        <f t="shared" si="78"/>
        <v>36.503764544832308</v>
      </c>
      <c r="D441" s="37">
        <f>IFERROR(VLOOKUP(A441,Data!$I$3:$J$1442,2),0)</f>
        <v>9.1774935000000002E-2</v>
      </c>
      <c r="E441" s="37">
        <f t="shared" si="79"/>
        <v>9.1574934999999996E-2</v>
      </c>
      <c r="F441" s="37">
        <f t="shared" si="84"/>
        <v>3.5336817657630061E-2</v>
      </c>
      <c r="G441" s="30">
        <f t="shared" si="85"/>
        <v>4593.27864587366</v>
      </c>
      <c r="H441" s="38">
        <f t="shared" si="80"/>
        <v>132</v>
      </c>
      <c r="I441" s="39">
        <f t="shared" si="81"/>
        <v>132.1286789869952</v>
      </c>
      <c r="J441" s="40">
        <f t="shared" si="82"/>
        <v>37</v>
      </c>
      <c r="K441" s="43">
        <f>VLOOKUP(J441,Data!$Z$3:$AA$122,2)</f>
        <v>0</v>
      </c>
      <c r="L441" s="41">
        <f t="shared" si="83"/>
        <v>0.12867898699519742</v>
      </c>
      <c r="M441" s="43">
        <f>VLOOKUP(H441,Data!$P$3:$X$122,9)</f>
        <v>0</v>
      </c>
      <c r="N441" s="43">
        <f t="shared" si="86"/>
        <v>0</v>
      </c>
      <c r="O441" s="43">
        <f t="shared" si="87"/>
        <v>0</v>
      </c>
      <c r="P441" s="30">
        <f t="shared" si="88"/>
        <v>0</v>
      </c>
      <c r="Q441" s="31">
        <f t="shared" si="90"/>
        <v>848340.75061972369</v>
      </c>
    </row>
    <row r="442" spans="1:17" x14ac:dyDescent="0.25">
      <c r="A442" s="6">
        <f t="shared" si="89"/>
        <v>56645</v>
      </c>
      <c r="B442" s="30">
        <f>IFERROR(VLOOKUP(A442, Data!$L$3:$N$123, 3),1)*Pension</f>
        <v>129985.63397465029</v>
      </c>
      <c r="C442" s="37">
        <f t="shared" si="78"/>
        <v>36.588637919233399</v>
      </c>
      <c r="D442" s="37">
        <f>IFERROR(VLOOKUP(A442,Data!$I$3:$J$1442,2),0)</f>
        <v>9.1724428999999996E-2</v>
      </c>
      <c r="E442" s="37">
        <f t="shared" si="79"/>
        <v>9.152442899999999E-2</v>
      </c>
      <c r="F442" s="37">
        <f t="shared" si="84"/>
        <v>3.5128089656505657E-2</v>
      </c>
      <c r="G442" s="30">
        <f t="shared" si="85"/>
        <v>4566.147004319243</v>
      </c>
      <c r="H442" s="38">
        <f t="shared" si="80"/>
        <v>132</v>
      </c>
      <c r="I442" s="39">
        <f t="shared" si="81"/>
        <v>132.2135523613963</v>
      </c>
      <c r="J442" s="40">
        <f t="shared" si="82"/>
        <v>37</v>
      </c>
      <c r="K442" s="43">
        <f>VLOOKUP(J442,Data!$Z$3:$AA$122,2)</f>
        <v>0</v>
      </c>
      <c r="L442" s="41">
        <f t="shared" si="83"/>
        <v>0.21355236139629596</v>
      </c>
      <c r="M442" s="43">
        <f>VLOOKUP(H442,Data!$P$3:$X$122,9)</f>
        <v>0</v>
      </c>
      <c r="N442" s="43">
        <f t="shared" si="86"/>
        <v>0</v>
      </c>
      <c r="O442" s="43">
        <f t="shared" si="87"/>
        <v>0</v>
      </c>
      <c r="P442" s="30">
        <f t="shared" si="88"/>
        <v>0</v>
      </c>
      <c r="Q442" s="31">
        <f t="shared" si="90"/>
        <v>848340.75061972369</v>
      </c>
    </row>
    <row r="443" spans="1:17" x14ac:dyDescent="0.25">
      <c r="A443" s="6">
        <f t="shared" si="89"/>
        <v>56673</v>
      </c>
      <c r="B443" s="30">
        <f>IFERROR(VLOOKUP(A443, Data!$L$3:$N$123, 3),1)*Pension</f>
        <v>129985.63397465029</v>
      </c>
      <c r="C443" s="37">
        <f t="shared" si="78"/>
        <v>36.6652977412731</v>
      </c>
      <c r="D443" s="37">
        <f>IFERROR(VLOOKUP(A443,Data!$I$3:$J$1442,2),0)</f>
        <v>9.1679011000000005E-2</v>
      </c>
      <c r="E443" s="37">
        <f t="shared" si="79"/>
        <v>9.1479010999999999E-2</v>
      </c>
      <c r="F443" s="37">
        <f t="shared" si="84"/>
        <v>3.494062189854253E-2</v>
      </c>
      <c r="G443" s="30">
        <f t="shared" si="85"/>
        <v>4541.7788889506</v>
      </c>
      <c r="H443" s="38">
        <f t="shared" si="80"/>
        <v>132</v>
      </c>
      <c r="I443" s="39">
        <f t="shared" si="81"/>
        <v>132.29021218343601</v>
      </c>
      <c r="J443" s="40">
        <f t="shared" si="82"/>
        <v>37</v>
      </c>
      <c r="K443" s="43">
        <f>VLOOKUP(J443,Data!$Z$3:$AA$122,2)</f>
        <v>0</v>
      </c>
      <c r="L443" s="41">
        <f t="shared" si="83"/>
        <v>0.29021218343601163</v>
      </c>
      <c r="M443" s="43">
        <f>VLOOKUP(H443,Data!$P$3:$X$122,9)</f>
        <v>0</v>
      </c>
      <c r="N443" s="43">
        <f t="shared" si="86"/>
        <v>0</v>
      </c>
      <c r="O443" s="43">
        <f t="shared" si="87"/>
        <v>0</v>
      </c>
      <c r="P443" s="30">
        <f t="shared" si="88"/>
        <v>0</v>
      </c>
      <c r="Q443" s="31">
        <f t="shared" si="90"/>
        <v>848340.75061972369</v>
      </c>
    </row>
    <row r="444" spans="1:17" x14ac:dyDescent="0.25">
      <c r="A444" s="6">
        <f t="shared" si="89"/>
        <v>56704</v>
      </c>
      <c r="B444" s="30">
        <f>IFERROR(VLOOKUP(A444, Data!$L$3:$N$123, 3),1)*Pension</f>
        <v>129985.63397465029</v>
      </c>
      <c r="C444" s="37">
        <f t="shared" si="78"/>
        <v>36.750171115674199</v>
      </c>
      <c r="D444" s="37">
        <f>IFERROR(VLOOKUP(A444,Data!$I$3:$J$1442,2),0)</f>
        <v>9.1628947000000002E-2</v>
      </c>
      <c r="E444" s="37">
        <f t="shared" si="79"/>
        <v>9.1428946999999997E-2</v>
      </c>
      <c r="F444" s="37">
        <f t="shared" si="84"/>
        <v>3.4734236104518194E-2</v>
      </c>
      <c r="G444" s="30">
        <f t="shared" si="85"/>
        <v>4514.9517006709848</v>
      </c>
      <c r="H444" s="38">
        <f t="shared" si="80"/>
        <v>132</v>
      </c>
      <c r="I444" s="39">
        <f t="shared" si="81"/>
        <v>132.37508555783711</v>
      </c>
      <c r="J444" s="40">
        <f t="shared" si="82"/>
        <v>37</v>
      </c>
      <c r="K444" s="43">
        <f>VLOOKUP(J444,Data!$Z$3:$AA$122,2)</f>
        <v>0</v>
      </c>
      <c r="L444" s="41">
        <f t="shared" si="83"/>
        <v>0.37508555783711017</v>
      </c>
      <c r="M444" s="43">
        <f>VLOOKUP(H444,Data!$P$3:$X$122,9)</f>
        <v>0</v>
      </c>
      <c r="N444" s="43">
        <f t="shared" si="86"/>
        <v>0</v>
      </c>
      <c r="O444" s="43">
        <f t="shared" si="87"/>
        <v>0</v>
      </c>
      <c r="P444" s="30">
        <f t="shared" si="88"/>
        <v>0</v>
      </c>
      <c r="Q444" s="31">
        <f t="shared" si="90"/>
        <v>848340.75061972369</v>
      </c>
    </row>
    <row r="445" spans="1:17" x14ac:dyDescent="0.25">
      <c r="A445" s="6">
        <f t="shared" si="89"/>
        <v>56734</v>
      </c>
      <c r="B445" s="30">
        <f>IFERROR(VLOOKUP(A445, Data!$L$3:$N$123, 3),1)*Pension</f>
        <v>129985.63397465029</v>
      </c>
      <c r="C445" s="37">
        <f t="shared" si="78"/>
        <v>36.832306639288156</v>
      </c>
      <c r="D445" s="37">
        <f>IFERROR(VLOOKUP(A445,Data!$I$3:$J$1442,2),0)</f>
        <v>9.1580719000000005E-2</v>
      </c>
      <c r="E445" s="37">
        <f t="shared" si="79"/>
        <v>9.1380718999999999E-2</v>
      </c>
      <c r="F445" s="37">
        <f t="shared" si="84"/>
        <v>3.4535666991759757E-2</v>
      </c>
      <c r="G445" s="30">
        <f t="shared" si="85"/>
        <v>4489.1405686612961</v>
      </c>
      <c r="H445" s="38">
        <f t="shared" si="80"/>
        <v>132</v>
      </c>
      <c r="I445" s="39">
        <f t="shared" si="81"/>
        <v>132.45722108145105</v>
      </c>
      <c r="J445" s="40">
        <f t="shared" si="82"/>
        <v>37</v>
      </c>
      <c r="K445" s="43">
        <f>VLOOKUP(J445,Data!$Z$3:$AA$122,2)</f>
        <v>0</v>
      </c>
      <c r="L445" s="41">
        <f t="shared" si="83"/>
        <v>0.45722108145105267</v>
      </c>
      <c r="M445" s="43">
        <f>VLOOKUP(H445,Data!$P$3:$X$122,9)</f>
        <v>0</v>
      </c>
      <c r="N445" s="43">
        <f t="shared" si="86"/>
        <v>0</v>
      </c>
      <c r="O445" s="43">
        <f t="shared" si="87"/>
        <v>0</v>
      </c>
      <c r="P445" s="30">
        <f t="shared" si="88"/>
        <v>0</v>
      </c>
      <c r="Q445" s="31">
        <f t="shared" si="90"/>
        <v>848340.75061972369</v>
      </c>
    </row>
    <row r="446" spans="1:17" x14ac:dyDescent="0.25">
      <c r="A446" s="6">
        <f t="shared" si="89"/>
        <v>56765</v>
      </c>
      <c r="B446" s="30">
        <f>IFERROR(VLOOKUP(A446, Data!$L$3:$N$123, 3),1)*Pension</f>
        <v>129985.63397465029</v>
      </c>
      <c r="C446" s="37">
        <f t="shared" si="78"/>
        <v>36.917180013689254</v>
      </c>
      <c r="D446" s="37">
        <f>IFERROR(VLOOKUP(A446,Data!$I$3:$J$1442,2),0)</f>
        <v>9.1531108E-2</v>
      </c>
      <c r="E446" s="37">
        <f t="shared" si="79"/>
        <v>9.1331107999999994E-2</v>
      </c>
      <c r="F446" s="37">
        <f t="shared" si="84"/>
        <v>3.4331672482538003E-2</v>
      </c>
      <c r="G446" s="30">
        <f t="shared" si="85"/>
        <v>4462.624213052758</v>
      </c>
      <c r="H446" s="38">
        <f t="shared" si="80"/>
        <v>132</v>
      </c>
      <c r="I446" s="39">
        <f t="shared" si="81"/>
        <v>132.54209445585215</v>
      </c>
      <c r="J446" s="40">
        <f t="shared" si="82"/>
        <v>37</v>
      </c>
      <c r="K446" s="43">
        <f>VLOOKUP(J446,Data!$Z$3:$AA$122,2)</f>
        <v>0</v>
      </c>
      <c r="L446" s="41">
        <f t="shared" si="83"/>
        <v>0.54209445585215121</v>
      </c>
      <c r="M446" s="43">
        <f>VLOOKUP(H446,Data!$P$3:$X$122,9)</f>
        <v>0</v>
      </c>
      <c r="N446" s="43">
        <f t="shared" si="86"/>
        <v>0</v>
      </c>
      <c r="O446" s="43">
        <f t="shared" si="87"/>
        <v>0</v>
      </c>
      <c r="P446" s="30">
        <f t="shared" si="88"/>
        <v>0</v>
      </c>
      <c r="Q446" s="31">
        <f t="shared" si="90"/>
        <v>848340.75061972369</v>
      </c>
    </row>
    <row r="447" spans="1:17" x14ac:dyDescent="0.25">
      <c r="A447" s="6">
        <f t="shared" si="89"/>
        <v>56795</v>
      </c>
      <c r="B447" s="30">
        <f>IFERROR(VLOOKUP(A447, Data!$L$3:$N$123, 3),1)*Pension</f>
        <v>129985.63397465029</v>
      </c>
      <c r="C447" s="37">
        <f t="shared" si="78"/>
        <v>36.999315537303218</v>
      </c>
      <c r="D447" s="37">
        <f>IFERROR(VLOOKUP(A447,Data!$I$3:$J$1442,2),0)</f>
        <v>9.1483313999999996E-2</v>
      </c>
      <c r="E447" s="37">
        <f t="shared" si="79"/>
        <v>9.128331399999999E-2</v>
      </c>
      <c r="F447" s="37">
        <f t="shared" si="84"/>
        <v>3.4135405872176797E-2</v>
      </c>
      <c r="G447" s="30">
        <f t="shared" si="85"/>
        <v>4437.1123732769011</v>
      </c>
      <c r="H447" s="38">
        <f t="shared" si="80"/>
        <v>132</v>
      </c>
      <c r="I447" s="39">
        <f t="shared" si="81"/>
        <v>132.62422997946612</v>
      </c>
      <c r="J447" s="40">
        <f t="shared" si="82"/>
        <v>37</v>
      </c>
      <c r="K447" s="43">
        <f>VLOOKUP(J447,Data!$Z$3:$AA$122,2)</f>
        <v>0</v>
      </c>
      <c r="L447" s="41">
        <f t="shared" si="83"/>
        <v>0.62422997946612213</v>
      </c>
      <c r="M447" s="43">
        <f>VLOOKUP(H447,Data!$P$3:$X$122,9)</f>
        <v>0</v>
      </c>
      <c r="N447" s="43">
        <f t="shared" si="86"/>
        <v>0</v>
      </c>
      <c r="O447" s="43">
        <f t="shared" si="87"/>
        <v>0</v>
      </c>
      <c r="P447" s="30">
        <f t="shared" si="88"/>
        <v>0</v>
      </c>
      <c r="Q447" s="31">
        <f t="shared" si="90"/>
        <v>848340.75061972369</v>
      </c>
    </row>
    <row r="448" spans="1:17" x14ac:dyDescent="0.25">
      <c r="A448" s="6">
        <f t="shared" si="89"/>
        <v>56826</v>
      </c>
      <c r="B448" s="30">
        <f>IFERROR(VLOOKUP(A448, Data!$L$3:$N$123, 3),1)*Pension</f>
        <v>129985.63397465029</v>
      </c>
      <c r="C448" s="37">
        <f t="shared" si="78"/>
        <v>37.08418891170431</v>
      </c>
      <c r="D448" s="37">
        <f>IFERROR(VLOOKUP(A448,Data!$I$3:$J$1442,2),0)</f>
        <v>9.1434149000000006E-2</v>
      </c>
      <c r="E448" s="37">
        <f t="shared" si="79"/>
        <v>9.1234149E-2</v>
      </c>
      <c r="F448" s="37">
        <f t="shared" si="84"/>
        <v>3.3933776058287797E-2</v>
      </c>
      <c r="G448" s="30">
        <f t="shared" si="85"/>
        <v>4410.9033940903491</v>
      </c>
      <c r="H448" s="38">
        <f t="shared" si="80"/>
        <v>132</v>
      </c>
      <c r="I448" s="39">
        <f t="shared" si="81"/>
        <v>132.70910335386722</v>
      </c>
      <c r="J448" s="40">
        <f t="shared" si="82"/>
        <v>37</v>
      </c>
      <c r="K448" s="43">
        <f>VLOOKUP(J448,Data!$Z$3:$AA$122,2)</f>
        <v>0</v>
      </c>
      <c r="L448" s="41">
        <f t="shared" si="83"/>
        <v>0.70910335386722068</v>
      </c>
      <c r="M448" s="43">
        <f>VLOOKUP(H448,Data!$P$3:$X$122,9)</f>
        <v>0</v>
      </c>
      <c r="N448" s="43">
        <f t="shared" si="86"/>
        <v>0</v>
      </c>
      <c r="O448" s="43">
        <f t="shared" si="87"/>
        <v>0</v>
      </c>
      <c r="P448" s="30">
        <f t="shared" si="88"/>
        <v>0</v>
      </c>
      <c r="Q448" s="31">
        <f t="shared" si="90"/>
        <v>848340.75061972369</v>
      </c>
    </row>
    <row r="449" spans="1:17" x14ac:dyDescent="0.25">
      <c r="A449" s="6">
        <f t="shared" si="89"/>
        <v>56857</v>
      </c>
      <c r="B449" s="30">
        <f>IFERROR(VLOOKUP(A449, Data!$L$3:$N$123, 3),1)*Pension</f>
        <v>129985.63397465029</v>
      </c>
      <c r="C449" s="37">
        <f t="shared" si="78"/>
        <v>37.169062286105408</v>
      </c>
      <c r="D449" s="37">
        <f>IFERROR(VLOOKUP(A449,Data!$I$3:$J$1442,2),0)</f>
        <v>9.1385208999999995E-2</v>
      </c>
      <c r="E449" s="37">
        <f t="shared" si="79"/>
        <v>9.1185208999999989E-2</v>
      </c>
      <c r="F449" s="37">
        <f t="shared" si="84"/>
        <v>3.3733336635973311E-2</v>
      </c>
      <c r="G449" s="30">
        <f t="shared" si="85"/>
        <v>4384.8491487072879</v>
      </c>
      <c r="H449" s="38">
        <f t="shared" si="80"/>
        <v>132</v>
      </c>
      <c r="I449" s="39">
        <f t="shared" si="81"/>
        <v>132.79397672826832</v>
      </c>
      <c r="J449" s="40">
        <f t="shared" si="82"/>
        <v>37</v>
      </c>
      <c r="K449" s="43">
        <f>VLOOKUP(J449,Data!$Z$3:$AA$122,2)</f>
        <v>0</v>
      </c>
      <c r="L449" s="41">
        <f t="shared" si="83"/>
        <v>0.79397672826831922</v>
      </c>
      <c r="M449" s="43">
        <f>VLOOKUP(H449,Data!$P$3:$X$122,9)</f>
        <v>0</v>
      </c>
      <c r="N449" s="43">
        <f t="shared" si="86"/>
        <v>0</v>
      </c>
      <c r="O449" s="43">
        <f t="shared" si="87"/>
        <v>0</v>
      </c>
      <c r="P449" s="30">
        <f t="shared" si="88"/>
        <v>0</v>
      </c>
      <c r="Q449" s="31">
        <f t="shared" si="90"/>
        <v>848340.75061972369</v>
      </c>
    </row>
    <row r="450" spans="1:17" x14ac:dyDescent="0.25">
      <c r="A450" s="6">
        <f t="shared" si="89"/>
        <v>56887</v>
      </c>
      <c r="B450" s="30">
        <f>IFERROR(VLOOKUP(A450, Data!$L$3:$N$123, 3),1)*Pension</f>
        <v>129985.63397465029</v>
      </c>
      <c r="C450" s="37">
        <f t="shared" si="78"/>
        <v>37.251197809719372</v>
      </c>
      <c r="D450" s="37">
        <f>IFERROR(VLOOKUP(A450,Data!$I$3:$J$1442,2),0)</f>
        <v>9.1338059999999999E-2</v>
      </c>
      <c r="E450" s="37">
        <f t="shared" si="79"/>
        <v>9.1138059999999993E-2</v>
      </c>
      <c r="F450" s="37">
        <f t="shared" si="84"/>
        <v>3.3540490409802143E-2</v>
      </c>
      <c r="G450" s="30">
        <f t="shared" si="85"/>
        <v>4359.7819097388101</v>
      </c>
      <c r="H450" s="38">
        <f t="shared" si="80"/>
        <v>132</v>
      </c>
      <c r="I450" s="39">
        <f t="shared" si="81"/>
        <v>132.87611225188226</v>
      </c>
      <c r="J450" s="40">
        <f t="shared" si="82"/>
        <v>37</v>
      </c>
      <c r="K450" s="43">
        <f>VLOOKUP(J450,Data!$Z$3:$AA$122,2)</f>
        <v>0</v>
      </c>
      <c r="L450" s="41">
        <f t="shared" si="83"/>
        <v>0.87611225188226172</v>
      </c>
      <c r="M450" s="43">
        <f>VLOOKUP(H450,Data!$P$3:$X$122,9)</f>
        <v>0</v>
      </c>
      <c r="N450" s="43">
        <f t="shared" si="86"/>
        <v>0</v>
      </c>
      <c r="O450" s="43">
        <f t="shared" si="87"/>
        <v>0</v>
      </c>
      <c r="P450" s="30">
        <f t="shared" si="88"/>
        <v>0</v>
      </c>
      <c r="Q450" s="31">
        <f t="shared" si="90"/>
        <v>848340.75061972369</v>
      </c>
    </row>
    <row r="451" spans="1:17" x14ac:dyDescent="0.25">
      <c r="A451" s="6">
        <f t="shared" si="89"/>
        <v>56918</v>
      </c>
      <c r="B451" s="30">
        <f>IFERROR(VLOOKUP(A451, Data!$L$3:$N$123, 3),1)*Pension</f>
        <v>129985.63397465029</v>
      </c>
      <c r="C451" s="37">
        <f t="shared" ref="C451:C514" si="91">(A451-EffDate)/365.25</f>
        <v>37.336071184120463</v>
      </c>
      <c r="D451" s="37">
        <f>IFERROR(VLOOKUP(A451,Data!$I$3:$J$1442,2),0)</f>
        <v>9.1289558000000007E-2</v>
      </c>
      <c r="E451" s="37">
        <f t="shared" ref="E451:E514" si="92">D451-Fees</f>
        <v>9.1089558000000001E-2</v>
      </c>
      <c r="F451" s="37">
        <f t="shared" si="84"/>
        <v>3.3342373227043115E-2</v>
      </c>
      <c r="G451" s="30">
        <f t="shared" si="85"/>
        <v>4334.0295221366059</v>
      </c>
      <c r="H451" s="38">
        <f t="shared" ref="H451:H514" si="93">IF(OR(A451 = DATE(YEAR(A451), MONTH(Date_of_Birth), DAY(Date_of_Birth)),AND(A451 = DATE(YEAR(A451), MONTH(Date_of_Birth), DAY(Date_of_Birth)-1), AND(MONTH(Date_of_Birth)=2, DAY(Date_of_Birth) = 29))), ROUND((A451-Date_of_Birth)/365.25,0),ROUNDDOWN((A451-Date_of_Birth)/365.25,0))</f>
        <v>132</v>
      </c>
      <c r="I451" s="39">
        <f t="shared" ref="I451:I514" si="94">IF(OR(A451 = DATE(YEAR(A451), MONTH(Date_of_Birth), DAY(Date_of_Birth)),AND(A451 = DATE(YEAR(A451), MONTH(Date_of_Birth), DAY(Date_of_Birth)-1), AND(MONTH(Date_of_Birth)=2, DAY(Date_of_Birth) = 29))), ROUND((A451-Date_of_Birth)/365.25,0),(A451-Date_of_Birth)/365.25)</f>
        <v>132.96098562628336</v>
      </c>
      <c r="J451" s="40">
        <f t="shared" ref="J451:J514" si="95">H451-StartAge</f>
        <v>37</v>
      </c>
      <c r="K451" s="43">
        <f>VLOOKUP(J451,Data!$Z$3:$AA$122,2)</f>
        <v>0</v>
      </c>
      <c r="L451" s="41">
        <f t="shared" ref="L451:L514" si="96">IF(A451&lt;=NextBirth,(A451-EffDate)/365.25,(I451-H451))</f>
        <v>0.96098562628336026</v>
      </c>
      <c r="M451" s="43">
        <f>VLOOKUP(H451,Data!$P$3:$X$122,9)</f>
        <v>0</v>
      </c>
      <c r="N451" s="43">
        <f t="shared" si="86"/>
        <v>0</v>
      </c>
      <c r="O451" s="43">
        <f t="shared" si="87"/>
        <v>0</v>
      </c>
      <c r="P451" s="30">
        <f t="shared" si="88"/>
        <v>0</v>
      </c>
      <c r="Q451" s="31">
        <f t="shared" si="90"/>
        <v>848340.75061972369</v>
      </c>
    </row>
    <row r="452" spans="1:17" x14ac:dyDescent="0.25">
      <c r="A452" s="6">
        <f t="shared" si="89"/>
        <v>56948</v>
      </c>
      <c r="B452" s="30">
        <f>IFERROR(VLOOKUP(A452, Data!$L$3:$N$123, 3),1)*Pension</f>
        <v>129985.63397465029</v>
      </c>
      <c r="C452" s="37">
        <f t="shared" si="91"/>
        <v>37.418206707734427</v>
      </c>
      <c r="D452" s="37">
        <f>IFERROR(VLOOKUP(A452,Data!$I$3:$J$1442,2),0)</f>
        <v>9.1242828999999998E-2</v>
      </c>
      <c r="E452" s="37">
        <f t="shared" si="92"/>
        <v>9.1042828999999992E-2</v>
      </c>
      <c r="F452" s="37">
        <f t="shared" ref="F452:F515" si="97">EXP(-E452*C452)</f>
        <v>3.3151762551845043E-2</v>
      </c>
      <c r="G452" s="30">
        <f t="shared" ref="G452:G515" si="98">B452*F452</f>
        <v>4309.2528726786486</v>
      </c>
      <c r="H452" s="38">
        <f t="shared" si="93"/>
        <v>133</v>
      </c>
      <c r="I452" s="39">
        <f t="shared" si="94"/>
        <v>133.04312114989733</v>
      </c>
      <c r="J452" s="40">
        <f t="shared" si="95"/>
        <v>38</v>
      </c>
      <c r="K452" s="43">
        <f>VLOOKUP(J452,Data!$Z$3:$AA$122,2)</f>
        <v>0</v>
      </c>
      <c r="L452" s="41">
        <f t="shared" si="96"/>
        <v>4.3121149897331179E-2</v>
      </c>
      <c r="M452" s="43">
        <f>VLOOKUP(H452,Data!$P$3:$X$122,9)</f>
        <v>0</v>
      </c>
      <c r="N452" s="43">
        <f t="shared" ref="N452:N515" si="99">IF(M452=0, 0, EXP(-L452*M452))</f>
        <v>0</v>
      </c>
      <c r="O452" s="43">
        <f t="shared" ref="O452:O515" si="100">K452*N452</f>
        <v>0</v>
      </c>
      <c r="P452" s="30">
        <f t="shared" ref="P452:P515" si="101">G452*O452</f>
        <v>0</v>
      </c>
      <c r="Q452" s="31">
        <f t="shared" si="90"/>
        <v>848340.75061972369</v>
      </c>
    </row>
    <row r="453" spans="1:17" x14ac:dyDescent="0.25">
      <c r="A453" s="6">
        <f t="shared" ref="A453:A516" si="102">EOMONTH(A452,1)</f>
        <v>56979</v>
      </c>
      <c r="B453" s="30">
        <f>IFERROR(VLOOKUP(A453, Data!$L$3:$N$123, 3),1)*Pension</f>
        <v>136484.91567338278</v>
      </c>
      <c r="C453" s="37">
        <f t="shared" si="91"/>
        <v>37.503080082135526</v>
      </c>
      <c r="D453" s="37">
        <f>IFERROR(VLOOKUP(A453,Data!$I$3:$J$1442,2),0)</f>
        <v>9.1194758000000001E-2</v>
      </c>
      <c r="E453" s="37">
        <f t="shared" si="92"/>
        <v>9.0994757999999995E-2</v>
      </c>
      <c r="F453" s="37">
        <f t="shared" si="97"/>
        <v>3.2955942135914282E-2</v>
      </c>
      <c r="G453" s="30">
        <f t="shared" si="98"/>
        <v>4497.9889833571433</v>
      </c>
      <c r="H453" s="38">
        <f t="shared" si="93"/>
        <v>133</v>
      </c>
      <c r="I453" s="39">
        <f t="shared" si="94"/>
        <v>133.12799452429843</v>
      </c>
      <c r="J453" s="40">
        <f t="shared" si="95"/>
        <v>38</v>
      </c>
      <c r="K453" s="43">
        <f>VLOOKUP(J453,Data!$Z$3:$AA$122,2)</f>
        <v>0</v>
      </c>
      <c r="L453" s="41">
        <f t="shared" si="96"/>
        <v>0.12799452429842972</v>
      </c>
      <c r="M453" s="43">
        <f>VLOOKUP(H453,Data!$P$3:$X$122,9)</f>
        <v>0</v>
      </c>
      <c r="N453" s="43">
        <f t="shared" si="99"/>
        <v>0</v>
      </c>
      <c r="O453" s="43">
        <f t="shared" si="100"/>
        <v>0</v>
      </c>
      <c r="P453" s="30">
        <f t="shared" si="101"/>
        <v>0</v>
      </c>
      <c r="Q453" s="31">
        <f t="shared" ref="Q453:Q516" si="103">Q452+P453</f>
        <v>848340.75061972369</v>
      </c>
    </row>
    <row r="454" spans="1:17" x14ac:dyDescent="0.25">
      <c r="A454" s="6">
        <f t="shared" si="102"/>
        <v>57010</v>
      </c>
      <c r="B454" s="30">
        <f>IFERROR(VLOOKUP(A454, Data!$L$3:$N$123, 3),1)*Pension</f>
        <v>136484.91567338278</v>
      </c>
      <c r="C454" s="37">
        <f t="shared" si="91"/>
        <v>37.587953456536617</v>
      </c>
      <c r="D454" s="37">
        <f>IFERROR(VLOOKUP(A454,Data!$I$3:$J$1442,2),0)</f>
        <v>9.1146904000000001E-2</v>
      </c>
      <c r="E454" s="37">
        <f t="shared" si="92"/>
        <v>9.0946903999999995E-2</v>
      </c>
      <c r="F454" s="37">
        <f t="shared" si="97"/>
        <v>3.2761278498006238E-2</v>
      </c>
      <c r="G454" s="30">
        <f t="shared" si="98"/>
        <v>4471.4203331525896</v>
      </c>
      <c r="H454" s="38">
        <f t="shared" si="93"/>
        <v>133</v>
      </c>
      <c r="I454" s="39">
        <f t="shared" si="94"/>
        <v>133.21286789869953</v>
      </c>
      <c r="J454" s="40">
        <f t="shared" si="95"/>
        <v>38</v>
      </c>
      <c r="K454" s="43">
        <f>VLOOKUP(J454,Data!$Z$3:$AA$122,2)</f>
        <v>0</v>
      </c>
      <c r="L454" s="41">
        <f t="shared" si="96"/>
        <v>0.21286789869952827</v>
      </c>
      <c r="M454" s="43">
        <f>VLOOKUP(H454,Data!$P$3:$X$122,9)</f>
        <v>0</v>
      </c>
      <c r="N454" s="43">
        <f t="shared" si="99"/>
        <v>0</v>
      </c>
      <c r="O454" s="43">
        <f t="shared" si="100"/>
        <v>0</v>
      </c>
      <c r="P454" s="30">
        <f t="shared" si="101"/>
        <v>0</v>
      </c>
      <c r="Q454" s="31">
        <f t="shared" si="103"/>
        <v>848340.75061972369</v>
      </c>
    </row>
    <row r="455" spans="1:17" x14ac:dyDescent="0.25">
      <c r="A455" s="6">
        <f t="shared" si="102"/>
        <v>57039</v>
      </c>
      <c r="B455" s="30">
        <f>IFERROR(VLOOKUP(A455, Data!$L$3:$N$123, 3),1)*Pension</f>
        <v>136484.91567338278</v>
      </c>
      <c r="C455" s="37">
        <f t="shared" si="91"/>
        <v>37.667351129363446</v>
      </c>
      <c r="D455" s="37">
        <f>IFERROR(VLOOKUP(A455,Data!$I$3:$J$1442,2),0)</f>
        <v>9.1102331999999994E-2</v>
      </c>
      <c r="E455" s="37">
        <f t="shared" si="92"/>
        <v>9.0902331999999988E-2</v>
      </c>
      <c r="F455" s="37">
        <f t="shared" si="97"/>
        <v>3.2580215611448034E-2</v>
      </c>
      <c r="G455" s="30">
        <f t="shared" si="98"/>
        <v>4446.7079803491142</v>
      </c>
      <c r="H455" s="38">
        <f t="shared" si="93"/>
        <v>133</v>
      </c>
      <c r="I455" s="39">
        <f t="shared" si="94"/>
        <v>133.29226557152634</v>
      </c>
      <c r="J455" s="40">
        <f t="shared" si="95"/>
        <v>38</v>
      </c>
      <c r="K455" s="43">
        <f>VLOOKUP(J455,Data!$Z$3:$AA$122,2)</f>
        <v>0</v>
      </c>
      <c r="L455" s="41">
        <f t="shared" si="96"/>
        <v>0.29226557152634314</v>
      </c>
      <c r="M455" s="43">
        <f>VLOOKUP(H455,Data!$P$3:$X$122,9)</f>
        <v>0</v>
      </c>
      <c r="N455" s="43">
        <f t="shared" si="99"/>
        <v>0</v>
      </c>
      <c r="O455" s="43">
        <f t="shared" si="100"/>
        <v>0</v>
      </c>
      <c r="P455" s="30">
        <f t="shared" si="101"/>
        <v>0</v>
      </c>
      <c r="Q455" s="31">
        <f t="shared" si="103"/>
        <v>848340.75061972369</v>
      </c>
    </row>
    <row r="456" spans="1:17" x14ac:dyDescent="0.25">
      <c r="A456" s="6">
        <f t="shared" si="102"/>
        <v>57070</v>
      </c>
      <c r="B456" s="30">
        <f>IFERROR(VLOOKUP(A456, Data!$L$3:$N$123, 3),1)*Pension</f>
        <v>136484.91567338278</v>
      </c>
      <c r="C456" s="37">
        <f t="shared" si="91"/>
        <v>37.752224503764545</v>
      </c>
      <c r="D456" s="37">
        <f>IFERROR(VLOOKUP(A456,Data!$I$3:$J$1442,2),0)</f>
        <v>9.1054893999999997E-2</v>
      </c>
      <c r="E456" s="37">
        <f t="shared" si="92"/>
        <v>9.0854893999999992E-2</v>
      </c>
      <c r="F456" s="37">
        <f t="shared" si="97"/>
        <v>3.2387771328719069E-2</v>
      </c>
      <c r="G456" s="30">
        <f t="shared" si="98"/>
        <v>4420.4422386490269</v>
      </c>
      <c r="H456" s="38">
        <f t="shared" si="93"/>
        <v>133</v>
      </c>
      <c r="I456" s="39">
        <f t="shared" si="94"/>
        <v>133.37713894592744</v>
      </c>
      <c r="J456" s="40">
        <f t="shared" si="95"/>
        <v>38</v>
      </c>
      <c r="K456" s="43">
        <f>VLOOKUP(J456,Data!$Z$3:$AA$122,2)</f>
        <v>0</v>
      </c>
      <c r="L456" s="41">
        <f t="shared" si="96"/>
        <v>0.37713894592744168</v>
      </c>
      <c r="M456" s="43">
        <f>VLOOKUP(H456,Data!$P$3:$X$122,9)</f>
        <v>0</v>
      </c>
      <c r="N456" s="43">
        <f t="shared" si="99"/>
        <v>0</v>
      </c>
      <c r="O456" s="43">
        <f t="shared" si="100"/>
        <v>0</v>
      </c>
      <c r="P456" s="30">
        <f t="shared" si="101"/>
        <v>0</v>
      </c>
      <c r="Q456" s="31">
        <f t="shared" si="103"/>
        <v>848340.75061972369</v>
      </c>
    </row>
    <row r="457" spans="1:17" x14ac:dyDescent="0.25">
      <c r="A457" s="6">
        <f t="shared" si="102"/>
        <v>57100</v>
      </c>
      <c r="B457" s="30">
        <f>IFERROR(VLOOKUP(A457, Data!$L$3:$N$123, 3),1)*Pension</f>
        <v>136484.91567338278</v>
      </c>
      <c r="C457" s="37">
        <f t="shared" si="91"/>
        <v>37.834360027378509</v>
      </c>
      <c r="D457" s="37">
        <f>IFERROR(VLOOKUP(A457,Data!$I$3:$J$1442,2),0)</f>
        <v>9.1009189000000004E-2</v>
      </c>
      <c r="E457" s="37">
        <f t="shared" si="92"/>
        <v>9.0809188999999998E-2</v>
      </c>
      <c r="F457" s="37">
        <f t="shared" si="97"/>
        <v>3.220261719392687E-2</v>
      </c>
      <c r="G457" s="30">
        <f t="shared" si="98"/>
        <v>4395.1714921753355</v>
      </c>
      <c r="H457" s="38">
        <f t="shared" si="93"/>
        <v>133</v>
      </c>
      <c r="I457" s="39">
        <f t="shared" si="94"/>
        <v>133.45927446954141</v>
      </c>
      <c r="J457" s="40">
        <f t="shared" si="95"/>
        <v>38</v>
      </c>
      <c r="K457" s="43">
        <f>VLOOKUP(J457,Data!$Z$3:$AA$122,2)</f>
        <v>0</v>
      </c>
      <c r="L457" s="41">
        <f t="shared" si="96"/>
        <v>0.4592744695414126</v>
      </c>
      <c r="M457" s="43">
        <f>VLOOKUP(H457,Data!$P$3:$X$122,9)</f>
        <v>0</v>
      </c>
      <c r="N457" s="43">
        <f t="shared" si="99"/>
        <v>0</v>
      </c>
      <c r="O457" s="43">
        <f t="shared" si="100"/>
        <v>0</v>
      </c>
      <c r="P457" s="30">
        <f t="shared" si="101"/>
        <v>0</v>
      </c>
      <c r="Q457" s="31">
        <f t="shared" si="103"/>
        <v>848340.75061972369</v>
      </c>
    </row>
    <row r="458" spans="1:17" x14ac:dyDescent="0.25">
      <c r="A458" s="6">
        <f t="shared" si="102"/>
        <v>57131</v>
      </c>
      <c r="B458" s="30">
        <f>IFERROR(VLOOKUP(A458, Data!$L$3:$N$123, 3),1)*Pension</f>
        <v>136484.91567338278</v>
      </c>
      <c r="C458" s="37">
        <f t="shared" si="91"/>
        <v>37.9192334017796</v>
      </c>
      <c r="D458" s="37">
        <f>IFERROR(VLOOKUP(A458,Data!$I$3:$J$1442,2),0)</f>
        <v>9.0962167999999996E-2</v>
      </c>
      <c r="E458" s="37">
        <f t="shared" si="92"/>
        <v>9.076216799999999E-2</v>
      </c>
      <c r="F458" s="37">
        <f t="shared" si="97"/>
        <v>3.201240380299699E-2</v>
      </c>
      <c r="G458" s="30">
        <f t="shared" si="98"/>
        <v>4369.2102335543223</v>
      </c>
      <c r="H458" s="38">
        <f t="shared" si="93"/>
        <v>133</v>
      </c>
      <c r="I458" s="39">
        <f t="shared" si="94"/>
        <v>133.54414784394251</v>
      </c>
      <c r="J458" s="40">
        <f t="shared" si="95"/>
        <v>38</v>
      </c>
      <c r="K458" s="43">
        <f>VLOOKUP(J458,Data!$Z$3:$AA$122,2)</f>
        <v>0</v>
      </c>
      <c r="L458" s="41">
        <f t="shared" si="96"/>
        <v>0.54414784394251114</v>
      </c>
      <c r="M458" s="43">
        <f>VLOOKUP(H458,Data!$P$3:$X$122,9)</f>
        <v>0</v>
      </c>
      <c r="N458" s="43">
        <f t="shared" si="99"/>
        <v>0</v>
      </c>
      <c r="O458" s="43">
        <f t="shared" si="100"/>
        <v>0</v>
      </c>
      <c r="P458" s="30">
        <f t="shared" si="101"/>
        <v>0</v>
      </c>
      <c r="Q458" s="31">
        <f t="shared" si="103"/>
        <v>848340.75061972369</v>
      </c>
    </row>
    <row r="459" spans="1:17" x14ac:dyDescent="0.25">
      <c r="A459" s="6">
        <f t="shared" si="102"/>
        <v>57161</v>
      </c>
      <c r="B459" s="30">
        <f>IFERROR(VLOOKUP(A459, Data!$L$3:$N$123, 3),1)*Pension</f>
        <v>136484.91567338278</v>
      </c>
      <c r="C459" s="37">
        <f t="shared" si="91"/>
        <v>38.001368925393564</v>
      </c>
      <c r="D459" s="37">
        <f>IFERROR(VLOOKUP(A459,Data!$I$3:$J$1442,2),0)</f>
        <v>9.0916864E-2</v>
      </c>
      <c r="E459" s="37">
        <f t="shared" si="92"/>
        <v>9.0716863999999994E-2</v>
      </c>
      <c r="F459" s="37">
        <f t="shared" si="97"/>
        <v>3.1829395906370961E-2</v>
      </c>
      <c r="G459" s="30">
        <f t="shared" si="98"/>
        <v>4344.2324162157556</v>
      </c>
      <c r="H459" s="38">
        <f t="shared" si="93"/>
        <v>133</v>
      </c>
      <c r="I459" s="39">
        <f t="shared" si="94"/>
        <v>133.62628336755648</v>
      </c>
      <c r="J459" s="40">
        <f t="shared" si="95"/>
        <v>38</v>
      </c>
      <c r="K459" s="43">
        <f>VLOOKUP(J459,Data!$Z$3:$AA$122,2)</f>
        <v>0</v>
      </c>
      <c r="L459" s="41">
        <f t="shared" si="96"/>
        <v>0.62628336755648206</v>
      </c>
      <c r="M459" s="43">
        <f>VLOOKUP(H459,Data!$P$3:$X$122,9)</f>
        <v>0</v>
      </c>
      <c r="N459" s="43">
        <f t="shared" si="99"/>
        <v>0</v>
      </c>
      <c r="O459" s="43">
        <f t="shared" si="100"/>
        <v>0</v>
      </c>
      <c r="P459" s="30">
        <f t="shared" si="101"/>
        <v>0</v>
      </c>
      <c r="Q459" s="31">
        <f t="shared" si="103"/>
        <v>848340.75061972369</v>
      </c>
    </row>
    <row r="460" spans="1:17" x14ac:dyDescent="0.25">
      <c r="A460" s="6">
        <f t="shared" si="102"/>
        <v>57192</v>
      </c>
      <c r="B460" s="30">
        <f>IFERROR(VLOOKUP(A460, Data!$L$3:$N$123, 3),1)*Pension</f>
        <v>136484.91567338278</v>
      </c>
      <c r="C460" s="37">
        <f t="shared" si="91"/>
        <v>38.086242299794662</v>
      </c>
      <c r="D460" s="37">
        <f>IFERROR(VLOOKUP(A460,Data!$I$3:$J$1442,2),0)</f>
        <v>9.0870254999999997E-2</v>
      </c>
      <c r="E460" s="37">
        <f t="shared" si="92"/>
        <v>9.0670254999999991E-2</v>
      </c>
      <c r="F460" s="37">
        <f t="shared" si="97"/>
        <v>3.1641386962474205E-2</v>
      </c>
      <c r="G460" s="30">
        <f t="shared" si="98"/>
        <v>4318.572031362165</v>
      </c>
      <c r="H460" s="38">
        <f t="shared" si="93"/>
        <v>133</v>
      </c>
      <c r="I460" s="39">
        <f t="shared" si="94"/>
        <v>133.71115674195755</v>
      </c>
      <c r="J460" s="40">
        <f t="shared" si="95"/>
        <v>38</v>
      </c>
      <c r="K460" s="43">
        <f>VLOOKUP(J460,Data!$Z$3:$AA$122,2)</f>
        <v>0</v>
      </c>
      <c r="L460" s="41">
        <f t="shared" si="96"/>
        <v>0.71115674195755219</v>
      </c>
      <c r="M460" s="43">
        <f>VLOOKUP(H460,Data!$P$3:$X$122,9)</f>
        <v>0</v>
      </c>
      <c r="N460" s="43">
        <f t="shared" si="99"/>
        <v>0</v>
      </c>
      <c r="O460" s="43">
        <f t="shared" si="100"/>
        <v>0</v>
      </c>
      <c r="P460" s="30">
        <f t="shared" si="101"/>
        <v>0</v>
      </c>
      <c r="Q460" s="31">
        <f t="shared" si="103"/>
        <v>848340.75061972369</v>
      </c>
    </row>
    <row r="461" spans="1:17" x14ac:dyDescent="0.25">
      <c r="A461" s="6">
        <f t="shared" si="102"/>
        <v>57223</v>
      </c>
      <c r="B461" s="30">
        <f>IFERROR(VLOOKUP(A461, Data!$L$3:$N$123, 3),1)*Pension</f>
        <v>136484.91567338278</v>
      </c>
      <c r="C461" s="37">
        <f t="shared" si="91"/>
        <v>38.171115674195754</v>
      </c>
      <c r="D461" s="37">
        <f>IFERROR(VLOOKUP(A461,Data!$I$3:$J$1442,2),0)</f>
        <v>9.0823852999999996E-2</v>
      </c>
      <c r="E461" s="37">
        <f t="shared" si="92"/>
        <v>9.062385299999999E-2</v>
      </c>
      <c r="F461" s="37">
        <f t="shared" si="97"/>
        <v>3.1454488868450106E-2</v>
      </c>
      <c r="G461" s="30">
        <f t="shared" si="98"/>
        <v>4293.0632607597699</v>
      </c>
      <c r="H461" s="38">
        <f t="shared" si="93"/>
        <v>133</v>
      </c>
      <c r="I461" s="39">
        <f t="shared" si="94"/>
        <v>133.79603011635865</v>
      </c>
      <c r="J461" s="40">
        <f t="shared" si="95"/>
        <v>38</v>
      </c>
      <c r="K461" s="43">
        <f>VLOOKUP(J461,Data!$Z$3:$AA$122,2)</f>
        <v>0</v>
      </c>
      <c r="L461" s="41">
        <f t="shared" si="96"/>
        <v>0.79603011635865073</v>
      </c>
      <c r="M461" s="43">
        <f>VLOOKUP(H461,Data!$P$3:$X$122,9)</f>
        <v>0</v>
      </c>
      <c r="N461" s="43">
        <f t="shared" si="99"/>
        <v>0</v>
      </c>
      <c r="O461" s="43">
        <f t="shared" si="100"/>
        <v>0</v>
      </c>
      <c r="P461" s="30">
        <f t="shared" si="101"/>
        <v>0</v>
      </c>
      <c r="Q461" s="31">
        <f t="shared" si="103"/>
        <v>848340.75061972369</v>
      </c>
    </row>
    <row r="462" spans="1:17" x14ac:dyDescent="0.25">
      <c r="A462" s="6">
        <f t="shared" si="102"/>
        <v>57253</v>
      </c>
      <c r="B462" s="30">
        <f>IFERROR(VLOOKUP(A462, Data!$L$3:$N$123, 3),1)*Pension</f>
        <v>136484.91567338278</v>
      </c>
      <c r="C462" s="37">
        <f t="shared" si="91"/>
        <v>38.253251197809718</v>
      </c>
      <c r="D462" s="37">
        <f>IFERROR(VLOOKUP(A462,Data!$I$3:$J$1442,2),0)</f>
        <v>9.0779145000000006E-2</v>
      </c>
      <c r="E462" s="37">
        <f t="shared" si="92"/>
        <v>9.0579145E-2</v>
      </c>
      <c r="F462" s="37">
        <f t="shared" si="97"/>
        <v>3.1274669602053391E-2</v>
      </c>
      <c r="G462" s="30">
        <f t="shared" si="98"/>
        <v>4268.5206433491649</v>
      </c>
      <c r="H462" s="38">
        <f t="shared" si="93"/>
        <v>133</v>
      </c>
      <c r="I462" s="39">
        <f t="shared" si="94"/>
        <v>133.87816563997262</v>
      </c>
      <c r="J462" s="40">
        <f t="shared" si="95"/>
        <v>38</v>
      </c>
      <c r="K462" s="43">
        <f>VLOOKUP(J462,Data!$Z$3:$AA$122,2)</f>
        <v>0</v>
      </c>
      <c r="L462" s="41">
        <f t="shared" si="96"/>
        <v>0.87816563997262165</v>
      </c>
      <c r="M462" s="43">
        <f>VLOOKUP(H462,Data!$P$3:$X$122,9)</f>
        <v>0</v>
      </c>
      <c r="N462" s="43">
        <f t="shared" si="99"/>
        <v>0</v>
      </c>
      <c r="O462" s="43">
        <f t="shared" si="100"/>
        <v>0</v>
      </c>
      <c r="P462" s="30">
        <f t="shared" si="101"/>
        <v>0</v>
      </c>
      <c r="Q462" s="31">
        <f t="shared" si="103"/>
        <v>848340.75061972369</v>
      </c>
    </row>
    <row r="463" spans="1:17" x14ac:dyDescent="0.25">
      <c r="A463" s="6">
        <f t="shared" si="102"/>
        <v>57284</v>
      </c>
      <c r="B463" s="30">
        <f>IFERROR(VLOOKUP(A463, Data!$L$3:$N$123, 3),1)*Pension</f>
        <v>136484.91567338278</v>
      </c>
      <c r="C463" s="37">
        <f t="shared" si="91"/>
        <v>38.338124572210816</v>
      </c>
      <c r="D463" s="37">
        <f>IFERROR(VLOOKUP(A463,Data!$I$3:$J$1442,2),0)</f>
        <v>9.0733147E-2</v>
      </c>
      <c r="E463" s="37">
        <f t="shared" si="92"/>
        <v>9.0533146999999994E-2</v>
      </c>
      <c r="F463" s="37">
        <f t="shared" si="97"/>
        <v>3.1089937425568211E-2</v>
      </c>
      <c r="G463" s="30">
        <f t="shared" si="98"/>
        <v>4243.3074878194248</v>
      </c>
      <c r="H463" s="38">
        <f t="shared" si="93"/>
        <v>133</v>
      </c>
      <c r="I463" s="39">
        <f t="shared" si="94"/>
        <v>133.96303901437372</v>
      </c>
      <c r="J463" s="40">
        <f t="shared" si="95"/>
        <v>38</v>
      </c>
      <c r="K463" s="43">
        <f>VLOOKUP(J463,Data!$Z$3:$AA$122,2)</f>
        <v>0</v>
      </c>
      <c r="L463" s="41">
        <f t="shared" si="96"/>
        <v>0.96303901437372019</v>
      </c>
      <c r="M463" s="43">
        <f>VLOOKUP(H463,Data!$P$3:$X$122,9)</f>
        <v>0</v>
      </c>
      <c r="N463" s="43">
        <f t="shared" si="99"/>
        <v>0</v>
      </c>
      <c r="O463" s="43">
        <f t="shared" si="100"/>
        <v>0</v>
      </c>
      <c r="P463" s="30">
        <f t="shared" si="101"/>
        <v>0</v>
      </c>
      <c r="Q463" s="31">
        <f t="shared" si="103"/>
        <v>848340.75061972369</v>
      </c>
    </row>
    <row r="464" spans="1:17" x14ac:dyDescent="0.25">
      <c r="A464" s="6">
        <f t="shared" si="102"/>
        <v>57314</v>
      </c>
      <c r="B464" s="30">
        <f>IFERROR(VLOOKUP(A464, Data!$L$3:$N$123, 3),1)*Pension</f>
        <v>136484.91567338278</v>
      </c>
      <c r="C464" s="37">
        <f t="shared" si="91"/>
        <v>38.42026009582478</v>
      </c>
      <c r="D464" s="37">
        <f>IFERROR(VLOOKUP(A464,Data!$I$3:$J$1442,2),0)</f>
        <v>9.0688826E-2</v>
      </c>
      <c r="E464" s="37">
        <f t="shared" si="92"/>
        <v>9.0488825999999994E-2</v>
      </c>
      <c r="F464" s="37">
        <f t="shared" si="97"/>
        <v>3.0912203718979986E-2</v>
      </c>
      <c r="G464" s="30">
        <f t="shared" si="98"/>
        <v>4219.0495178634128</v>
      </c>
      <c r="H464" s="38">
        <f t="shared" si="93"/>
        <v>134</v>
      </c>
      <c r="I464" s="39">
        <f t="shared" si="94"/>
        <v>134.04517453798769</v>
      </c>
      <c r="J464" s="40">
        <f t="shared" si="95"/>
        <v>39</v>
      </c>
      <c r="K464" s="43">
        <f>VLOOKUP(J464,Data!$Z$3:$AA$122,2)</f>
        <v>0</v>
      </c>
      <c r="L464" s="41">
        <f t="shared" si="96"/>
        <v>4.517453798769111E-2</v>
      </c>
      <c r="M464" s="43">
        <f>VLOOKUP(H464,Data!$P$3:$X$122,9)</f>
        <v>0</v>
      </c>
      <c r="N464" s="43">
        <f t="shared" si="99"/>
        <v>0</v>
      </c>
      <c r="O464" s="43">
        <f t="shared" si="100"/>
        <v>0</v>
      </c>
      <c r="P464" s="30">
        <f t="shared" si="101"/>
        <v>0</v>
      </c>
      <c r="Q464" s="31">
        <f t="shared" si="103"/>
        <v>848340.75061972369</v>
      </c>
    </row>
    <row r="465" spans="1:17" x14ac:dyDescent="0.25">
      <c r="A465" s="6">
        <f t="shared" si="102"/>
        <v>57345</v>
      </c>
      <c r="B465" s="30">
        <f>IFERROR(VLOOKUP(A465, Data!$L$3:$N$123, 3),1)*Pension</f>
        <v>143309.16145705196</v>
      </c>
      <c r="C465" s="37">
        <f t="shared" si="91"/>
        <v>38.505133470225871</v>
      </c>
      <c r="D465" s="37">
        <f>IFERROR(VLOOKUP(A465,Data!$I$3:$J$1442,2),0)</f>
        <v>9.0643227000000007E-2</v>
      </c>
      <c r="E465" s="37">
        <f t="shared" si="92"/>
        <v>9.0443227000000001E-2</v>
      </c>
      <c r="F465" s="37">
        <f t="shared" si="97"/>
        <v>3.0729612058533539E-2</v>
      </c>
      <c r="G465" s="30">
        <f t="shared" si="98"/>
        <v>4403.8349360089542</v>
      </c>
      <c r="H465" s="38">
        <f t="shared" si="93"/>
        <v>134</v>
      </c>
      <c r="I465" s="39">
        <f t="shared" si="94"/>
        <v>134.13004791238876</v>
      </c>
      <c r="J465" s="40">
        <f t="shared" si="95"/>
        <v>39</v>
      </c>
      <c r="K465" s="43">
        <f>VLOOKUP(J465,Data!$Z$3:$AA$122,2)</f>
        <v>0</v>
      </c>
      <c r="L465" s="41">
        <f t="shared" si="96"/>
        <v>0.13004791238876123</v>
      </c>
      <c r="M465" s="43">
        <f>VLOOKUP(H465,Data!$P$3:$X$122,9)</f>
        <v>0</v>
      </c>
      <c r="N465" s="43">
        <f t="shared" si="99"/>
        <v>0</v>
      </c>
      <c r="O465" s="43">
        <f t="shared" si="100"/>
        <v>0</v>
      </c>
      <c r="P465" s="30">
        <f t="shared" si="101"/>
        <v>0</v>
      </c>
      <c r="Q465" s="31">
        <f t="shared" si="103"/>
        <v>848340.75061972369</v>
      </c>
    </row>
    <row r="466" spans="1:17" x14ac:dyDescent="0.25">
      <c r="A466" s="6">
        <f t="shared" si="102"/>
        <v>57376</v>
      </c>
      <c r="B466" s="30">
        <f>IFERROR(VLOOKUP(A466, Data!$L$3:$N$123, 3),1)*Pension</f>
        <v>143309.16145705196</v>
      </c>
      <c r="C466" s="37">
        <f t="shared" si="91"/>
        <v>38.59000684462697</v>
      </c>
      <c r="D466" s="37">
        <f>IFERROR(VLOOKUP(A466,Data!$I$3:$J$1442,2),0)</f>
        <v>9.0597828000000005E-2</v>
      </c>
      <c r="E466" s="37">
        <f t="shared" si="92"/>
        <v>9.0397828E-2</v>
      </c>
      <c r="F466" s="37">
        <f t="shared" si="97"/>
        <v>3.0548099607921764E-2</v>
      </c>
      <c r="G466" s="30">
        <f t="shared" si="98"/>
        <v>4377.822538917766</v>
      </c>
      <c r="H466" s="38">
        <f t="shared" si="93"/>
        <v>134</v>
      </c>
      <c r="I466" s="39">
        <f t="shared" si="94"/>
        <v>134.21492128678986</v>
      </c>
      <c r="J466" s="40">
        <f t="shared" si="95"/>
        <v>39</v>
      </c>
      <c r="K466" s="43">
        <f>VLOOKUP(J466,Data!$Z$3:$AA$122,2)</f>
        <v>0</v>
      </c>
      <c r="L466" s="41">
        <f t="shared" si="96"/>
        <v>0.21492128678985978</v>
      </c>
      <c r="M466" s="43">
        <f>VLOOKUP(H466,Data!$P$3:$X$122,9)</f>
        <v>0</v>
      </c>
      <c r="N466" s="43">
        <f t="shared" si="99"/>
        <v>0</v>
      </c>
      <c r="O466" s="43">
        <f t="shared" si="100"/>
        <v>0</v>
      </c>
      <c r="P466" s="30">
        <f t="shared" si="101"/>
        <v>0</v>
      </c>
      <c r="Q466" s="31">
        <f t="shared" si="103"/>
        <v>848340.75061972369</v>
      </c>
    </row>
    <row r="467" spans="1:17" x14ac:dyDescent="0.25">
      <c r="A467" s="6">
        <f t="shared" si="102"/>
        <v>57404</v>
      </c>
      <c r="B467" s="30">
        <f>IFERROR(VLOOKUP(A467, Data!$L$3:$N$123, 3),1)*Pension</f>
        <v>143309.16145705196</v>
      </c>
      <c r="C467" s="37">
        <f t="shared" si="91"/>
        <v>38.666666666666664</v>
      </c>
      <c r="D467" s="37">
        <f>IFERROR(VLOOKUP(A467,Data!$I$3:$J$1442,2),0)</f>
        <v>9.0556994000000002E-2</v>
      </c>
      <c r="E467" s="37">
        <f t="shared" si="92"/>
        <v>9.0356993999999996E-2</v>
      </c>
      <c r="F467" s="37">
        <f t="shared" si="97"/>
        <v>3.0385074303412418E-2</v>
      </c>
      <c r="G467" s="30">
        <f t="shared" si="98"/>
        <v>4354.4595192322513</v>
      </c>
      <c r="H467" s="38">
        <f t="shared" si="93"/>
        <v>134</v>
      </c>
      <c r="I467" s="39">
        <f t="shared" si="94"/>
        <v>134.29158110882958</v>
      </c>
      <c r="J467" s="40">
        <f t="shared" si="95"/>
        <v>39</v>
      </c>
      <c r="K467" s="43">
        <f>VLOOKUP(J467,Data!$Z$3:$AA$122,2)</f>
        <v>0</v>
      </c>
      <c r="L467" s="41">
        <f t="shared" si="96"/>
        <v>0.29158110882957544</v>
      </c>
      <c r="M467" s="43">
        <f>VLOOKUP(H467,Data!$P$3:$X$122,9)</f>
        <v>0</v>
      </c>
      <c r="N467" s="43">
        <f t="shared" si="99"/>
        <v>0</v>
      </c>
      <c r="O467" s="43">
        <f t="shared" si="100"/>
        <v>0</v>
      </c>
      <c r="P467" s="30">
        <f t="shared" si="101"/>
        <v>0</v>
      </c>
      <c r="Q467" s="31">
        <f t="shared" si="103"/>
        <v>848340.75061972369</v>
      </c>
    </row>
    <row r="468" spans="1:17" x14ac:dyDescent="0.25">
      <c r="A468" s="6">
        <f t="shared" si="102"/>
        <v>57435</v>
      </c>
      <c r="B468" s="30">
        <f>IFERROR(VLOOKUP(A468, Data!$L$3:$N$123, 3),1)*Pension</f>
        <v>143309.16145705196</v>
      </c>
      <c r="C468" s="37">
        <f t="shared" si="91"/>
        <v>38.751540041067763</v>
      </c>
      <c r="D468" s="37">
        <f>IFERROR(VLOOKUP(A468,Data!$I$3:$J$1442,2),0)</f>
        <v>9.0511973999999995E-2</v>
      </c>
      <c r="E468" s="37">
        <f t="shared" si="92"/>
        <v>9.0311973999999989E-2</v>
      </c>
      <c r="F468" s="37">
        <f t="shared" si="97"/>
        <v>3.0205595912547366E-2</v>
      </c>
      <c r="G468" s="30">
        <f t="shared" si="98"/>
        <v>4328.7386215377192</v>
      </c>
      <c r="H468" s="38">
        <f t="shared" si="93"/>
        <v>134</v>
      </c>
      <c r="I468" s="39">
        <f t="shared" si="94"/>
        <v>134.37645448323067</v>
      </c>
      <c r="J468" s="40">
        <f t="shared" si="95"/>
        <v>39</v>
      </c>
      <c r="K468" s="43">
        <f>VLOOKUP(J468,Data!$Z$3:$AA$122,2)</f>
        <v>0</v>
      </c>
      <c r="L468" s="41">
        <f t="shared" si="96"/>
        <v>0.37645448323067399</v>
      </c>
      <c r="M468" s="43">
        <f>VLOOKUP(H468,Data!$P$3:$X$122,9)</f>
        <v>0</v>
      </c>
      <c r="N468" s="43">
        <f t="shared" si="99"/>
        <v>0</v>
      </c>
      <c r="O468" s="43">
        <f t="shared" si="100"/>
        <v>0</v>
      </c>
      <c r="P468" s="30">
        <f t="shared" si="101"/>
        <v>0</v>
      </c>
      <c r="Q468" s="31">
        <f t="shared" si="103"/>
        <v>848340.75061972369</v>
      </c>
    </row>
    <row r="469" spans="1:17" x14ac:dyDescent="0.25">
      <c r="A469" s="6">
        <f t="shared" si="102"/>
        <v>57465</v>
      </c>
      <c r="B469" s="30">
        <f>IFERROR(VLOOKUP(A469, Data!$L$3:$N$123, 3),1)*Pension</f>
        <v>143309.16145705196</v>
      </c>
      <c r="C469" s="37">
        <f t="shared" si="91"/>
        <v>38.833675564681727</v>
      </c>
      <c r="D469" s="37">
        <f>IFERROR(VLOOKUP(A469,Data!$I$3:$J$1442,2),0)</f>
        <v>9.0468593E-2</v>
      </c>
      <c r="E469" s="37">
        <f t="shared" si="92"/>
        <v>9.0268592999999994E-2</v>
      </c>
      <c r="F469" s="37">
        <f t="shared" si="97"/>
        <v>3.0032917338317127E-2</v>
      </c>
      <c r="G469" s="30">
        <f t="shared" si="98"/>
        <v>4303.9921998631844</v>
      </c>
      <c r="H469" s="38">
        <f t="shared" si="93"/>
        <v>134</v>
      </c>
      <c r="I469" s="39">
        <f t="shared" si="94"/>
        <v>134.45859000684462</v>
      </c>
      <c r="J469" s="40">
        <f t="shared" si="95"/>
        <v>39</v>
      </c>
      <c r="K469" s="43">
        <f>VLOOKUP(J469,Data!$Z$3:$AA$122,2)</f>
        <v>0</v>
      </c>
      <c r="L469" s="41">
        <f t="shared" si="96"/>
        <v>0.45859000684461648</v>
      </c>
      <c r="M469" s="43">
        <f>VLOOKUP(H469,Data!$P$3:$X$122,9)</f>
        <v>0</v>
      </c>
      <c r="N469" s="43">
        <f t="shared" si="99"/>
        <v>0</v>
      </c>
      <c r="O469" s="43">
        <f t="shared" si="100"/>
        <v>0</v>
      </c>
      <c r="P469" s="30">
        <f t="shared" si="101"/>
        <v>0</v>
      </c>
      <c r="Q469" s="31">
        <f t="shared" si="103"/>
        <v>848340.75061972369</v>
      </c>
    </row>
    <row r="470" spans="1:17" x14ac:dyDescent="0.25">
      <c r="A470" s="6">
        <f t="shared" si="102"/>
        <v>57496</v>
      </c>
      <c r="B470" s="30">
        <f>IFERROR(VLOOKUP(A470, Data!$L$3:$N$123, 3),1)*Pension</f>
        <v>143309.16145705196</v>
      </c>
      <c r="C470" s="37">
        <f t="shared" si="91"/>
        <v>38.918548939082818</v>
      </c>
      <c r="D470" s="37">
        <f>IFERROR(VLOOKUP(A470,Data!$I$3:$J$1442,2),0)</f>
        <v>9.0423957999999999E-2</v>
      </c>
      <c r="E470" s="37">
        <f t="shared" si="92"/>
        <v>9.0223957999999993E-2</v>
      </c>
      <c r="F470" s="37">
        <f t="shared" si="97"/>
        <v>2.9855520200512912E-2</v>
      </c>
      <c r="G470" s="30">
        <f t="shared" si="98"/>
        <v>4278.5695647995808</v>
      </c>
      <c r="H470" s="38">
        <f t="shared" si="93"/>
        <v>134</v>
      </c>
      <c r="I470" s="39">
        <f t="shared" si="94"/>
        <v>134.54346338124572</v>
      </c>
      <c r="J470" s="40">
        <f t="shared" si="95"/>
        <v>39</v>
      </c>
      <c r="K470" s="43">
        <f>VLOOKUP(J470,Data!$Z$3:$AA$122,2)</f>
        <v>0</v>
      </c>
      <c r="L470" s="41">
        <f t="shared" si="96"/>
        <v>0.54346338124571503</v>
      </c>
      <c r="M470" s="43">
        <f>VLOOKUP(H470,Data!$P$3:$X$122,9)</f>
        <v>0</v>
      </c>
      <c r="N470" s="43">
        <f t="shared" si="99"/>
        <v>0</v>
      </c>
      <c r="O470" s="43">
        <f t="shared" si="100"/>
        <v>0</v>
      </c>
      <c r="P470" s="30">
        <f t="shared" si="101"/>
        <v>0</v>
      </c>
      <c r="Q470" s="31">
        <f t="shared" si="103"/>
        <v>848340.75061972369</v>
      </c>
    </row>
    <row r="471" spans="1:17" x14ac:dyDescent="0.25">
      <c r="A471" s="6">
        <f t="shared" si="102"/>
        <v>57526</v>
      </c>
      <c r="B471" s="30">
        <f>IFERROR(VLOOKUP(A471, Data!$L$3:$N$123, 3),1)*Pension</f>
        <v>143309.16145705196</v>
      </c>
      <c r="C471" s="37">
        <f t="shared" si="91"/>
        <v>39.000684462696782</v>
      </c>
      <c r="D471" s="37">
        <f>IFERROR(VLOOKUP(A471,Data!$I$3:$J$1442,2),0)</f>
        <v>9.0380948000000003E-2</v>
      </c>
      <c r="E471" s="37">
        <f t="shared" si="92"/>
        <v>9.0180947999999997E-2</v>
      </c>
      <c r="F471" s="37">
        <f t="shared" si="97"/>
        <v>2.9684843078517865E-2</v>
      </c>
      <c r="G471" s="30">
        <f t="shared" si="98"/>
        <v>4254.109969566568</v>
      </c>
      <c r="H471" s="38">
        <f t="shared" si="93"/>
        <v>134</v>
      </c>
      <c r="I471" s="39">
        <f t="shared" si="94"/>
        <v>134.62559890485969</v>
      </c>
      <c r="J471" s="40">
        <f t="shared" si="95"/>
        <v>39</v>
      </c>
      <c r="K471" s="43">
        <f>VLOOKUP(J471,Data!$Z$3:$AA$122,2)</f>
        <v>0</v>
      </c>
      <c r="L471" s="41">
        <f t="shared" si="96"/>
        <v>0.62559890485968594</v>
      </c>
      <c r="M471" s="43">
        <f>VLOOKUP(H471,Data!$P$3:$X$122,9)</f>
        <v>0</v>
      </c>
      <c r="N471" s="43">
        <f t="shared" si="99"/>
        <v>0</v>
      </c>
      <c r="O471" s="43">
        <f t="shared" si="100"/>
        <v>0</v>
      </c>
      <c r="P471" s="30">
        <f t="shared" si="101"/>
        <v>0</v>
      </c>
      <c r="Q471" s="31">
        <f t="shared" si="103"/>
        <v>848340.75061972369</v>
      </c>
    </row>
    <row r="472" spans="1:17" x14ac:dyDescent="0.25">
      <c r="A472" s="6">
        <f t="shared" si="102"/>
        <v>57557</v>
      </c>
      <c r="B472" s="30">
        <f>IFERROR(VLOOKUP(A472, Data!$L$3:$N$123, 3),1)*Pension</f>
        <v>143309.16145705196</v>
      </c>
      <c r="C472" s="37">
        <f t="shared" si="91"/>
        <v>39.08555783709788</v>
      </c>
      <c r="D472" s="37">
        <f>IFERROR(VLOOKUP(A472,Data!$I$3:$J$1442,2),0)</f>
        <v>9.0336694999999995E-2</v>
      </c>
      <c r="E472" s="37">
        <f t="shared" si="92"/>
        <v>9.0136694999999989E-2</v>
      </c>
      <c r="F472" s="37">
        <f t="shared" si="97"/>
        <v>2.9509500823683726E-2</v>
      </c>
      <c r="G472" s="30">
        <f t="shared" si="98"/>
        <v>4228.9818180582988</v>
      </c>
      <c r="H472" s="38">
        <f t="shared" si="93"/>
        <v>134</v>
      </c>
      <c r="I472" s="39">
        <f t="shared" si="94"/>
        <v>134.71047227926078</v>
      </c>
      <c r="J472" s="40">
        <f t="shared" si="95"/>
        <v>39</v>
      </c>
      <c r="K472" s="43">
        <f>VLOOKUP(J472,Data!$Z$3:$AA$122,2)</f>
        <v>0</v>
      </c>
      <c r="L472" s="41">
        <f t="shared" si="96"/>
        <v>0.71047227926078449</v>
      </c>
      <c r="M472" s="43">
        <f>VLOOKUP(H472,Data!$P$3:$X$122,9)</f>
        <v>0</v>
      </c>
      <c r="N472" s="43">
        <f t="shared" si="99"/>
        <v>0</v>
      </c>
      <c r="O472" s="43">
        <f t="shared" si="100"/>
        <v>0</v>
      </c>
      <c r="P472" s="30">
        <f t="shared" si="101"/>
        <v>0</v>
      </c>
      <c r="Q472" s="31">
        <f t="shared" si="103"/>
        <v>848340.75061972369</v>
      </c>
    </row>
    <row r="473" spans="1:17" x14ac:dyDescent="0.25">
      <c r="A473" s="6">
        <f t="shared" si="102"/>
        <v>57588</v>
      </c>
      <c r="B473" s="30">
        <f>IFERROR(VLOOKUP(A473, Data!$L$3:$N$123, 3),1)*Pension</f>
        <v>143309.16145705196</v>
      </c>
      <c r="C473" s="37">
        <f t="shared" si="91"/>
        <v>39.170431211498972</v>
      </c>
      <c r="D473" s="37">
        <f>IFERROR(VLOOKUP(A473,Data!$I$3:$J$1442,2),0)</f>
        <v>9.0292632999999997E-2</v>
      </c>
      <c r="E473" s="37">
        <f t="shared" si="92"/>
        <v>9.0092632999999991E-2</v>
      </c>
      <c r="F473" s="37">
        <f t="shared" si="97"/>
        <v>2.9335195166844009E-2</v>
      </c>
      <c r="G473" s="30">
        <f t="shared" si="98"/>
        <v>4204.002220539378</v>
      </c>
      <c r="H473" s="38">
        <f t="shared" si="93"/>
        <v>134</v>
      </c>
      <c r="I473" s="39">
        <f t="shared" si="94"/>
        <v>134.79534565366188</v>
      </c>
      <c r="J473" s="40">
        <f t="shared" si="95"/>
        <v>39</v>
      </c>
      <c r="K473" s="43">
        <f>VLOOKUP(J473,Data!$Z$3:$AA$122,2)</f>
        <v>0</v>
      </c>
      <c r="L473" s="41">
        <f t="shared" si="96"/>
        <v>0.79534565366188303</v>
      </c>
      <c r="M473" s="43">
        <f>VLOOKUP(H473,Data!$P$3:$X$122,9)</f>
        <v>0</v>
      </c>
      <c r="N473" s="43">
        <f t="shared" si="99"/>
        <v>0</v>
      </c>
      <c r="O473" s="43">
        <f t="shared" si="100"/>
        <v>0</v>
      </c>
      <c r="P473" s="30">
        <f t="shared" si="101"/>
        <v>0</v>
      </c>
      <c r="Q473" s="31">
        <f t="shared" si="103"/>
        <v>848340.75061972369</v>
      </c>
    </row>
    <row r="474" spans="1:17" x14ac:dyDescent="0.25">
      <c r="A474" s="6">
        <f t="shared" si="102"/>
        <v>57618</v>
      </c>
      <c r="B474" s="30">
        <f>IFERROR(VLOOKUP(A474, Data!$L$3:$N$123, 3),1)*Pension</f>
        <v>143309.16145705196</v>
      </c>
      <c r="C474" s="37">
        <f t="shared" si="91"/>
        <v>39.252566735112936</v>
      </c>
      <c r="D474" s="37">
        <f>IFERROR(VLOOKUP(A474,Data!$I$3:$J$1442,2),0)</f>
        <v>9.0250174000000002E-2</v>
      </c>
      <c r="E474" s="37">
        <f t="shared" si="92"/>
        <v>9.0050173999999997E-2</v>
      </c>
      <c r="F474" s="37">
        <f t="shared" si="97"/>
        <v>2.9167492382112987E-2</v>
      </c>
      <c r="G474" s="30">
        <f t="shared" si="98"/>
        <v>4179.968875085563</v>
      </c>
      <c r="H474" s="38">
        <f t="shared" si="93"/>
        <v>134</v>
      </c>
      <c r="I474" s="39">
        <f t="shared" si="94"/>
        <v>134.87748117727583</v>
      </c>
      <c r="J474" s="40">
        <f t="shared" si="95"/>
        <v>39</v>
      </c>
      <c r="K474" s="43">
        <f>VLOOKUP(J474,Data!$Z$3:$AA$122,2)</f>
        <v>0</v>
      </c>
      <c r="L474" s="41">
        <f t="shared" si="96"/>
        <v>0.87748117727582553</v>
      </c>
      <c r="M474" s="43">
        <f>VLOOKUP(H474,Data!$P$3:$X$122,9)</f>
        <v>0</v>
      </c>
      <c r="N474" s="43">
        <f t="shared" si="99"/>
        <v>0</v>
      </c>
      <c r="O474" s="43">
        <f t="shared" si="100"/>
        <v>0</v>
      </c>
      <c r="P474" s="30">
        <f t="shared" si="101"/>
        <v>0</v>
      </c>
      <c r="Q474" s="31">
        <f t="shared" si="103"/>
        <v>848340.75061972369</v>
      </c>
    </row>
    <row r="475" spans="1:17" x14ac:dyDescent="0.25">
      <c r="A475" s="6">
        <f t="shared" si="102"/>
        <v>57649</v>
      </c>
      <c r="B475" s="30">
        <f>IFERROR(VLOOKUP(A475, Data!$L$3:$N$123, 3),1)*Pension</f>
        <v>143309.16145705196</v>
      </c>
      <c r="C475" s="37">
        <f t="shared" si="91"/>
        <v>39.337440109514034</v>
      </c>
      <c r="D475" s="37">
        <f>IFERROR(VLOOKUP(A475,Data!$I$3:$J$1442,2),0)</f>
        <v>9.0206485000000003E-2</v>
      </c>
      <c r="E475" s="37">
        <f t="shared" si="92"/>
        <v>9.0006484999999997E-2</v>
      </c>
      <c r="F475" s="37">
        <f t="shared" si="97"/>
        <v>2.8995207735374107E-2</v>
      </c>
      <c r="G475" s="30">
        <f t="shared" si="98"/>
        <v>4155.2789068294896</v>
      </c>
      <c r="H475" s="38">
        <f t="shared" si="93"/>
        <v>134</v>
      </c>
      <c r="I475" s="39">
        <f t="shared" si="94"/>
        <v>134.96235455167692</v>
      </c>
      <c r="J475" s="40">
        <f t="shared" si="95"/>
        <v>39</v>
      </c>
      <c r="K475" s="43">
        <f>VLOOKUP(J475,Data!$Z$3:$AA$122,2)</f>
        <v>0</v>
      </c>
      <c r="L475" s="41">
        <f t="shared" si="96"/>
        <v>0.96235455167692407</v>
      </c>
      <c r="M475" s="43">
        <f>VLOOKUP(H475,Data!$P$3:$X$122,9)</f>
        <v>0</v>
      </c>
      <c r="N475" s="43">
        <f t="shared" si="99"/>
        <v>0</v>
      </c>
      <c r="O475" s="43">
        <f t="shared" si="100"/>
        <v>0</v>
      </c>
      <c r="P475" s="30">
        <f t="shared" si="101"/>
        <v>0</v>
      </c>
      <c r="Q475" s="31">
        <f t="shared" si="103"/>
        <v>848340.75061972369</v>
      </c>
    </row>
    <row r="476" spans="1:17" x14ac:dyDescent="0.25">
      <c r="A476" s="6">
        <f t="shared" si="102"/>
        <v>57679</v>
      </c>
      <c r="B476" s="30">
        <f>IFERROR(VLOOKUP(A476, Data!$L$3:$N$123, 3),1)*Pension</f>
        <v>143309.16145705196</v>
      </c>
      <c r="C476" s="37">
        <f t="shared" si="91"/>
        <v>39.419575633127998</v>
      </c>
      <c r="D476" s="37">
        <f>IFERROR(VLOOKUP(A476,Data!$I$3:$J$1442,2),0)</f>
        <v>9.0164385999999999E-2</v>
      </c>
      <c r="E476" s="37">
        <f t="shared" si="92"/>
        <v>8.9964385999999993E-2</v>
      </c>
      <c r="F476" s="37">
        <f t="shared" si="97"/>
        <v>2.8829447885327125E-2</v>
      </c>
      <c r="G476" s="30">
        <f t="shared" si="98"/>
        <v>4131.5240017160104</v>
      </c>
      <c r="H476" s="38">
        <f t="shared" si="93"/>
        <v>135</v>
      </c>
      <c r="I476" s="39">
        <f t="shared" si="94"/>
        <v>135.04449007529089</v>
      </c>
      <c r="J476" s="40">
        <f t="shared" si="95"/>
        <v>40</v>
      </c>
      <c r="K476" s="43">
        <f>VLOOKUP(J476,Data!$Z$3:$AA$122,2)</f>
        <v>0</v>
      </c>
      <c r="L476" s="41">
        <f t="shared" si="96"/>
        <v>4.4490075290894993E-2</v>
      </c>
      <c r="M476" s="43">
        <f>VLOOKUP(H476,Data!$P$3:$X$122,9)</f>
        <v>0</v>
      </c>
      <c r="N476" s="43">
        <f t="shared" si="99"/>
        <v>0</v>
      </c>
      <c r="O476" s="43">
        <f t="shared" si="100"/>
        <v>0</v>
      </c>
      <c r="P476" s="30">
        <f t="shared" si="101"/>
        <v>0</v>
      </c>
      <c r="Q476" s="31">
        <f t="shared" si="103"/>
        <v>848340.75061972369</v>
      </c>
    </row>
    <row r="477" spans="1:17" x14ac:dyDescent="0.25">
      <c r="A477" s="6">
        <f t="shared" si="102"/>
        <v>57710</v>
      </c>
      <c r="B477" s="30">
        <f>IFERROR(VLOOKUP(A477, Data!$L$3:$N$123, 3),1)*Pension</f>
        <v>150474.61952990454</v>
      </c>
      <c r="C477" s="37">
        <f t="shared" si="91"/>
        <v>39.504449007529089</v>
      </c>
      <c r="D477" s="37">
        <f>IFERROR(VLOOKUP(A477,Data!$I$3:$J$1442,2),0)</f>
        <v>9.0121066E-2</v>
      </c>
      <c r="E477" s="37">
        <f t="shared" si="92"/>
        <v>8.9921065999999994E-2</v>
      </c>
      <c r="F477" s="37">
        <f t="shared" si="97"/>
        <v>2.8659159990073495E-2</v>
      </c>
      <c r="G477" s="30">
        <f t="shared" si="98"/>
        <v>4312.4761955529721</v>
      </c>
      <c r="H477" s="38">
        <f t="shared" si="93"/>
        <v>135</v>
      </c>
      <c r="I477" s="39">
        <f t="shared" si="94"/>
        <v>135.12936344969199</v>
      </c>
      <c r="J477" s="40">
        <f t="shared" si="95"/>
        <v>40</v>
      </c>
      <c r="K477" s="43">
        <f>VLOOKUP(J477,Data!$Z$3:$AA$122,2)</f>
        <v>0</v>
      </c>
      <c r="L477" s="41">
        <f t="shared" si="96"/>
        <v>0.12936344969199354</v>
      </c>
      <c r="M477" s="43">
        <f>VLOOKUP(H477,Data!$P$3:$X$122,9)</f>
        <v>0</v>
      </c>
      <c r="N477" s="43">
        <f t="shared" si="99"/>
        <v>0</v>
      </c>
      <c r="O477" s="43">
        <f t="shared" si="100"/>
        <v>0</v>
      </c>
      <c r="P477" s="30">
        <f t="shared" si="101"/>
        <v>0</v>
      </c>
      <c r="Q477" s="31">
        <f t="shared" si="103"/>
        <v>848340.75061972369</v>
      </c>
    </row>
    <row r="478" spans="1:17" x14ac:dyDescent="0.25">
      <c r="A478" s="6">
        <f t="shared" si="102"/>
        <v>57741</v>
      </c>
      <c r="B478" s="30">
        <f>IFERROR(VLOOKUP(A478, Data!$L$3:$N$123, 3),1)*Pension</f>
        <v>150474.61952990454</v>
      </c>
      <c r="C478" s="37">
        <f t="shared" si="91"/>
        <v>39.589322381930188</v>
      </c>
      <c r="D478" s="37">
        <f>IFERROR(VLOOKUP(A478,Data!$I$3:$J$1442,2),0)</f>
        <v>9.0077932999999999E-2</v>
      </c>
      <c r="E478" s="37">
        <f t="shared" si="92"/>
        <v>8.9877932999999993E-2</v>
      </c>
      <c r="F478" s="37">
        <f t="shared" si="97"/>
        <v>2.8489876522151701E-2</v>
      </c>
      <c r="G478" s="30">
        <f t="shared" si="98"/>
        <v>4287.0033301247367</v>
      </c>
      <c r="H478" s="38">
        <f t="shared" si="93"/>
        <v>135</v>
      </c>
      <c r="I478" s="39">
        <f t="shared" si="94"/>
        <v>135.21423682409309</v>
      </c>
      <c r="J478" s="40">
        <f t="shared" si="95"/>
        <v>40</v>
      </c>
      <c r="K478" s="43">
        <f>VLOOKUP(J478,Data!$Z$3:$AA$122,2)</f>
        <v>0</v>
      </c>
      <c r="L478" s="41">
        <f t="shared" si="96"/>
        <v>0.21423682409309208</v>
      </c>
      <c r="M478" s="43">
        <f>VLOOKUP(H478,Data!$P$3:$X$122,9)</f>
        <v>0</v>
      </c>
      <c r="N478" s="43">
        <f t="shared" si="99"/>
        <v>0</v>
      </c>
      <c r="O478" s="43">
        <f t="shared" si="100"/>
        <v>0</v>
      </c>
      <c r="P478" s="30">
        <f t="shared" si="101"/>
        <v>0</v>
      </c>
      <c r="Q478" s="31">
        <f t="shared" si="103"/>
        <v>848340.75061972369</v>
      </c>
    </row>
    <row r="479" spans="1:17" x14ac:dyDescent="0.25">
      <c r="A479" s="6">
        <f t="shared" si="102"/>
        <v>57769</v>
      </c>
      <c r="B479" s="30">
        <f>IFERROR(VLOOKUP(A479, Data!$L$3:$N$123, 3),1)*Pension</f>
        <v>150474.61952990454</v>
      </c>
      <c r="C479" s="37">
        <f t="shared" si="91"/>
        <v>39.665982203969882</v>
      </c>
      <c r="D479" s="37">
        <f>IFERROR(VLOOKUP(A479,Data!$I$3:$J$1442,2),0)</f>
        <v>9.0039131999999994E-2</v>
      </c>
      <c r="E479" s="37">
        <f t="shared" si="92"/>
        <v>8.9839131999999988E-2</v>
      </c>
      <c r="F479" s="37">
        <f t="shared" si="97"/>
        <v>2.8337835858504721E-2</v>
      </c>
      <c r="G479" s="30">
        <f t="shared" si="98"/>
        <v>4264.1250691093837</v>
      </c>
      <c r="H479" s="38">
        <f t="shared" si="93"/>
        <v>135</v>
      </c>
      <c r="I479" s="39">
        <f t="shared" si="94"/>
        <v>135.29089664613278</v>
      </c>
      <c r="J479" s="40">
        <f t="shared" si="95"/>
        <v>40</v>
      </c>
      <c r="K479" s="43">
        <f>VLOOKUP(J479,Data!$Z$3:$AA$122,2)</f>
        <v>0</v>
      </c>
      <c r="L479" s="41">
        <f t="shared" si="96"/>
        <v>0.29089664613277932</v>
      </c>
      <c r="M479" s="43">
        <f>VLOOKUP(H479,Data!$P$3:$X$122,9)</f>
        <v>0</v>
      </c>
      <c r="N479" s="43">
        <f t="shared" si="99"/>
        <v>0</v>
      </c>
      <c r="O479" s="43">
        <f t="shared" si="100"/>
        <v>0</v>
      </c>
      <c r="P479" s="30">
        <f t="shared" si="101"/>
        <v>0</v>
      </c>
      <c r="Q479" s="31">
        <f t="shared" si="103"/>
        <v>848340.75061972369</v>
      </c>
    </row>
    <row r="480" spans="1:17" x14ac:dyDescent="0.25">
      <c r="A480" s="6">
        <f t="shared" si="102"/>
        <v>57800</v>
      </c>
      <c r="B480" s="30">
        <f>IFERROR(VLOOKUP(A480, Data!$L$3:$N$123, 3),1)*Pension</f>
        <v>150474.61952990454</v>
      </c>
      <c r="C480" s="37">
        <f t="shared" si="91"/>
        <v>39.750855578370981</v>
      </c>
      <c r="D480" s="37">
        <f>IFERROR(VLOOKUP(A480,Data!$I$3:$J$1442,2),0)</f>
        <v>8.9996349000000003E-2</v>
      </c>
      <c r="E480" s="37">
        <f t="shared" si="92"/>
        <v>8.9796348999999998E-2</v>
      </c>
      <c r="F480" s="37">
        <f t="shared" si="97"/>
        <v>2.8170450625850333E-2</v>
      </c>
      <c r="G480" s="30">
        <f t="shared" si="98"/>
        <v>4238.93783991079</v>
      </c>
      <c r="H480" s="38">
        <f t="shared" si="93"/>
        <v>135</v>
      </c>
      <c r="I480" s="39">
        <f t="shared" si="94"/>
        <v>135.37577002053388</v>
      </c>
      <c r="J480" s="40">
        <f t="shared" si="95"/>
        <v>40</v>
      </c>
      <c r="K480" s="43">
        <f>VLOOKUP(J480,Data!$Z$3:$AA$122,2)</f>
        <v>0</v>
      </c>
      <c r="L480" s="41">
        <f t="shared" si="96"/>
        <v>0.37577002053387787</v>
      </c>
      <c r="M480" s="43">
        <f>VLOOKUP(H480,Data!$P$3:$X$122,9)</f>
        <v>0</v>
      </c>
      <c r="N480" s="43">
        <f t="shared" si="99"/>
        <v>0</v>
      </c>
      <c r="O480" s="43">
        <f t="shared" si="100"/>
        <v>0</v>
      </c>
      <c r="P480" s="30">
        <f t="shared" si="101"/>
        <v>0</v>
      </c>
      <c r="Q480" s="31">
        <f t="shared" si="103"/>
        <v>848340.75061972369</v>
      </c>
    </row>
    <row r="481" spans="1:17" x14ac:dyDescent="0.25">
      <c r="A481" s="6">
        <f t="shared" si="102"/>
        <v>57830</v>
      </c>
      <c r="B481" s="30">
        <f>IFERROR(VLOOKUP(A481, Data!$L$3:$N$123, 3),1)*Pension</f>
        <v>150474.61952990454</v>
      </c>
      <c r="C481" s="37">
        <f t="shared" si="91"/>
        <v>39.832991101984945</v>
      </c>
      <c r="D481" s="37">
        <f>IFERROR(VLOOKUP(A481,Data!$I$3:$J$1442,2),0)</f>
        <v>8.995512E-2</v>
      </c>
      <c r="E481" s="37">
        <f t="shared" si="92"/>
        <v>8.9755119999999994E-2</v>
      </c>
      <c r="F481" s="37">
        <f t="shared" si="97"/>
        <v>2.8009406009223029E-2</v>
      </c>
      <c r="G481" s="30">
        <f t="shared" si="98"/>
        <v>4214.7047124964574</v>
      </c>
      <c r="H481" s="38">
        <f t="shared" si="93"/>
        <v>135</v>
      </c>
      <c r="I481" s="39">
        <f t="shared" si="94"/>
        <v>135.45790554414785</v>
      </c>
      <c r="J481" s="40">
        <f t="shared" si="95"/>
        <v>40</v>
      </c>
      <c r="K481" s="43">
        <f>VLOOKUP(J481,Data!$Z$3:$AA$122,2)</f>
        <v>0</v>
      </c>
      <c r="L481" s="41">
        <f t="shared" si="96"/>
        <v>0.45790554414784879</v>
      </c>
      <c r="M481" s="43">
        <f>VLOOKUP(H481,Data!$P$3:$X$122,9)</f>
        <v>0</v>
      </c>
      <c r="N481" s="43">
        <f t="shared" si="99"/>
        <v>0</v>
      </c>
      <c r="O481" s="43">
        <f t="shared" si="100"/>
        <v>0</v>
      </c>
      <c r="P481" s="30">
        <f t="shared" si="101"/>
        <v>0</v>
      </c>
      <c r="Q481" s="31">
        <f t="shared" si="103"/>
        <v>848340.75061972369</v>
      </c>
    </row>
    <row r="482" spans="1:17" x14ac:dyDescent="0.25">
      <c r="A482" s="6">
        <f t="shared" si="102"/>
        <v>57861</v>
      </c>
      <c r="B482" s="30">
        <f>IFERROR(VLOOKUP(A482, Data!$L$3:$N$123, 3),1)*Pension</f>
        <v>150474.61952990454</v>
      </c>
      <c r="C482" s="37">
        <f t="shared" si="91"/>
        <v>39.917864476386036</v>
      </c>
      <c r="D482" s="37">
        <f>IFERROR(VLOOKUP(A482,Data!$I$3:$J$1442,2),0)</f>
        <v>8.9912694000000001E-2</v>
      </c>
      <c r="E482" s="37">
        <f t="shared" si="92"/>
        <v>8.9712693999999996E-2</v>
      </c>
      <c r="F482" s="37">
        <f t="shared" si="97"/>
        <v>2.7843961429744591E-2</v>
      </c>
      <c r="G482" s="30">
        <f t="shared" si="98"/>
        <v>4189.8095023461537</v>
      </c>
      <c r="H482" s="38">
        <f t="shared" si="93"/>
        <v>135</v>
      </c>
      <c r="I482" s="39">
        <f t="shared" si="94"/>
        <v>135.54277891854895</v>
      </c>
      <c r="J482" s="40">
        <f t="shared" si="95"/>
        <v>40</v>
      </c>
      <c r="K482" s="43">
        <f>VLOOKUP(J482,Data!$Z$3:$AA$122,2)</f>
        <v>0</v>
      </c>
      <c r="L482" s="41">
        <f t="shared" si="96"/>
        <v>0.54277891854894733</v>
      </c>
      <c r="M482" s="43">
        <f>VLOOKUP(H482,Data!$P$3:$X$122,9)</f>
        <v>0</v>
      </c>
      <c r="N482" s="43">
        <f t="shared" si="99"/>
        <v>0</v>
      </c>
      <c r="O482" s="43">
        <f t="shared" si="100"/>
        <v>0</v>
      </c>
      <c r="P482" s="30">
        <f t="shared" si="101"/>
        <v>0</v>
      </c>
      <c r="Q482" s="31">
        <f t="shared" si="103"/>
        <v>848340.75061972369</v>
      </c>
    </row>
    <row r="483" spans="1:17" x14ac:dyDescent="0.25">
      <c r="A483" s="6">
        <f t="shared" si="102"/>
        <v>57891</v>
      </c>
      <c r="B483" s="30">
        <f>IFERROR(VLOOKUP(A483, Data!$L$3:$N$123, 3),1)*Pension</f>
        <v>150474.61952990454</v>
      </c>
      <c r="C483" s="37">
        <f t="shared" si="91"/>
        <v>40</v>
      </c>
      <c r="D483" s="37">
        <f>IFERROR(VLOOKUP(A483,Data!$I$3:$J$1442,2),0)</f>
        <v>8.9871807999999997E-2</v>
      </c>
      <c r="E483" s="37">
        <f t="shared" si="92"/>
        <v>8.9671807999999992E-2</v>
      </c>
      <c r="F483" s="37">
        <f t="shared" si="97"/>
        <v>2.7684784298899326E-2</v>
      </c>
      <c r="G483" s="30">
        <f t="shared" si="98"/>
        <v>4165.8573841443513</v>
      </c>
      <c r="H483" s="38">
        <f t="shared" si="93"/>
        <v>135</v>
      </c>
      <c r="I483" s="39">
        <f t="shared" si="94"/>
        <v>135.62491444216289</v>
      </c>
      <c r="J483" s="40">
        <f t="shared" si="95"/>
        <v>40</v>
      </c>
      <c r="K483" s="43">
        <f>VLOOKUP(J483,Data!$Z$3:$AA$122,2)</f>
        <v>0</v>
      </c>
      <c r="L483" s="41">
        <f t="shared" si="96"/>
        <v>0.62491444216288983</v>
      </c>
      <c r="M483" s="43">
        <f>VLOOKUP(H483,Data!$P$3:$X$122,9)</f>
        <v>0</v>
      </c>
      <c r="N483" s="43">
        <f t="shared" si="99"/>
        <v>0</v>
      </c>
      <c r="O483" s="43">
        <f t="shared" si="100"/>
        <v>0</v>
      </c>
      <c r="P483" s="30">
        <f t="shared" si="101"/>
        <v>0</v>
      </c>
      <c r="Q483" s="31">
        <f t="shared" si="103"/>
        <v>848340.75061972369</v>
      </c>
    </row>
    <row r="484" spans="1:17" x14ac:dyDescent="0.25">
      <c r="A484" s="6">
        <f t="shared" si="102"/>
        <v>57922</v>
      </c>
      <c r="B484" s="30">
        <f>IFERROR(VLOOKUP(A484, Data!$L$3:$N$123, 3),1)*Pension</f>
        <v>150474.61952990454</v>
      </c>
      <c r="C484" s="37">
        <f t="shared" si="91"/>
        <v>40.084873374401099</v>
      </c>
      <c r="D484" s="37">
        <f>IFERROR(VLOOKUP(A484,Data!$I$3:$J$1442,2),0)</f>
        <v>8.9829735999999993E-2</v>
      </c>
      <c r="E484" s="37">
        <f t="shared" si="92"/>
        <v>8.9629735999999988E-2</v>
      </c>
      <c r="F484" s="37">
        <f t="shared" si="97"/>
        <v>2.7521256255467797E-2</v>
      </c>
      <c r="G484" s="30">
        <f t="shared" si="98"/>
        <v>4141.2505640265217</v>
      </c>
      <c r="H484" s="38">
        <f t="shared" si="93"/>
        <v>135</v>
      </c>
      <c r="I484" s="39">
        <f t="shared" si="94"/>
        <v>135.70978781656399</v>
      </c>
      <c r="J484" s="40">
        <f t="shared" si="95"/>
        <v>40</v>
      </c>
      <c r="K484" s="43">
        <f>VLOOKUP(J484,Data!$Z$3:$AA$122,2)</f>
        <v>0</v>
      </c>
      <c r="L484" s="41">
        <f t="shared" si="96"/>
        <v>0.70978781656398837</v>
      </c>
      <c r="M484" s="43">
        <f>VLOOKUP(H484,Data!$P$3:$X$122,9)</f>
        <v>0</v>
      </c>
      <c r="N484" s="43">
        <f t="shared" si="99"/>
        <v>0</v>
      </c>
      <c r="O484" s="43">
        <f t="shared" si="100"/>
        <v>0</v>
      </c>
      <c r="P484" s="30">
        <f t="shared" si="101"/>
        <v>0</v>
      </c>
      <c r="Q484" s="31">
        <f t="shared" si="103"/>
        <v>848340.75061972369</v>
      </c>
    </row>
    <row r="485" spans="1:17" x14ac:dyDescent="0.25">
      <c r="A485" s="6">
        <f t="shared" si="102"/>
        <v>57953</v>
      </c>
      <c r="B485" s="30">
        <f>IFERROR(VLOOKUP(A485, Data!$L$3:$N$123, 3),1)*Pension</f>
        <v>150474.61952990454</v>
      </c>
      <c r="C485" s="37">
        <f t="shared" si="91"/>
        <v>40.16974674880219</v>
      </c>
      <c r="D485" s="37">
        <f>IFERROR(VLOOKUP(A485,Data!$I$3:$J$1442,2),0)</f>
        <v>8.9787840999999993E-2</v>
      </c>
      <c r="E485" s="37">
        <f t="shared" si="92"/>
        <v>8.9587840999999988E-2</v>
      </c>
      <c r="F485" s="37">
        <f t="shared" si="97"/>
        <v>2.7358694999775848E-2</v>
      </c>
      <c r="G485" s="30">
        <f t="shared" si="98"/>
        <v>4116.7892209259726</v>
      </c>
      <c r="H485" s="38">
        <f t="shared" si="93"/>
        <v>135</v>
      </c>
      <c r="I485" s="39">
        <f t="shared" si="94"/>
        <v>135.79466119096509</v>
      </c>
      <c r="J485" s="40">
        <f t="shared" si="95"/>
        <v>40</v>
      </c>
      <c r="K485" s="43">
        <f>VLOOKUP(J485,Data!$Z$3:$AA$122,2)</f>
        <v>0</v>
      </c>
      <c r="L485" s="41">
        <f t="shared" si="96"/>
        <v>0.79466119096508692</v>
      </c>
      <c r="M485" s="43">
        <f>VLOOKUP(H485,Data!$P$3:$X$122,9)</f>
        <v>0</v>
      </c>
      <c r="N485" s="43">
        <f t="shared" si="99"/>
        <v>0</v>
      </c>
      <c r="O485" s="43">
        <f t="shared" si="100"/>
        <v>0</v>
      </c>
      <c r="P485" s="30">
        <f t="shared" si="101"/>
        <v>0</v>
      </c>
      <c r="Q485" s="31">
        <f t="shared" si="103"/>
        <v>848340.75061972369</v>
      </c>
    </row>
    <row r="486" spans="1:17" x14ac:dyDescent="0.25">
      <c r="A486" s="6">
        <f t="shared" si="102"/>
        <v>57983</v>
      </c>
      <c r="B486" s="30">
        <f>IFERROR(VLOOKUP(A486, Data!$L$3:$N$123, 3),1)*Pension</f>
        <v>150474.61952990454</v>
      </c>
      <c r="C486" s="37">
        <f t="shared" si="91"/>
        <v>40.251882272416154</v>
      </c>
      <c r="D486" s="37">
        <f>IFERROR(VLOOKUP(A486,Data!$I$3:$J$1442,2),0)</f>
        <v>8.9747465999999998E-2</v>
      </c>
      <c r="E486" s="37">
        <f t="shared" si="92"/>
        <v>8.9547465999999992E-2</v>
      </c>
      <c r="F486" s="37">
        <f t="shared" si="97"/>
        <v>2.7202291600104168E-2</v>
      </c>
      <c r="G486" s="30">
        <f t="shared" si="98"/>
        <v>4093.2544788671926</v>
      </c>
      <c r="H486" s="38">
        <f t="shared" si="93"/>
        <v>135</v>
      </c>
      <c r="I486" s="39">
        <f t="shared" si="94"/>
        <v>135.87679671457906</v>
      </c>
      <c r="J486" s="40">
        <f t="shared" si="95"/>
        <v>40</v>
      </c>
      <c r="K486" s="43">
        <f>VLOOKUP(J486,Data!$Z$3:$AA$122,2)</f>
        <v>0</v>
      </c>
      <c r="L486" s="41">
        <f t="shared" si="96"/>
        <v>0.87679671457905783</v>
      </c>
      <c r="M486" s="43">
        <f>VLOOKUP(H486,Data!$P$3:$X$122,9)</f>
        <v>0</v>
      </c>
      <c r="N486" s="43">
        <f t="shared" si="99"/>
        <v>0</v>
      </c>
      <c r="O486" s="43">
        <f t="shared" si="100"/>
        <v>0</v>
      </c>
      <c r="P486" s="30">
        <f t="shared" si="101"/>
        <v>0</v>
      </c>
      <c r="Q486" s="31">
        <f t="shared" si="103"/>
        <v>848340.75061972369</v>
      </c>
    </row>
    <row r="487" spans="1:17" x14ac:dyDescent="0.25">
      <c r="A487" s="6">
        <f t="shared" si="102"/>
        <v>58014</v>
      </c>
      <c r="B487" s="30">
        <f>IFERROR(VLOOKUP(A487, Data!$L$3:$N$123, 3),1)*Pension</f>
        <v>150474.61952990454</v>
      </c>
      <c r="C487" s="37">
        <f t="shared" si="91"/>
        <v>40.336755646817245</v>
      </c>
      <c r="D487" s="37">
        <f>IFERROR(VLOOKUP(A487,Data!$I$3:$J$1442,2),0)</f>
        <v>8.9705917999999996E-2</v>
      </c>
      <c r="E487" s="37">
        <f t="shared" si="92"/>
        <v>8.950591799999999E-2</v>
      </c>
      <c r="F487" s="37">
        <f t="shared" si="97"/>
        <v>2.7041613916969777E-2</v>
      </c>
      <c r="G487" s="30">
        <f t="shared" si="98"/>
        <v>4069.0765656305989</v>
      </c>
      <c r="H487" s="38">
        <f t="shared" si="93"/>
        <v>135</v>
      </c>
      <c r="I487" s="39">
        <f t="shared" si="94"/>
        <v>135.96167008898016</v>
      </c>
      <c r="J487" s="40">
        <f t="shared" si="95"/>
        <v>40</v>
      </c>
      <c r="K487" s="43">
        <f>VLOOKUP(J487,Data!$Z$3:$AA$122,2)</f>
        <v>0</v>
      </c>
      <c r="L487" s="41">
        <f t="shared" si="96"/>
        <v>0.96167008898015638</v>
      </c>
      <c r="M487" s="43">
        <f>VLOOKUP(H487,Data!$P$3:$X$122,9)</f>
        <v>0</v>
      </c>
      <c r="N487" s="43">
        <f t="shared" si="99"/>
        <v>0</v>
      </c>
      <c r="O487" s="43">
        <f t="shared" si="100"/>
        <v>0</v>
      </c>
      <c r="P487" s="30">
        <f t="shared" si="101"/>
        <v>0</v>
      </c>
      <c r="Q487" s="31">
        <f t="shared" si="103"/>
        <v>848340.75061972369</v>
      </c>
    </row>
    <row r="488" spans="1:17" x14ac:dyDescent="0.25">
      <c r="A488" s="6">
        <f t="shared" si="102"/>
        <v>58044</v>
      </c>
      <c r="B488" s="30">
        <f>IFERROR(VLOOKUP(A488, Data!$L$3:$N$123, 3),1)*Pension</f>
        <v>150474.61952990454</v>
      </c>
      <c r="C488" s="37">
        <f t="shared" si="91"/>
        <v>40.418891170431209</v>
      </c>
      <c r="D488" s="37">
        <f>IFERROR(VLOOKUP(A488,Data!$I$3:$J$1442,2),0)</f>
        <v>8.9665876000000005E-2</v>
      </c>
      <c r="E488" s="37">
        <f t="shared" si="92"/>
        <v>8.9465876E-2</v>
      </c>
      <c r="F488" s="37">
        <f t="shared" si="97"/>
        <v>2.6887023527527035E-2</v>
      </c>
      <c r="G488" s="30">
        <f t="shared" si="98"/>
        <v>4045.8146355962222</v>
      </c>
      <c r="H488" s="38">
        <f t="shared" si="93"/>
        <v>136</v>
      </c>
      <c r="I488" s="39">
        <f t="shared" si="94"/>
        <v>136.04380561259413</v>
      </c>
      <c r="J488" s="40">
        <f t="shared" si="95"/>
        <v>41</v>
      </c>
      <c r="K488" s="43">
        <f>VLOOKUP(J488,Data!$Z$3:$AA$122,2)</f>
        <v>0</v>
      </c>
      <c r="L488" s="41">
        <f t="shared" si="96"/>
        <v>4.3805612594127297E-2</v>
      </c>
      <c r="M488" s="43">
        <f>VLOOKUP(H488,Data!$P$3:$X$122,9)</f>
        <v>0</v>
      </c>
      <c r="N488" s="43">
        <f t="shared" si="99"/>
        <v>0</v>
      </c>
      <c r="O488" s="43">
        <f t="shared" si="100"/>
        <v>0</v>
      </c>
      <c r="P488" s="30">
        <f t="shared" si="101"/>
        <v>0</v>
      </c>
      <c r="Q488" s="31">
        <f t="shared" si="103"/>
        <v>848340.75061972369</v>
      </c>
    </row>
    <row r="489" spans="1:17" x14ac:dyDescent="0.25">
      <c r="A489" s="6">
        <f t="shared" si="102"/>
        <v>58075</v>
      </c>
      <c r="B489" s="30">
        <f>IFERROR(VLOOKUP(A489, Data!$L$3:$N$123, 3),1)*Pension</f>
        <v>157998.35050639976</v>
      </c>
      <c r="C489" s="37">
        <f t="shared" si="91"/>
        <v>40.503764544832308</v>
      </c>
      <c r="D489" s="37">
        <f>IFERROR(VLOOKUP(A489,Data!$I$3:$J$1442,2),0)</f>
        <v>8.9624670000000004E-2</v>
      </c>
      <c r="E489" s="37">
        <f t="shared" si="92"/>
        <v>8.9424669999999998E-2</v>
      </c>
      <c r="F489" s="37">
        <f t="shared" si="97"/>
        <v>2.6728208365574144E-2</v>
      </c>
      <c r="G489" s="30">
        <f t="shared" si="98"/>
        <v>4223.01283375207</v>
      </c>
      <c r="H489" s="38">
        <f t="shared" si="93"/>
        <v>136</v>
      </c>
      <c r="I489" s="39">
        <f t="shared" si="94"/>
        <v>136.1286789869952</v>
      </c>
      <c r="J489" s="40">
        <f t="shared" si="95"/>
        <v>41</v>
      </c>
      <c r="K489" s="43">
        <f>VLOOKUP(J489,Data!$Z$3:$AA$122,2)</f>
        <v>0</v>
      </c>
      <c r="L489" s="41">
        <f t="shared" si="96"/>
        <v>0.12867898699519742</v>
      </c>
      <c r="M489" s="43">
        <f>VLOOKUP(H489,Data!$P$3:$X$122,9)</f>
        <v>0</v>
      </c>
      <c r="N489" s="43">
        <f t="shared" si="99"/>
        <v>0</v>
      </c>
      <c r="O489" s="43">
        <f t="shared" si="100"/>
        <v>0</v>
      </c>
      <c r="P489" s="30">
        <f t="shared" si="101"/>
        <v>0</v>
      </c>
      <c r="Q489" s="31">
        <f t="shared" si="103"/>
        <v>848340.75061972369</v>
      </c>
    </row>
    <row r="490" spans="1:17" x14ac:dyDescent="0.25">
      <c r="A490" s="6">
        <f t="shared" si="102"/>
        <v>58106</v>
      </c>
      <c r="B490" s="30">
        <f>IFERROR(VLOOKUP(A490, Data!$L$3:$N$123, 3),1)*Pension</f>
        <v>157998.35050639976</v>
      </c>
      <c r="C490" s="37">
        <f t="shared" si="91"/>
        <v>40.588637919233399</v>
      </c>
      <c r="D490" s="37">
        <f>IFERROR(VLOOKUP(A490,Data!$I$3:$J$1442,2),0)</f>
        <v>8.9583635999999994E-2</v>
      </c>
      <c r="E490" s="37">
        <f t="shared" si="92"/>
        <v>8.9383635999999989E-2</v>
      </c>
      <c r="F490" s="37">
        <f t="shared" si="97"/>
        <v>2.657033164088813E-2</v>
      </c>
      <c r="G490" s="30">
        <f t="shared" si="98"/>
        <v>4198.0685716683265</v>
      </c>
      <c r="H490" s="38">
        <f t="shared" si="93"/>
        <v>136</v>
      </c>
      <c r="I490" s="39">
        <f t="shared" si="94"/>
        <v>136.2135523613963</v>
      </c>
      <c r="J490" s="40">
        <f t="shared" si="95"/>
        <v>41</v>
      </c>
      <c r="K490" s="43">
        <f>VLOOKUP(J490,Data!$Z$3:$AA$122,2)</f>
        <v>0</v>
      </c>
      <c r="L490" s="41">
        <f t="shared" si="96"/>
        <v>0.21355236139629596</v>
      </c>
      <c r="M490" s="43">
        <f>VLOOKUP(H490,Data!$P$3:$X$122,9)</f>
        <v>0</v>
      </c>
      <c r="N490" s="43">
        <f t="shared" si="99"/>
        <v>0</v>
      </c>
      <c r="O490" s="43">
        <f t="shared" si="100"/>
        <v>0</v>
      </c>
      <c r="P490" s="30">
        <f t="shared" si="101"/>
        <v>0</v>
      </c>
      <c r="Q490" s="31">
        <f t="shared" si="103"/>
        <v>848340.75061972369</v>
      </c>
    </row>
    <row r="491" spans="1:17" x14ac:dyDescent="0.25">
      <c r="A491" s="6">
        <f t="shared" si="102"/>
        <v>58134</v>
      </c>
      <c r="B491" s="30">
        <f>IFERROR(VLOOKUP(A491, Data!$L$3:$N$123, 3),1)*Pension</f>
        <v>157998.35050639976</v>
      </c>
      <c r="C491" s="37">
        <f t="shared" si="91"/>
        <v>40.6652977412731</v>
      </c>
      <c r="D491" s="37">
        <f>IFERROR(VLOOKUP(A491,Data!$I$3:$J$1442,2),0)</f>
        <v>8.9546720999999996E-2</v>
      </c>
      <c r="E491" s="37">
        <f t="shared" si="92"/>
        <v>8.934672099999999E-2</v>
      </c>
      <c r="F491" s="37">
        <f t="shared" si="97"/>
        <v>2.6428534198343165E-2</v>
      </c>
      <c r="G491" s="30">
        <f t="shared" si="98"/>
        <v>4175.6648096401959</v>
      </c>
      <c r="H491" s="38">
        <f t="shared" si="93"/>
        <v>136</v>
      </c>
      <c r="I491" s="39">
        <f t="shared" si="94"/>
        <v>136.29021218343601</v>
      </c>
      <c r="J491" s="40">
        <f t="shared" si="95"/>
        <v>41</v>
      </c>
      <c r="K491" s="43">
        <f>VLOOKUP(J491,Data!$Z$3:$AA$122,2)</f>
        <v>0</v>
      </c>
      <c r="L491" s="41">
        <f t="shared" si="96"/>
        <v>0.29021218343601163</v>
      </c>
      <c r="M491" s="43">
        <f>VLOOKUP(H491,Data!$P$3:$X$122,9)</f>
        <v>0</v>
      </c>
      <c r="N491" s="43">
        <f t="shared" si="99"/>
        <v>0</v>
      </c>
      <c r="O491" s="43">
        <f t="shared" si="100"/>
        <v>0</v>
      </c>
      <c r="P491" s="30">
        <f t="shared" si="101"/>
        <v>0</v>
      </c>
      <c r="Q491" s="31">
        <f t="shared" si="103"/>
        <v>848340.75061972369</v>
      </c>
    </row>
    <row r="492" spans="1:17" x14ac:dyDescent="0.25">
      <c r="A492" s="6">
        <f t="shared" si="102"/>
        <v>58165</v>
      </c>
      <c r="B492" s="30">
        <f>IFERROR(VLOOKUP(A492, Data!$L$3:$N$123, 3),1)*Pension</f>
        <v>157998.35050639976</v>
      </c>
      <c r="C492" s="37">
        <f t="shared" si="91"/>
        <v>40.750171115674199</v>
      </c>
      <c r="D492" s="37">
        <f>IFERROR(VLOOKUP(A492,Data!$I$3:$J$1442,2),0)</f>
        <v>8.9506011999999996E-2</v>
      </c>
      <c r="E492" s="37">
        <f t="shared" si="92"/>
        <v>8.930601199999999E-2</v>
      </c>
      <c r="F492" s="37">
        <f t="shared" si="97"/>
        <v>2.6272427581689364E-2</v>
      </c>
      <c r="G492" s="30">
        <f t="shared" si="98"/>
        <v>4151.0002217057609</v>
      </c>
      <c r="H492" s="38">
        <f t="shared" si="93"/>
        <v>136</v>
      </c>
      <c r="I492" s="39">
        <f t="shared" si="94"/>
        <v>136.37508555783711</v>
      </c>
      <c r="J492" s="40">
        <f t="shared" si="95"/>
        <v>41</v>
      </c>
      <c r="K492" s="43">
        <f>VLOOKUP(J492,Data!$Z$3:$AA$122,2)</f>
        <v>0</v>
      </c>
      <c r="L492" s="41">
        <f t="shared" si="96"/>
        <v>0.37508555783711017</v>
      </c>
      <c r="M492" s="43">
        <f>VLOOKUP(H492,Data!$P$3:$X$122,9)</f>
        <v>0</v>
      </c>
      <c r="N492" s="43">
        <f t="shared" si="99"/>
        <v>0</v>
      </c>
      <c r="O492" s="43">
        <f t="shared" si="100"/>
        <v>0</v>
      </c>
      <c r="P492" s="30">
        <f t="shared" si="101"/>
        <v>0</v>
      </c>
      <c r="Q492" s="31">
        <f t="shared" si="103"/>
        <v>848340.75061972369</v>
      </c>
    </row>
    <row r="493" spans="1:17" x14ac:dyDescent="0.25">
      <c r="A493" s="6">
        <f t="shared" si="102"/>
        <v>58195</v>
      </c>
      <c r="B493" s="30">
        <f>IFERROR(VLOOKUP(A493, Data!$L$3:$N$123, 3),1)*Pension</f>
        <v>157998.35050639976</v>
      </c>
      <c r="C493" s="37">
        <f t="shared" si="91"/>
        <v>40.832306639288156</v>
      </c>
      <c r="D493" s="37">
        <f>IFERROR(VLOOKUP(A493,Data!$I$3:$J$1442,2),0)</f>
        <v>8.9466777999999997E-2</v>
      </c>
      <c r="E493" s="37">
        <f t="shared" si="92"/>
        <v>8.9266777999999991E-2</v>
      </c>
      <c r="F493" s="37">
        <f t="shared" si="97"/>
        <v>2.6122233945226992E-2</v>
      </c>
      <c r="G493" s="30">
        <f t="shared" si="98"/>
        <v>4127.2698748881485</v>
      </c>
      <c r="H493" s="38">
        <f t="shared" si="93"/>
        <v>136</v>
      </c>
      <c r="I493" s="39">
        <f t="shared" si="94"/>
        <v>136.45722108145105</v>
      </c>
      <c r="J493" s="40">
        <f t="shared" si="95"/>
        <v>41</v>
      </c>
      <c r="K493" s="43">
        <f>VLOOKUP(J493,Data!$Z$3:$AA$122,2)</f>
        <v>0</v>
      </c>
      <c r="L493" s="41">
        <f t="shared" si="96"/>
        <v>0.45722108145105267</v>
      </c>
      <c r="M493" s="43">
        <f>VLOOKUP(H493,Data!$P$3:$X$122,9)</f>
        <v>0</v>
      </c>
      <c r="N493" s="43">
        <f t="shared" si="99"/>
        <v>0</v>
      </c>
      <c r="O493" s="43">
        <f t="shared" si="100"/>
        <v>0</v>
      </c>
      <c r="P493" s="30">
        <f t="shared" si="101"/>
        <v>0</v>
      </c>
      <c r="Q493" s="31">
        <f t="shared" si="103"/>
        <v>848340.75061972369</v>
      </c>
    </row>
    <row r="494" spans="1:17" x14ac:dyDescent="0.25">
      <c r="A494" s="6">
        <f t="shared" si="102"/>
        <v>58226</v>
      </c>
      <c r="B494" s="30">
        <f>IFERROR(VLOOKUP(A494, Data!$L$3:$N$123, 3),1)*Pension</f>
        <v>157998.35050639976</v>
      </c>
      <c r="C494" s="37">
        <f t="shared" si="91"/>
        <v>40.917180013689254</v>
      </c>
      <c r="D494" s="37">
        <f>IFERROR(VLOOKUP(A494,Data!$I$3:$J$1442,2),0)</f>
        <v>8.9426401000000003E-2</v>
      </c>
      <c r="E494" s="37">
        <f t="shared" si="92"/>
        <v>8.9226400999999997E-2</v>
      </c>
      <c r="F494" s="37">
        <f t="shared" si="97"/>
        <v>2.596793654777016E-2</v>
      </c>
      <c r="G494" s="30">
        <f t="shared" si="98"/>
        <v>4102.8911406025381</v>
      </c>
      <c r="H494" s="38">
        <f t="shared" si="93"/>
        <v>136</v>
      </c>
      <c r="I494" s="39">
        <f t="shared" si="94"/>
        <v>136.54209445585215</v>
      </c>
      <c r="J494" s="40">
        <f t="shared" si="95"/>
        <v>41</v>
      </c>
      <c r="K494" s="43">
        <f>VLOOKUP(J494,Data!$Z$3:$AA$122,2)</f>
        <v>0</v>
      </c>
      <c r="L494" s="41">
        <f t="shared" si="96"/>
        <v>0.54209445585215121</v>
      </c>
      <c r="M494" s="43">
        <f>VLOOKUP(H494,Data!$P$3:$X$122,9)</f>
        <v>0</v>
      </c>
      <c r="N494" s="43">
        <f t="shared" si="99"/>
        <v>0</v>
      </c>
      <c r="O494" s="43">
        <f t="shared" si="100"/>
        <v>0</v>
      </c>
      <c r="P494" s="30">
        <f t="shared" si="101"/>
        <v>0</v>
      </c>
      <c r="Q494" s="31">
        <f t="shared" si="103"/>
        <v>848340.75061972369</v>
      </c>
    </row>
    <row r="495" spans="1:17" x14ac:dyDescent="0.25">
      <c r="A495" s="6">
        <f t="shared" si="102"/>
        <v>58256</v>
      </c>
      <c r="B495" s="30">
        <f>IFERROR(VLOOKUP(A495, Data!$L$3:$N$123, 3),1)*Pension</f>
        <v>157998.35050639976</v>
      </c>
      <c r="C495" s="37">
        <f t="shared" si="91"/>
        <v>40.999315537303218</v>
      </c>
      <c r="D495" s="37">
        <f>IFERROR(VLOOKUP(A495,Data!$I$3:$J$1442,2),0)</f>
        <v>8.9387486000000002E-2</v>
      </c>
      <c r="E495" s="37">
        <f t="shared" si="92"/>
        <v>8.9187485999999996E-2</v>
      </c>
      <c r="F495" s="37">
        <f t="shared" si="97"/>
        <v>2.581948394264599E-2</v>
      </c>
      <c r="G495" s="30">
        <f t="shared" si="98"/>
        <v>4079.4358738645415</v>
      </c>
      <c r="H495" s="38">
        <f t="shared" si="93"/>
        <v>136</v>
      </c>
      <c r="I495" s="39">
        <f t="shared" si="94"/>
        <v>136.62422997946612</v>
      </c>
      <c r="J495" s="40">
        <f t="shared" si="95"/>
        <v>41</v>
      </c>
      <c r="K495" s="43">
        <f>VLOOKUP(J495,Data!$Z$3:$AA$122,2)</f>
        <v>0</v>
      </c>
      <c r="L495" s="41">
        <f t="shared" si="96"/>
        <v>0.62422997946612213</v>
      </c>
      <c r="M495" s="43">
        <f>VLOOKUP(H495,Data!$P$3:$X$122,9)</f>
        <v>0</v>
      </c>
      <c r="N495" s="43">
        <f t="shared" si="99"/>
        <v>0</v>
      </c>
      <c r="O495" s="43">
        <f t="shared" si="100"/>
        <v>0</v>
      </c>
      <c r="P495" s="30">
        <f t="shared" si="101"/>
        <v>0</v>
      </c>
      <c r="Q495" s="31">
        <f t="shared" si="103"/>
        <v>848340.75061972369</v>
      </c>
    </row>
    <row r="496" spans="1:17" x14ac:dyDescent="0.25">
      <c r="A496" s="6">
        <f t="shared" si="102"/>
        <v>58287</v>
      </c>
      <c r="B496" s="30">
        <f>IFERROR(VLOOKUP(A496, Data!$L$3:$N$123, 3),1)*Pension</f>
        <v>157998.35050639976</v>
      </c>
      <c r="C496" s="37">
        <f t="shared" si="91"/>
        <v>41.08418891170431</v>
      </c>
      <c r="D496" s="37">
        <f>IFERROR(VLOOKUP(A496,Data!$I$3:$J$1442,2),0)</f>
        <v>8.9347437000000002E-2</v>
      </c>
      <c r="E496" s="37">
        <f t="shared" si="92"/>
        <v>8.9147436999999996E-2</v>
      </c>
      <c r="F496" s="37">
        <f t="shared" si="97"/>
        <v>2.5666974747936108E-2</v>
      </c>
      <c r="G496" s="30">
        <f t="shared" si="98"/>
        <v>4055.3396726633209</v>
      </c>
      <c r="H496" s="38">
        <f t="shared" si="93"/>
        <v>136</v>
      </c>
      <c r="I496" s="39">
        <f t="shared" si="94"/>
        <v>136.70910335386722</v>
      </c>
      <c r="J496" s="40">
        <f t="shared" si="95"/>
        <v>41</v>
      </c>
      <c r="K496" s="43">
        <f>VLOOKUP(J496,Data!$Z$3:$AA$122,2)</f>
        <v>0</v>
      </c>
      <c r="L496" s="41">
        <f t="shared" si="96"/>
        <v>0.70910335386722068</v>
      </c>
      <c r="M496" s="43">
        <f>VLOOKUP(H496,Data!$P$3:$X$122,9)</f>
        <v>0</v>
      </c>
      <c r="N496" s="43">
        <f t="shared" si="99"/>
        <v>0</v>
      </c>
      <c r="O496" s="43">
        <f t="shared" si="100"/>
        <v>0</v>
      </c>
      <c r="P496" s="30">
        <f t="shared" si="101"/>
        <v>0</v>
      </c>
      <c r="Q496" s="31">
        <f t="shared" si="103"/>
        <v>848340.75061972369</v>
      </c>
    </row>
    <row r="497" spans="1:17" x14ac:dyDescent="0.25">
      <c r="A497" s="6">
        <f t="shared" si="102"/>
        <v>58318</v>
      </c>
      <c r="B497" s="30">
        <f>IFERROR(VLOOKUP(A497, Data!$L$3:$N$123, 3),1)*Pension</f>
        <v>157998.35050639976</v>
      </c>
      <c r="C497" s="37">
        <f t="shared" si="91"/>
        <v>41.169062286105408</v>
      </c>
      <c r="D497" s="37">
        <f>IFERROR(VLOOKUP(A497,Data!$I$3:$J$1442,2),0)</f>
        <v>8.9307552999999998E-2</v>
      </c>
      <c r="E497" s="37">
        <f t="shared" si="92"/>
        <v>8.9107552999999992E-2</v>
      </c>
      <c r="F497" s="37">
        <f t="shared" si="97"/>
        <v>2.5515366521697683E-2</v>
      </c>
      <c r="G497" s="30">
        <f t="shared" si="98"/>
        <v>4031.3858229944485</v>
      </c>
      <c r="H497" s="38">
        <f t="shared" si="93"/>
        <v>136</v>
      </c>
      <c r="I497" s="39">
        <f t="shared" si="94"/>
        <v>136.79397672826832</v>
      </c>
      <c r="J497" s="40">
        <f t="shared" si="95"/>
        <v>41</v>
      </c>
      <c r="K497" s="43">
        <f>VLOOKUP(J497,Data!$Z$3:$AA$122,2)</f>
        <v>0</v>
      </c>
      <c r="L497" s="41">
        <f t="shared" si="96"/>
        <v>0.79397672826831922</v>
      </c>
      <c r="M497" s="43">
        <f>VLOOKUP(H497,Data!$P$3:$X$122,9)</f>
        <v>0</v>
      </c>
      <c r="N497" s="43">
        <f t="shared" si="99"/>
        <v>0</v>
      </c>
      <c r="O497" s="43">
        <f t="shared" si="100"/>
        <v>0</v>
      </c>
      <c r="P497" s="30">
        <f t="shared" si="101"/>
        <v>0</v>
      </c>
      <c r="Q497" s="31">
        <f t="shared" si="103"/>
        <v>848340.75061972369</v>
      </c>
    </row>
    <row r="498" spans="1:17" x14ac:dyDescent="0.25">
      <c r="A498" s="6">
        <f t="shared" si="102"/>
        <v>58348</v>
      </c>
      <c r="B498" s="30">
        <f>IFERROR(VLOOKUP(A498, Data!$L$3:$N$123, 3),1)*Pension</f>
        <v>157998.35050639976</v>
      </c>
      <c r="C498" s="37">
        <f t="shared" si="91"/>
        <v>41.251197809719372</v>
      </c>
      <c r="D498" s="37">
        <f>IFERROR(VLOOKUP(A498,Data!$I$3:$J$1442,2),0)</f>
        <v>8.9269112999999997E-2</v>
      </c>
      <c r="E498" s="37">
        <f t="shared" si="92"/>
        <v>8.9069112999999991E-2</v>
      </c>
      <c r="F498" s="37">
        <f t="shared" si="97"/>
        <v>2.5369500375032772E-2</v>
      </c>
      <c r="G498" s="30">
        <f t="shared" si="98"/>
        <v>4008.3392124266679</v>
      </c>
      <c r="H498" s="38">
        <f t="shared" si="93"/>
        <v>136</v>
      </c>
      <c r="I498" s="39">
        <f t="shared" si="94"/>
        <v>136.87611225188226</v>
      </c>
      <c r="J498" s="40">
        <f t="shared" si="95"/>
        <v>41</v>
      </c>
      <c r="K498" s="43">
        <f>VLOOKUP(J498,Data!$Z$3:$AA$122,2)</f>
        <v>0</v>
      </c>
      <c r="L498" s="41">
        <f t="shared" si="96"/>
        <v>0.87611225188226172</v>
      </c>
      <c r="M498" s="43">
        <f>VLOOKUP(H498,Data!$P$3:$X$122,9)</f>
        <v>0</v>
      </c>
      <c r="N498" s="43">
        <f t="shared" si="99"/>
        <v>0</v>
      </c>
      <c r="O498" s="43">
        <f t="shared" si="100"/>
        <v>0</v>
      </c>
      <c r="P498" s="30">
        <f t="shared" si="101"/>
        <v>0</v>
      </c>
      <c r="Q498" s="31">
        <f t="shared" si="103"/>
        <v>848340.75061972369</v>
      </c>
    </row>
    <row r="499" spans="1:17" x14ac:dyDescent="0.25">
      <c r="A499" s="6">
        <f t="shared" si="102"/>
        <v>58379</v>
      </c>
      <c r="B499" s="30">
        <f>IFERROR(VLOOKUP(A499, Data!$L$3:$N$123, 3),1)*Pension</f>
        <v>157998.35050639976</v>
      </c>
      <c r="C499" s="37">
        <f t="shared" si="91"/>
        <v>41.336071184120463</v>
      </c>
      <c r="D499" s="37">
        <f>IFERROR(VLOOKUP(A499,Data!$I$3:$J$1442,2),0)</f>
        <v>8.9229551000000004E-2</v>
      </c>
      <c r="E499" s="37">
        <f t="shared" si="92"/>
        <v>8.9029550999999998E-2</v>
      </c>
      <c r="F499" s="37">
        <f t="shared" si="97"/>
        <v>2.5219649212896794E-2</v>
      </c>
      <c r="G499" s="30">
        <f t="shared" si="98"/>
        <v>3984.6629759877164</v>
      </c>
      <c r="H499" s="38">
        <f t="shared" si="93"/>
        <v>136</v>
      </c>
      <c r="I499" s="39">
        <f t="shared" si="94"/>
        <v>136.96098562628336</v>
      </c>
      <c r="J499" s="40">
        <f t="shared" si="95"/>
        <v>41</v>
      </c>
      <c r="K499" s="43">
        <f>VLOOKUP(J499,Data!$Z$3:$AA$122,2)</f>
        <v>0</v>
      </c>
      <c r="L499" s="41">
        <f t="shared" si="96"/>
        <v>0.96098562628336026</v>
      </c>
      <c r="M499" s="43">
        <f>VLOOKUP(H499,Data!$P$3:$X$122,9)</f>
        <v>0</v>
      </c>
      <c r="N499" s="43">
        <f t="shared" si="99"/>
        <v>0</v>
      </c>
      <c r="O499" s="43">
        <f t="shared" si="100"/>
        <v>0</v>
      </c>
      <c r="P499" s="30">
        <f t="shared" si="101"/>
        <v>0</v>
      </c>
      <c r="Q499" s="31">
        <f t="shared" si="103"/>
        <v>848340.75061972369</v>
      </c>
    </row>
    <row r="500" spans="1:17" x14ac:dyDescent="0.25">
      <c r="A500" s="6">
        <f t="shared" si="102"/>
        <v>58409</v>
      </c>
      <c r="B500" s="30">
        <f>IFERROR(VLOOKUP(A500, Data!$L$3:$N$123, 3),1)*Pension</f>
        <v>157998.35050639976</v>
      </c>
      <c r="C500" s="37">
        <f t="shared" si="91"/>
        <v>41.418206707734427</v>
      </c>
      <c r="D500" s="37">
        <f>IFERROR(VLOOKUP(A500,Data!$I$3:$J$1442,2),0)</f>
        <v>8.9191419999999993E-2</v>
      </c>
      <c r="E500" s="37">
        <f t="shared" si="92"/>
        <v>8.8991419999999988E-2</v>
      </c>
      <c r="F500" s="37">
        <f t="shared" si="97"/>
        <v>2.507547433219642E-2</v>
      </c>
      <c r="G500" s="30">
        <f t="shared" si="98"/>
        <v>3961.8835826526006</v>
      </c>
      <c r="H500" s="38">
        <f t="shared" si="93"/>
        <v>137</v>
      </c>
      <c r="I500" s="39">
        <f t="shared" si="94"/>
        <v>137.04312114989733</v>
      </c>
      <c r="J500" s="40">
        <f t="shared" si="95"/>
        <v>42</v>
      </c>
      <c r="K500" s="43">
        <f>VLOOKUP(J500,Data!$Z$3:$AA$122,2)</f>
        <v>0</v>
      </c>
      <c r="L500" s="41">
        <f t="shared" si="96"/>
        <v>4.3121149897331179E-2</v>
      </c>
      <c r="M500" s="43">
        <f>VLOOKUP(H500,Data!$P$3:$X$122,9)</f>
        <v>0</v>
      </c>
      <c r="N500" s="43">
        <f t="shared" si="99"/>
        <v>0</v>
      </c>
      <c r="O500" s="43">
        <f t="shared" si="100"/>
        <v>0</v>
      </c>
      <c r="P500" s="30">
        <f t="shared" si="101"/>
        <v>0</v>
      </c>
      <c r="Q500" s="31">
        <f t="shared" si="103"/>
        <v>848340.75061972369</v>
      </c>
    </row>
    <row r="501" spans="1:17" x14ac:dyDescent="0.25">
      <c r="A501" s="6">
        <f t="shared" si="102"/>
        <v>58440</v>
      </c>
      <c r="B501" s="30">
        <f>IFERROR(VLOOKUP(A501, Data!$L$3:$N$123, 3),1)*Pension</f>
        <v>165898.26803171975</v>
      </c>
      <c r="C501" s="37">
        <f t="shared" si="91"/>
        <v>41.503080082135526</v>
      </c>
      <c r="D501" s="37">
        <f>IFERROR(VLOOKUP(A501,Data!$I$3:$J$1442,2),0)</f>
        <v>8.9152176E-2</v>
      </c>
      <c r="E501" s="37">
        <f t="shared" si="92"/>
        <v>8.8952175999999994E-2</v>
      </c>
      <c r="F501" s="37">
        <f t="shared" si="97"/>
        <v>2.4927359988935173E-2</v>
      </c>
      <c r="G501" s="30">
        <f t="shared" si="98"/>
        <v>4135.4058487675338</v>
      </c>
      <c r="H501" s="38">
        <f t="shared" si="93"/>
        <v>137</v>
      </c>
      <c r="I501" s="39">
        <f t="shared" si="94"/>
        <v>137.12799452429843</v>
      </c>
      <c r="J501" s="40">
        <f t="shared" si="95"/>
        <v>42</v>
      </c>
      <c r="K501" s="43">
        <f>VLOOKUP(J501,Data!$Z$3:$AA$122,2)</f>
        <v>0</v>
      </c>
      <c r="L501" s="41">
        <f t="shared" si="96"/>
        <v>0.12799452429842972</v>
      </c>
      <c r="M501" s="43">
        <f>VLOOKUP(H501,Data!$P$3:$X$122,9)</f>
        <v>0</v>
      </c>
      <c r="N501" s="43">
        <f t="shared" si="99"/>
        <v>0</v>
      </c>
      <c r="O501" s="43">
        <f t="shared" si="100"/>
        <v>0</v>
      </c>
      <c r="P501" s="30">
        <f t="shared" si="101"/>
        <v>0</v>
      </c>
      <c r="Q501" s="31">
        <f t="shared" si="103"/>
        <v>848340.75061972369</v>
      </c>
    </row>
    <row r="502" spans="1:17" x14ac:dyDescent="0.25">
      <c r="A502" s="6">
        <f t="shared" si="102"/>
        <v>58471</v>
      </c>
      <c r="B502" s="30">
        <f>IFERROR(VLOOKUP(A502, Data!$L$3:$N$123, 3),1)*Pension</f>
        <v>165898.26803171975</v>
      </c>
      <c r="C502" s="37">
        <f t="shared" si="91"/>
        <v>41.587953456536617</v>
      </c>
      <c r="D502" s="37">
        <f>IFERROR(VLOOKUP(A502,Data!$I$3:$J$1442,2),0)</f>
        <v>8.9113093000000004E-2</v>
      </c>
      <c r="E502" s="37">
        <f t="shared" si="92"/>
        <v>8.8913092999999999E-2</v>
      </c>
      <c r="F502" s="37">
        <f t="shared" si="97"/>
        <v>2.478011967332721E-2</v>
      </c>
      <c r="G502" s="30">
        <f t="shared" si="98"/>
        <v>4110.9789354237291</v>
      </c>
      <c r="H502" s="38">
        <f t="shared" si="93"/>
        <v>137</v>
      </c>
      <c r="I502" s="39">
        <f t="shared" si="94"/>
        <v>137.21286789869953</v>
      </c>
      <c r="J502" s="40">
        <f t="shared" si="95"/>
        <v>42</v>
      </c>
      <c r="K502" s="43">
        <f>VLOOKUP(J502,Data!$Z$3:$AA$122,2)</f>
        <v>0</v>
      </c>
      <c r="L502" s="41">
        <f t="shared" si="96"/>
        <v>0.21286789869952827</v>
      </c>
      <c r="M502" s="43">
        <f>VLOOKUP(H502,Data!$P$3:$X$122,9)</f>
        <v>0</v>
      </c>
      <c r="N502" s="43">
        <f t="shared" si="99"/>
        <v>0</v>
      </c>
      <c r="O502" s="43">
        <f t="shared" si="100"/>
        <v>0</v>
      </c>
      <c r="P502" s="30">
        <f t="shared" si="101"/>
        <v>0</v>
      </c>
      <c r="Q502" s="31">
        <f t="shared" si="103"/>
        <v>848340.75061972369</v>
      </c>
    </row>
    <row r="503" spans="1:17" x14ac:dyDescent="0.25">
      <c r="A503" s="6">
        <f t="shared" si="102"/>
        <v>58500</v>
      </c>
      <c r="B503" s="30">
        <f>IFERROR(VLOOKUP(A503, Data!$L$3:$N$123, 3),1)*Pension</f>
        <v>165898.26803171975</v>
      </c>
      <c r="C503" s="37">
        <f t="shared" si="91"/>
        <v>41.667351129363446</v>
      </c>
      <c r="D503" s="37">
        <f>IFERROR(VLOOKUP(A503,Data!$I$3:$J$1442,2),0)</f>
        <v>8.9076674999999994E-2</v>
      </c>
      <c r="E503" s="37">
        <f t="shared" si="92"/>
        <v>8.8876674999999988E-2</v>
      </c>
      <c r="F503" s="37">
        <f t="shared" si="97"/>
        <v>2.4643166834810094E-2</v>
      </c>
      <c r="G503" s="30">
        <f t="shared" si="98"/>
        <v>4088.2586967117118</v>
      </c>
      <c r="H503" s="38">
        <f t="shared" si="93"/>
        <v>137</v>
      </c>
      <c r="I503" s="39">
        <f t="shared" si="94"/>
        <v>137.29226557152634</v>
      </c>
      <c r="J503" s="40">
        <f t="shared" si="95"/>
        <v>42</v>
      </c>
      <c r="K503" s="43">
        <f>VLOOKUP(J503,Data!$Z$3:$AA$122,2)</f>
        <v>0</v>
      </c>
      <c r="L503" s="41">
        <f t="shared" si="96"/>
        <v>0.29226557152634314</v>
      </c>
      <c r="M503" s="43">
        <f>VLOOKUP(H503,Data!$P$3:$X$122,9)</f>
        <v>0</v>
      </c>
      <c r="N503" s="43">
        <f t="shared" si="99"/>
        <v>0</v>
      </c>
      <c r="O503" s="43">
        <f t="shared" si="100"/>
        <v>0</v>
      </c>
      <c r="P503" s="30">
        <f t="shared" si="101"/>
        <v>0</v>
      </c>
      <c r="Q503" s="31">
        <f t="shared" si="103"/>
        <v>848340.75061972369</v>
      </c>
    </row>
    <row r="504" spans="1:17" x14ac:dyDescent="0.25">
      <c r="A504" s="6">
        <f t="shared" si="102"/>
        <v>58531</v>
      </c>
      <c r="B504" s="30">
        <f>IFERROR(VLOOKUP(A504, Data!$L$3:$N$123, 3),1)*Pension</f>
        <v>165898.26803171975</v>
      </c>
      <c r="C504" s="37">
        <f t="shared" si="91"/>
        <v>41.752224503764545</v>
      </c>
      <c r="D504" s="37">
        <f>IFERROR(VLOOKUP(A504,Data!$I$3:$J$1442,2),0)</f>
        <v>8.9037898000000004E-2</v>
      </c>
      <c r="E504" s="37">
        <f t="shared" si="92"/>
        <v>8.8837897999999998E-2</v>
      </c>
      <c r="F504" s="37">
        <f t="shared" si="97"/>
        <v>2.4497606459403288E-2</v>
      </c>
      <c r="G504" s="30">
        <f t="shared" si="98"/>
        <v>4064.1104825376756</v>
      </c>
      <c r="H504" s="38">
        <f t="shared" si="93"/>
        <v>137</v>
      </c>
      <c r="I504" s="39">
        <f t="shared" si="94"/>
        <v>137.37713894592744</v>
      </c>
      <c r="J504" s="40">
        <f t="shared" si="95"/>
        <v>42</v>
      </c>
      <c r="K504" s="43">
        <f>VLOOKUP(J504,Data!$Z$3:$AA$122,2)</f>
        <v>0</v>
      </c>
      <c r="L504" s="41">
        <f t="shared" si="96"/>
        <v>0.37713894592744168</v>
      </c>
      <c r="M504" s="43">
        <f>VLOOKUP(H504,Data!$P$3:$X$122,9)</f>
        <v>0</v>
      </c>
      <c r="N504" s="43">
        <f t="shared" si="99"/>
        <v>0</v>
      </c>
      <c r="O504" s="43">
        <f t="shared" si="100"/>
        <v>0</v>
      </c>
      <c r="P504" s="30">
        <f t="shared" si="101"/>
        <v>0</v>
      </c>
      <c r="Q504" s="31">
        <f t="shared" si="103"/>
        <v>848340.75061972369</v>
      </c>
    </row>
    <row r="505" spans="1:17" x14ac:dyDescent="0.25">
      <c r="A505" s="6">
        <f t="shared" si="102"/>
        <v>58561</v>
      </c>
      <c r="B505" s="30">
        <f>IFERROR(VLOOKUP(A505, Data!$L$3:$N$123, 3),1)*Pension</f>
        <v>165898.26803171975</v>
      </c>
      <c r="C505" s="37">
        <f t="shared" si="91"/>
        <v>41.834360027378509</v>
      </c>
      <c r="D505" s="37">
        <f>IFERROR(VLOOKUP(A505,Data!$I$3:$J$1442,2),0)</f>
        <v>8.9000522999999998E-2</v>
      </c>
      <c r="E505" s="37">
        <f t="shared" si="92"/>
        <v>8.8800522999999992E-2</v>
      </c>
      <c r="F505" s="37">
        <f t="shared" si="97"/>
        <v>2.4357558917533405E-2</v>
      </c>
      <c r="G505" s="30">
        <f t="shared" si="98"/>
        <v>4040.8768378993623</v>
      </c>
      <c r="H505" s="38">
        <f t="shared" si="93"/>
        <v>137</v>
      </c>
      <c r="I505" s="39">
        <f t="shared" si="94"/>
        <v>137.45927446954141</v>
      </c>
      <c r="J505" s="40">
        <f t="shared" si="95"/>
        <v>42</v>
      </c>
      <c r="K505" s="43">
        <f>VLOOKUP(J505,Data!$Z$3:$AA$122,2)</f>
        <v>0</v>
      </c>
      <c r="L505" s="41">
        <f t="shared" si="96"/>
        <v>0.4592744695414126</v>
      </c>
      <c r="M505" s="43">
        <f>VLOOKUP(H505,Data!$P$3:$X$122,9)</f>
        <v>0</v>
      </c>
      <c r="N505" s="43">
        <f t="shared" si="99"/>
        <v>0</v>
      </c>
      <c r="O505" s="43">
        <f t="shared" si="100"/>
        <v>0</v>
      </c>
      <c r="P505" s="30">
        <f t="shared" si="101"/>
        <v>0</v>
      </c>
      <c r="Q505" s="31">
        <f t="shared" si="103"/>
        <v>848340.75061972369</v>
      </c>
    </row>
    <row r="506" spans="1:17" x14ac:dyDescent="0.25">
      <c r="A506" s="6">
        <f t="shared" si="102"/>
        <v>58592</v>
      </c>
      <c r="B506" s="30">
        <f>IFERROR(VLOOKUP(A506, Data!$L$3:$N$123, 3),1)*Pension</f>
        <v>165898.26803171975</v>
      </c>
      <c r="C506" s="37">
        <f t="shared" si="91"/>
        <v>41.9192334017796</v>
      </c>
      <c r="D506" s="37">
        <f>IFERROR(VLOOKUP(A506,Data!$I$3:$J$1442,2),0)</f>
        <v>8.8962054999999998E-2</v>
      </c>
      <c r="E506" s="37">
        <f t="shared" si="92"/>
        <v>8.8762054999999992E-2</v>
      </c>
      <c r="F506" s="37">
        <f t="shared" si="97"/>
        <v>2.4213685218350892E-2</v>
      </c>
      <c r="G506" s="30">
        <f t="shared" si="98"/>
        <v>4017.0084403896667</v>
      </c>
      <c r="H506" s="38">
        <f t="shared" si="93"/>
        <v>137</v>
      </c>
      <c r="I506" s="39">
        <f t="shared" si="94"/>
        <v>137.54414784394251</v>
      </c>
      <c r="J506" s="40">
        <f t="shared" si="95"/>
        <v>42</v>
      </c>
      <c r="K506" s="43">
        <f>VLOOKUP(J506,Data!$Z$3:$AA$122,2)</f>
        <v>0</v>
      </c>
      <c r="L506" s="41">
        <f t="shared" si="96"/>
        <v>0.54414784394251114</v>
      </c>
      <c r="M506" s="43">
        <f>VLOOKUP(H506,Data!$P$3:$X$122,9)</f>
        <v>0</v>
      </c>
      <c r="N506" s="43">
        <f t="shared" si="99"/>
        <v>0</v>
      </c>
      <c r="O506" s="43">
        <f t="shared" si="100"/>
        <v>0</v>
      </c>
      <c r="P506" s="30">
        <f t="shared" si="101"/>
        <v>0</v>
      </c>
      <c r="Q506" s="31">
        <f t="shared" si="103"/>
        <v>848340.75061972369</v>
      </c>
    </row>
    <row r="507" spans="1:17" x14ac:dyDescent="0.25">
      <c r="A507" s="6">
        <f t="shared" si="102"/>
        <v>58622</v>
      </c>
      <c r="B507" s="30">
        <f>IFERROR(VLOOKUP(A507, Data!$L$3:$N$123, 3),1)*Pension</f>
        <v>165898.26803171975</v>
      </c>
      <c r="C507" s="37">
        <f t="shared" si="91"/>
        <v>42.001368925393564</v>
      </c>
      <c r="D507" s="37">
        <f>IFERROR(VLOOKUP(A507,Data!$I$3:$J$1442,2),0)</f>
        <v>8.8924976000000003E-2</v>
      </c>
      <c r="E507" s="37">
        <f t="shared" si="92"/>
        <v>8.8724975999999997E-2</v>
      </c>
      <c r="F507" s="37">
        <f t="shared" si="97"/>
        <v>2.4075261730985786E-2</v>
      </c>
      <c r="G507" s="30">
        <f t="shared" si="98"/>
        <v>3994.044223580885</v>
      </c>
      <c r="H507" s="38">
        <f t="shared" si="93"/>
        <v>137</v>
      </c>
      <c r="I507" s="39">
        <f t="shared" si="94"/>
        <v>137.62628336755648</v>
      </c>
      <c r="J507" s="40">
        <f t="shared" si="95"/>
        <v>42</v>
      </c>
      <c r="K507" s="43">
        <f>VLOOKUP(J507,Data!$Z$3:$AA$122,2)</f>
        <v>0</v>
      </c>
      <c r="L507" s="41">
        <f t="shared" si="96"/>
        <v>0.62628336755648206</v>
      </c>
      <c r="M507" s="43">
        <f>VLOOKUP(H507,Data!$P$3:$X$122,9)</f>
        <v>0</v>
      </c>
      <c r="N507" s="43">
        <f t="shared" si="99"/>
        <v>0</v>
      </c>
      <c r="O507" s="43">
        <f t="shared" si="100"/>
        <v>0</v>
      </c>
      <c r="P507" s="30">
        <f t="shared" si="101"/>
        <v>0</v>
      </c>
      <c r="Q507" s="31">
        <f t="shared" si="103"/>
        <v>848340.75061972369</v>
      </c>
    </row>
    <row r="508" spans="1:17" x14ac:dyDescent="0.25">
      <c r="A508" s="6">
        <f t="shared" si="102"/>
        <v>58653</v>
      </c>
      <c r="B508" s="30">
        <f>IFERROR(VLOOKUP(A508, Data!$L$3:$N$123, 3),1)*Pension</f>
        <v>165898.26803171975</v>
      </c>
      <c r="C508" s="37">
        <f t="shared" si="91"/>
        <v>42.086242299794662</v>
      </c>
      <c r="D508" s="37">
        <f>IFERROR(VLOOKUP(A508,Data!$I$3:$J$1442,2),0)</f>
        <v>8.8886813999999995E-2</v>
      </c>
      <c r="E508" s="37">
        <f t="shared" si="92"/>
        <v>8.8686813999999989E-2</v>
      </c>
      <c r="F508" s="37">
        <f t="shared" si="97"/>
        <v>2.393305448279073E-2</v>
      </c>
      <c r="G508" s="30">
        <f t="shared" si="98"/>
        <v>3970.4522874037684</v>
      </c>
      <c r="H508" s="38">
        <f t="shared" si="93"/>
        <v>137</v>
      </c>
      <c r="I508" s="39">
        <f t="shared" si="94"/>
        <v>137.71115674195755</v>
      </c>
      <c r="J508" s="40">
        <f t="shared" si="95"/>
        <v>42</v>
      </c>
      <c r="K508" s="43">
        <f>VLOOKUP(J508,Data!$Z$3:$AA$122,2)</f>
        <v>0</v>
      </c>
      <c r="L508" s="41">
        <f t="shared" si="96"/>
        <v>0.71115674195755219</v>
      </c>
      <c r="M508" s="43">
        <f>VLOOKUP(H508,Data!$P$3:$X$122,9)</f>
        <v>0</v>
      </c>
      <c r="N508" s="43">
        <f t="shared" si="99"/>
        <v>0</v>
      </c>
      <c r="O508" s="43">
        <f t="shared" si="100"/>
        <v>0</v>
      </c>
      <c r="P508" s="30">
        <f t="shared" si="101"/>
        <v>0</v>
      </c>
      <c r="Q508" s="31">
        <f t="shared" si="103"/>
        <v>848340.75061972369</v>
      </c>
    </row>
    <row r="509" spans="1:17" x14ac:dyDescent="0.25">
      <c r="A509" s="6">
        <f t="shared" si="102"/>
        <v>58684</v>
      </c>
      <c r="B509" s="30">
        <f>IFERROR(VLOOKUP(A509, Data!$L$3:$N$123, 3),1)*Pension</f>
        <v>165898.26803171975</v>
      </c>
      <c r="C509" s="37">
        <f t="shared" si="91"/>
        <v>42.171115674195754</v>
      </c>
      <c r="D509" s="37">
        <f>IFERROR(VLOOKUP(A509,Data!$I$3:$J$1442,2),0)</f>
        <v>8.8848805000000003E-2</v>
      </c>
      <c r="E509" s="37">
        <f t="shared" si="92"/>
        <v>8.8648804999999997E-2</v>
      </c>
      <c r="F509" s="37">
        <f t="shared" si="97"/>
        <v>2.3791687832690839E-2</v>
      </c>
      <c r="G509" s="30">
        <f t="shared" si="98"/>
        <v>3946.9998049947503</v>
      </c>
      <c r="H509" s="38">
        <f t="shared" si="93"/>
        <v>137</v>
      </c>
      <c r="I509" s="39">
        <f t="shared" si="94"/>
        <v>137.79603011635865</v>
      </c>
      <c r="J509" s="40">
        <f t="shared" si="95"/>
        <v>42</v>
      </c>
      <c r="K509" s="43">
        <f>VLOOKUP(J509,Data!$Z$3:$AA$122,2)</f>
        <v>0</v>
      </c>
      <c r="L509" s="41">
        <f t="shared" si="96"/>
        <v>0.79603011635865073</v>
      </c>
      <c r="M509" s="43">
        <f>VLOOKUP(H509,Data!$P$3:$X$122,9)</f>
        <v>0</v>
      </c>
      <c r="N509" s="43">
        <f t="shared" si="99"/>
        <v>0</v>
      </c>
      <c r="O509" s="43">
        <f t="shared" si="100"/>
        <v>0</v>
      </c>
      <c r="P509" s="30">
        <f t="shared" si="101"/>
        <v>0</v>
      </c>
      <c r="Q509" s="31">
        <f t="shared" si="103"/>
        <v>848340.75061972369</v>
      </c>
    </row>
    <row r="510" spans="1:17" x14ac:dyDescent="0.25">
      <c r="A510" s="6">
        <f t="shared" si="102"/>
        <v>58714</v>
      </c>
      <c r="B510" s="30">
        <f>IFERROR(VLOOKUP(A510, Data!$L$3:$N$123, 3),1)*Pension</f>
        <v>165898.26803171975</v>
      </c>
      <c r="C510" s="37">
        <f t="shared" si="91"/>
        <v>42.253251197809718</v>
      </c>
      <c r="D510" s="37">
        <f>IFERROR(VLOOKUP(A510,Data!$I$3:$J$1442,2),0)</f>
        <v>8.8812166999999997E-2</v>
      </c>
      <c r="E510" s="37">
        <f t="shared" si="92"/>
        <v>8.8612166999999992E-2</v>
      </c>
      <c r="F510" s="37">
        <f t="shared" si="97"/>
        <v>2.3655676979494597E-2</v>
      </c>
      <c r="G510" s="30">
        <f t="shared" si="98"/>
        <v>3924.4358400159772</v>
      </c>
      <c r="H510" s="38">
        <f t="shared" si="93"/>
        <v>137</v>
      </c>
      <c r="I510" s="39">
        <f t="shared" si="94"/>
        <v>137.87816563997262</v>
      </c>
      <c r="J510" s="40">
        <f t="shared" si="95"/>
        <v>42</v>
      </c>
      <c r="K510" s="43">
        <f>VLOOKUP(J510,Data!$Z$3:$AA$122,2)</f>
        <v>0</v>
      </c>
      <c r="L510" s="41">
        <f t="shared" si="96"/>
        <v>0.87816563997262165</v>
      </c>
      <c r="M510" s="43">
        <f>VLOOKUP(H510,Data!$P$3:$X$122,9)</f>
        <v>0</v>
      </c>
      <c r="N510" s="43">
        <f t="shared" si="99"/>
        <v>0</v>
      </c>
      <c r="O510" s="43">
        <f t="shared" si="100"/>
        <v>0</v>
      </c>
      <c r="P510" s="30">
        <f t="shared" si="101"/>
        <v>0</v>
      </c>
      <c r="Q510" s="31">
        <f t="shared" si="103"/>
        <v>848340.75061972369</v>
      </c>
    </row>
    <row r="511" spans="1:17" x14ac:dyDescent="0.25">
      <c r="A511" s="6">
        <f t="shared" si="102"/>
        <v>58745</v>
      </c>
      <c r="B511" s="30">
        <f>IFERROR(VLOOKUP(A511, Data!$L$3:$N$123, 3),1)*Pension</f>
        <v>165898.26803171975</v>
      </c>
      <c r="C511" s="37">
        <f t="shared" si="91"/>
        <v>42.338124572210816</v>
      </c>
      <c r="D511" s="37">
        <f>IFERROR(VLOOKUP(A511,Data!$I$3:$J$1442,2),0)</f>
        <v>8.8774458000000001E-2</v>
      </c>
      <c r="E511" s="37">
        <f t="shared" si="92"/>
        <v>8.8574457999999995E-2</v>
      </c>
      <c r="F511" s="37">
        <f t="shared" si="97"/>
        <v>2.3515948305353106E-2</v>
      </c>
      <c r="G511" s="30">
        <f t="shared" si="98"/>
        <v>3901.2550949815354</v>
      </c>
      <c r="H511" s="38">
        <f t="shared" si="93"/>
        <v>137</v>
      </c>
      <c r="I511" s="39">
        <f t="shared" si="94"/>
        <v>137.96303901437372</v>
      </c>
      <c r="J511" s="40">
        <f t="shared" si="95"/>
        <v>42</v>
      </c>
      <c r="K511" s="43">
        <f>VLOOKUP(J511,Data!$Z$3:$AA$122,2)</f>
        <v>0</v>
      </c>
      <c r="L511" s="41">
        <f t="shared" si="96"/>
        <v>0.96303901437372019</v>
      </c>
      <c r="M511" s="43">
        <f>VLOOKUP(H511,Data!$P$3:$X$122,9)</f>
        <v>0</v>
      </c>
      <c r="N511" s="43">
        <f t="shared" si="99"/>
        <v>0</v>
      </c>
      <c r="O511" s="43">
        <f t="shared" si="100"/>
        <v>0</v>
      </c>
      <c r="P511" s="30">
        <f t="shared" si="101"/>
        <v>0</v>
      </c>
      <c r="Q511" s="31">
        <f t="shared" si="103"/>
        <v>848340.75061972369</v>
      </c>
    </row>
    <row r="512" spans="1:17" x14ac:dyDescent="0.25">
      <c r="A512" s="6">
        <f t="shared" si="102"/>
        <v>58775</v>
      </c>
      <c r="B512" s="30">
        <f>IFERROR(VLOOKUP(A512, Data!$L$3:$N$123, 3),1)*Pension</f>
        <v>165898.26803171975</v>
      </c>
      <c r="C512" s="37">
        <f t="shared" si="91"/>
        <v>42.42026009582478</v>
      </c>
      <c r="D512" s="37">
        <f>IFERROR(VLOOKUP(A512,Data!$I$3:$J$1442,2),0)</f>
        <v>8.8738107999999996E-2</v>
      </c>
      <c r="E512" s="37">
        <f t="shared" si="92"/>
        <v>8.853810799999999E-2</v>
      </c>
      <c r="F512" s="37">
        <f t="shared" si="97"/>
        <v>2.3381513978505394E-2</v>
      </c>
      <c r="G512" s="30">
        <f t="shared" si="98"/>
        <v>3878.9526729934901</v>
      </c>
      <c r="H512" s="38">
        <f t="shared" si="93"/>
        <v>138</v>
      </c>
      <c r="I512" s="39">
        <f t="shared" si="94"/>
        <v>138.04517453798769</v>
      </c>
      <c r="J512" s="40">
        <f t="shared" si="95"/>
        <v>43</v>
      </c>
      <c r="K512" s="43">
        <f>VLOOKUP(J512,Data!$Z$3:$AA$122,2)</f>
        <v>0</v>
      </c>
      <c r="L512" s="41">
        <f t="shared" si="96"/>
        <v>4.517453798769111E-2</v>
      </c>
      <c r="M512" s="43">
        <f>VLOOKUP(H512,Data!$P$3:$X$122,9)</f>
        <v>0</v>
      </c>
      <c r="N512" s="43">
        <f t="shared" si="99"/>
        <v>0</v>
      </c>
      <c r="O512" s="43">
        <f t="shared" si="100"/>
        <v>0</v>
      </c>
      <c r="P512" s="30">
        <f t="shared" si="101"/>
        <v>0</v>
      </c>
      <c r="Q512" s="31">
        <f t="shared" si="103"/>
        <v>848340.75061972369</v>
      </c>
    </row>
    <row r="513" spans="1:17" x14ac:dyDescent="0.25">
      <c r="A513" s="6">
        <f t="shared" si="102"/>
        <v>58806</v>
      </c>
      <c r="B513" s="30">
        <f>IFERROR(VLOOKUP(A513, Data!$L$3:$N$123, 3),1)*Pension</f>
        <v>174193.18143330576</v>
      </c>
      <c r="C513" s="37">
        <f t="shared" si="91"/>
        <v>42.505133470225871</v>
      </c>
      <c r="D513" s="37">
        <f>IFERROR(VLOOKUP(A513,Data!$I$3:$J$1442,2),0)</f>
        <v>8.8700694999999996E-2</v>
      </c>
      <c r="E513" s="37">
        <f t="shared" si="92"/>
        <v>8.850069499999999E-2</v>
      </c>
      <c r="F513" s="37">
        <f t="shared" si="97"/>
        <v>2.3243404765658764E-2</v>
      </c>
      <c r="G513" s="30">
        <f t="shared" si="98"/>
        <v>4048.842623472161</v>
      </c>
      <c r="H513" s="38">
        <f t="shared" si="93"/>
        <v>138</v>
      </c>
      <c r="I513" s="39">
        <f t="shared" si="94"/>
        <v>138.13004791238876</v>
      </c>
      <c r="J513" s="40">
        <f t="shared" si="95"/>
        <v>43</v>
      </c>
      <c r="K513" s="43">
        <f>VLOOKUP(J513,Data!$Z$3:$AA$122,2)</f>
        <v>0</v>
      </c>
      <c r="L513" s="41">
        <f t="shared" si="96"/>
        <v>0.13004791238876123</v>
      </c>
      <c r="M513" s="43">
        <f>VLOOKUP(H513,Data!$P$3:$X$122,9)</f>
        <v>0</v>
      </c>
      <c r="N513" s="43">
        <f t="shared" si="99"/>
        <v>0</v>
      </c>
      <c r="O513" s="43">
        <f t="shared" si="100"/>
        <v>0</v>
      </c>
      <c r="P513" s="30">
        <f t="shared" si="101"/>
        <v>0</v>
      </c>
      <c r="Q513" s="31">
        <f t="shared" si="103"/>
        <v>848340.75061972369</v>
      </c>
    </row>
    <row r="514" spans="1:17" x14ac:dyDescent="0.25">
      <c r="A514" s="6">
        <f t="shared" si="102"/>
        <v>58837</v>
      </c>
      <c r="B514" s="30">
        <f>IFERROR(VLOOKUP(A514, Data!$L$3:$N$123, 3),1)*Pension</f>
        <v>174193.18143330576</v>
      </c>
      <c r="C514" s="37">
        <f t="shared" si="91"/>
        <v>42.59000684462697</v>
      </c>
      <c r="D514" s="37">
        <f>IFERROR(VLOOKUP(A514,Data!$I$3:$J$1442,2),0)</f>
        <v>8.8663431000000001E-2</v>
      </c>
      <c r="E514" s="37">
        <f t="shared" si="92"/>
        <v>8.8463430999999995E-2</v>
      </c>
      <c r="F514" s="37">
        <f t="shared" si="97"/>
        <v>2.3106111443559632E-2</v>
      </c>
      <c r="G514" s="30">
        <f t="shared" si="98"/>
        <v>4024.9270629061652</v>
      </c>
      <c r="H514" s="38">
        <f t="shared" si="93"/>
        <v>138</v>
      </c>
      <c r="I514" s="39">
        <f t="shared" si="94"/>
        <v>138.21492128678986</v>
      </c>
      <c r="J514" s="40">
        <f t="shared" si="95"/>
        <v>43</v>
      </c>
      <c r="K514" s="43">
        <f>VLOOKUP(J514,Data!$Z$3:$AA$122,2)</f>
        <v>0</v>
      </c>
      <c r="L514" s="41">
        <f t="shared" si="96"/>
        <v>0.21492128678985978</v>
      </c>
      <c r="M514" s="43">
        <f>VLOOKUP(H514,Data!$P$3:$X$122,9)</f>
        <v>0</v>
      </c>
      <c r="N514" s="43">
        <f t="shared" si="99"/>
        <v>0</v>
      </c>
      <c r="O514" s="43">
        <f t="shared" si="100"/>
        <v>0</v>
      </c>
      <c r="P514" s="30">
        <f t="shared" si="101"/>
        <v>0</v>
      </c>
      <c r="Q514" s="31">
        <f t="shared" si="103"/>
        <v>848340.75061972369</v>
      </c>
    </row>
    <row r="515" spans="1:17" x14ac:dyDescent="0.25">
      <c r="A515" s="6">
        <f t="shared" si="102"/>
        <v>58865</v>
      </c>
      <c r="B515" s="30">
        <f>IFERROR(VLOOKUP(A515, Data!$L$3:$N$123, 3),1)*Pension</f>
        <v>174193.18143330576</v>
      </c>
      <c r="C515" s="37">
        <f t="shared" ref="C515:C578" si="104">(A515-EffDate)/365.25</f>
        <v>42.666666666666664</v>
      </c>
      <c r="D515" s="37">
        <f>IFERROR(VLOOKUP(A515,Data!$I$3:$J$1442,2),0)</f>
        <v>8.8629899999999998E-2</v>
      </c>
      <c r="E515" s="37">
        <f t="shared" ref="E515:E578" si="105">D515-Fees</f>
        <v>8.8429899999999992E-2</v>
      </c>
      <c r="F515" s="37">
        <f t="shared" si="97"/>
        <v>2.2982802349639554E-2</v>
      </c>
      <c r="G515" s="30">
        <f t="shared" si="98"/>
        <v>4003.4474595365687</v>
      </c>
      <c r="H515" s="38">
        <f t="shared" ref="H515:H578" si="106">IF(OR(A515 = DATE(YEAR(A515), MONTH(Date_of_Birth), DAY(Date_of_Birth)),AND(A515 = DATE(YEAR(A515), MONTH(Date_of_Birth), DAY(Date_of_Birth)-1), AND(MONTH(Date_of_Birth)=2, DAY(Date_of_Birth) = 29))), ROUND((A515-Date_of_Birth)/365.25,0),ROUNDDOWN((A515-Date_of_Birth)/365.25,0))</f>
        <v>138</v>
      </c>
      <c r="I515" s="39">
        <f t="shared" ref="I515:I578" si="107">IF(OR(A515 = DATE(YEAR(A515), MONTH(Date_of_Birth), DAY(Date_of_Birth)),AND(A515 = DATE(YEAR(A515), MONTH(Date_of_Birth), DAY(Date_of_Birth)-1), AND(MONTH(Date_of_Birth)=2, DAY(Date_of_Birth) = 29))), ROUND((A515-Date_of_Birth)/365.25,0),(A515-Date_of_Birth)/365.25)</f>
        <v>138.29158110882958</v>
      </c>
      <c r="J515" s="40">
        <f t="shared" ref="J515:J578" si="108">H515-StartAge</f>
        <v>43</v>
      </c>
      <c r="K515" s="43">
        <f>VLOOKUP(J515,Data!$Z$3:$AA$122,2)</f>
        <v>0</v>
      </c>
      <c r="L515" s="41">
        <f t="shared" ref="L515:L578" si="109">IF(A515&lt;=NextBirth,(A515-EffDate)/365.25,(I515-H515))</f>
        <v>0.29158110882957544</v>
      </c>
      <c r="M515" s="43">
        <f>VLOOKUP(H515,Data!$P$3:$X$122,9)</f>
        <v>0</v>
      </c>
      <c r="N515" s="43">
        <f t="shared" si="99"/>
        <v>0</v>
      </c>
      <c r="O515" s="43">
        <f t="shared" si="100"/>
        <v>0</v>
      </c>
      <c r="P515" s="30">
        <f t="shared" si="101"/>
        <v>0</v>
      </c>
      <c r="Q515" s="31">
        <f t="shared" si="103"/>
        <v>848340.75061972369</v>
      </c>
    </row>
    <row r="516" spans="1:17" x14ac:dyDescent="0.25">
      <c r="A516" s="6">
        <f t="shared" si="102"/>
        <v>58896</v>
      </c>
      <c r="B516" s="30">
        <f>IFERROR(VLOOKUP(A516, Data!$L$3:$N$123, 3),1)*Pension</f>
        <v>174193.18143330576</v>
      </c>
      <c r="C516" s="37">
        <f t="shared" si="104"/>
        <v>42.751540041067763</v>
      </c>
      <c r="D516" s="37">
        <f>IFERROR(VLOOKUP(A516,Data!$I$3:$J$1442,2),0)</f>
        <v>8.8592916999999993E-2</v>
      </c>
      <c r="E516" s="37">
        <f t="shared" si="105"/>
        <v>8.8392916999999988E-2</v>
      </c>
      <c r="F516" s="37">
        <f t="shared" ref="F516:F579" si="110">EXP(-E516*C516)</f>
        <v>2.2847048682839575E-2</v>
      </c>
      <c r="G516" s="30">
        <f t="shared" ref="G516:G579" si="111">B516*F516</f>
        <v>3979.8000964254434</v>
      </c>
      <c r="H516" s="38">
        <f t="shared" si="106"/>
        <v>138</v>
      </c>
      <c r="I516" s="39">
        <f t="shared" si="107"/>
        <v>138.37645448323067</v>
      </c>
      <c r="J516" s="40">
        <f t="shared" si="108"/>
        <v>43</v>
      </c>
      <c r="K516" s="43">
        <f>VLOOKUP(J516,Data!$Z$3:$AA$122,2)</f>
        <v>0</v>
      </c>
      <c r="L516" s="41">
        <f t="shared" si="109"/>
        <v>0.37645448323067399</v>
      </c>
      <c r="M516" s="43">
        <f>VLOOKUP(H516,Data!$P$3:$X$122,9)</f>
        <v>0</v>
      </c>
      <c r="N516" s="43">
        <f t="shared" ref="N516:N579" si="112">IF(M516=0, 0, EXP(-L516*M516))</f>
        <v>0</v>
      </c>
      <c r="O516" s="43">
        <f t="shared" ref="O516:O579" si="113">K516*N516</f>
        <v>0</v>
      </c>
      <c r="P516" s="30">
        <f t="shared" ref="P516:P579" si="114">G516*O516</f>
        <v>0</v>
      </c>
      <c r="Q516" s="31">
        <f t="shared" si="103"/>
        <v>848340.75061972369</v>
      </c>
    </row>
    <row r="517" spans="1:17" x14ac:dyDescent="0.25">
      <c r="A517" s="6">
        <f t="shared" ref="A517:A580" si="115">EOMONTH(A516,1)</f>
        <v>58926</v>
      </c>
      <c r="B517" s="30">
        <f>IFERROR(VLOOKUP(A517, Data!$L$3:$N$123, 3),1)*Pension</f>
        <v>174193.18143330576</v>
      </c>
      <c r="C517" s="37">
        <f t="shared" si="104"/>
        <v>42.833675564681727</v>
      </c>
      <c r="D517" s="37">
        <f>IFERROR(VLOOKUP(A517,Data!$I$3:$J$1442,2),0)</f>
        <v>8.8557265999999996E-2</v>
      </c>
      <c r="E517" s="37">
        <f t="shared" si="105"/>
        <v>8.835726599999999E-2</v>
      </c>
      <c r="F517" s="37">
        <f t="shared" si="110"/>
        <v>2.2716438226321588E-2</v>
      </c>
      <c r="G517" s="30">
        <f t="shared" si="111"/>
        <v>3957.048645476119</v>
      </c>
      <c r="H517" s="38">
        <f t="shared" si="106"/>
        <v>138</v>
      </c>
      <c r="I517" s="39">
        <f t="shared" si="107"/>
        <v>138.45859000684462</v>
      </c>
      <c r="J517" s="40">
        <f t="shared" si="108"/>
        <v>43</v>
      </c>
      <c r="K517" s="43">
        <f>VLOOKUP(J517,Data!$Z$3:$AA$122,2)</f>
        <v>0</v>
      </c>
      <c r="L517" s="41">
        <f t="shared" si="109"/>
        <v>0.45859000684461648</v>
      </c>
      <c r="M517" s="43">
        <f>VLOOKUP(H517,Data!$P$3:$X$122,9)</f>
        <v>0</v>
      </c>
      <c r="N517" s="43">
        <f t="shared" si="112"/>
        <v>0</v>
      </c>
      <c r="O517" s="43">
        <f t="shared" si="113"/>
        <v>0</v>
      </c>
      <c r="P517" s="30">
        <f t="shared" si="114"/>
        <v>0</v>
      </c>
      <c r="Q517" s="31">
        <f t="shared" ref="Q517:Q580" si="116">Q516+P517</f>
        <v>848340.75061972369</v>
      </c>
    </row>
    <row r="518" spans="1:17" x14ac:dyDescent="0.25">
      <c r="A518" s="6">
        <f t="shared" si="115"/>
        <v>58957</v>
      </c>
      <c r="B518" s="30">
        <f>IFERROR(VLOOKUP(A518, Data!$L$3:$N$123, 3),1)*Pension</f>
        <v>174193.18143330576</v>
      </c>
      <c r="C518" s="37">
        <f t="shared" si="104"/>
        <v>42.918548939082818</v>
      </c>
      <c r="D518" s="37">
        <f>IFERROR(VLOOKUP(A518,Data!$I$3:$J$1442,2),0)</f>
        <v>8.8520571000000006E-2</v>
      </c>
      <c r="E518" s="37">
        <f t="shared" si="105"/>
        <v>8.8320571E-2</v>
      </c>
      <c r="F518" s="37">
        <f t="shared" si="110"/>
        <v>2.2582257468618003E-2</v>
      </c>
      <c r="G518" s="30">
        <f t="shared" si="111"/>
        <v>3933.6752724046</v>
      </c>
      <c r="H518" s="38">
        <f t="shared" si="106"/>
        <v>138</v>
      </c>
      <c r="I518" s="39">
        <f t="shared" si="107"/>
        <v>138.54346338124572</v>
      </c>
      <c r="J518" s="40">
        <f t="shared" si="108"/>
        <v>43</v>
      </c>
      <c r="K518" s="43">
        <f>VLOOKUP(J518,Data!$Z$3:$AA$122,2)</f>
        <v>0</v>
      </c>
      <c r="L518" s="41">
        <f t="shared" si="109"/>
        <v>0.54346338124571503</v>
      </c>
      <c r="M518" s="43">
        <f>VLOOKUP(H518,Data!$P$3:$X$122,9)</f>
        <v>0</v>
      </c>
      <c r="N518" s="43">
        <f t="shared" si="112"/>
        <v>0</v>
      </c>
      <c r="O518" s="43">
        <f t="shared" si="113"/>
        <v>0</v>
      </c>
      <c r="P518" s="30">
        <f t="shared" si="114"/>
        <v>0</v>
      </c>
      <c r="Q518" s="31">
        <f t="shared" si="116"/>
        <v>848340.75061972369</v>
      </c>
    </row>
    <row r="519" spans="1:17" x14ac:dyDescent="0.25">
      <c r="A519" s="6">
        <f t="shared" si="115"/>
        <v>58987</v>
      </c>
      <c r="B519" s="30">
        <f>IFERROR(VLOOKUP(A519, Data!$L$3:$N$123, 3),1)*Pension</f>
        <v>174193.18143330576</v>
      </c>
      <c r="C519" s="37">
        <f t="shared" si="104"/>
        <v>43.000684462696782</v>
      </c>
      <c r="D519" s="37">
        <f>IFERROR(VLOOKUP(A519,Data!$I$3:$J$1442,2),0)</f>
        <v>8.8485197000000002E-2</v>
      </c>
      <c r="E519" s="37">
        <f t="shared" si="105"/>
        <v>8.8285196999999996E-2</v>
      </c>
      <c r="F519" s="37">
        <f t="shared" si="110"/>
        <v>2.2453160416212273E-2</v>
      </c>
      <c r="G519" s="30">
        <f t="shared" si="111"/>
        <v>3911.1874461323832</v>
      </c>
      <c r="H519" s="38">
        <f t="shared" si="106"/>
        <v>138</v>
      </c>
      <c r="I519" s="39">
        <f t="shared" si="107"/>
        <v>138.62559890485969</v>
      </c>
      <c r="J519" s="40">
        <f t="shared" si="108"/>
        <v>43</v>
      </c>
      <c r="K519" s="43">
        <f>VLOOKUP(J519,Data!$Z$3:$AA$122,2)</f>
        <v>0</v>
      </c>
      <c r="L519" s="41">
        <f t="shared" si="109"/>
        <v>0.62559890485968594</v>
      </c>
      <c r="M519" s="43">
        <f>VLOOKUP(H519,Data!$P$3:$X$122,9)</f>
        <v>0</v>
      </c>
      <c r="N519" s="43">
        <f t="shared" si="112"/>
        <v>0</v>
      </c>
      <c r="O519" s="43">
        <f t="shared" si="113"/>
        <v>0</v>
      </c>
      <c r="P519" s="30">
        <f t="shared" si="114"/>
        <v>0</v>
      </c>
      <c r="Q519" s="31">
        <f t="shared" si="116"/>
        <v>848340.75061972369</v>
      </c>
    </row>
    <row r="520" spans="1:17" x14ac:dyDescent="0.25">
      <c r="A520" s="6">
        <f t="shared" si="115"/>
        <v>59018</v>
      </c>
      <c r="B520" s="30">
        <f>IFERROR(VLOOKUP(A520, Data!$L$3:$N$123, 3),1)*Pension</f>
        <v>174193.18143330576</v>
      </c>
      <c r="C520" s="37">
        <f t="shared" si="104"/>
        <v>43.08555783709788</v>
      </c>
      <c r="D520" s="37">
        <f>IFERROR(VLOOKUP(A520,Data!$I$3:$J$1442,2),0)</f>
        <v>8.8448786000000001E-2</v>
      </c>
      <c r="E520" s="37">
        <f t="shared" si="105"/>
        <v>8.8248785999999996E-2</v>
      </c>
      <c r="F520" s="37">
        <f t="shared" si="110"/>
        <v>2.232053497691092E-2</v>
      </c>
      <c r="G520" s="30">
        <f t="shared" si="111"/>
        <v>3888.0849989214908</v>
      </c>
      <c r="H520" s="38">
        <f t="shared" si="106"/>
        <v>138</v>
      </c>
      <c r="I520" s="39">
        <f t="shared" si="107"/>
        <v>138.71047227926078</v>
      </c>
      <c r="J520" s="40">
        <f t="shared" si="108"/>
        <v>43</v>
      </c>
      <c r="K520" s="43">
        <f>VLOOKUP(J520,Data!$Z$3:$AA$122,2)</f>
        <v>0</v>
      </c>
      <c r="L520" s="41">
        <f t="shared" si="109"/>
        <v>0.71047227926078449</v>
      </c>
      <c r="M520" s="43">
        <f>VLOOKUP(H520,Data!$P$3:$X$122,9)</f>
        <v>0</v>
      </c>
      <c r="N520" s="43">
        <f t="shared" si="112"/>
        <v>0</v>
      </c>
      <c r="O520" s="43">
        <f t="shared" si="113"/>
        <v>0</v>
      </c>
      <c r="P520" s="30">
        <f t="shared" si="114"/>
        <v>0</v>
      </c>
      <c r="Q520" s="31">
        <f t="shared" si="116"/>
        <v>848340.75061972369</v>
      </c>
    </row>
    <row r="521" spans="1:17" x14ac:dyDescent="0.25">
      <c r="A521" s="6">
        <f t="shared" si="115"/>
        <v>59049</v>
      </c>
      <c r="B521" s="30">
        <f>IFERROR(VLOOKUP(A521, Data!$L$3:$N$123, 3),1)*Pension</f>
        <v>174193.18143330576</v>
      </c>
      <c r="C521" s="37">
        <f t="shared" si="104"/>
        <v>43.170431211498972</v>
      </c>
      <c r="D521" s="37">
        <f>IFERROR(VLOOKUP(A521,Data!$I$3:$J$1442,2),0)</f>
        <v>8.8412517999999995E-2</v>
      </c>
      <c r="E521" s="37">
        <f t="shared" si="105"/>
        <v>8.821251799999999E-2</v>
      </c>
      <c r="F521" s="37">
        <f t="shared" si="110"/>
        <v>2.2188693085777169E-2</v>
      </c>
      <c r="G521" s="30">
        <f t="shared" si="111"/>
        <v>3865.1190404587192</v>
      </c>
      <c r="H521" s="38">
        <f t="shared" si="106"/>
        <v>138</v>
      </c>
      <c r="I521" s="39">
        <f t="shared" si="107"/>
        <v>138.79534565366188</v>
      </c>
      <c r="J521" s="40">
        <f t="shared" si="108"/>
        <v>43</v>
      </c>
      <c r="K521" s="43">
        <f>VLOOKUP(J521,Data!$Z$3:$AA$122,2)</f>
        <v>0</v>
      </c>
      <c r="L521" s="41">
        <f t="shared" si="109"/>
        <v>0.79534565366188303</v>
      </c>
      <c r="M521" s="43">
        <f>VLOOKUP(H521,Data!$P$3:$X$122,9)</f>
        <v>0</v>
      </c>
      <c r="N521" s="43">
        <f t="shared" si="112"/>
        <v>0</v>
      </c>
      <c r="O521" s="43">
        <f t="shared" si="113"/>
        <v>0</v>
      </c>
      <c r="P521" s="30">
        <f t="shared" si="114"/>
        <v>0</v>
      </c>
      <c r="Q521" s="31">
        <f t="shared" si="116"/>
        <v>848340.75061972369</v>
      </c>
    </row>
    <row r="522" spans="1:17" x14ac:dyDescent="0.25">
      <c r="A522" s="6">
        <f t="shared" si="115"/>
        <v>59079</v>
      </c>
      <c r="B522" s="30">
        <f>IFERROR(VLOOKUP(A522, Data!$L$3:$N$123, 3),1)*Pension</f>
        <v>174193.18143330576</v>
      </c>
      <c r="C522" s="37">
        <f t="shared" si="104"/>
        <v>43.252566735112936</v>
      </c>
      <c r="D522" s="37">
        <f>IFERROR(VLOOKUP(A522,Data!$I$3:$J$1442,2),0)</f>
        <v>8.8377554999999997E-2</v>
      </c>
      <c r="E522" s="37">
        <f t="shared" si="105"/>
        <v>8.8177554999999991E-2</v>
      </c>
      <c r="F522" s="37">
        <f t="shared" si="110"/>
        <v>2.2061846123786477E-2</v>
      </c>
      <c r="G522" s="30">
        <f t="shared" si="111"/>
        <v>3843.0231645944109</v>
      </c>
      <c r="H522" s="38">
        <f t="shared" si="106"/>
        <v>138</v>
      </c>
      <c r="I522" s="39">
        <f t="shared" si="107"/>
        <v>138.87748117727583</v>
      </c>
      <c r="J522" s="40">
        <f t="shared" si="108"/>
        <v>43</v>
      </c>
      <c r="K522" s="43">
        <f>VLOOKUP(J522,Data!$Z$3:$AA$122,2)</f>
        <v>0</v>
      </c>
      <c r="L522" s="41">
        <f t="shared" si="109"/>
        <v>0.87748117727582553</v>
      </c>
      <c r="M522" s="43">
        <f>VLOOKUP(H522,Data!$P$3:$X$122,9)</f>
        <v>0</v>
      </c>
      <c r="N522" s="43">
        <f t="shared" si="112"/>
        <v>0</v>
      </c>
      <c r="O522" s="43">
        <f t="shared" si="113"/>
        <v>0</v>
      </c>
      <c r="P522" s="30">
        <f t="shared" si="114"/>
        <v>0</v>
      </c>
      <c r="Q522" s="31">
        <f t="shared" si="116"/>
        <v>848340.75061972369</v>
      </c>
    </row>
    <row r="523" spans="1:17" x14ac:dyDescent="0.25">
      <c r="A523" s="6">
        <f t="shared" si="115"/>
        <v>59110</v>
      </c>
      <c r="B523" s="30">
        <f>IFERROR(VLOOKUP(A523, Data!$L$3:$N$123, 3),1)*Pension</f>
        <v>174193.18143330576</v>
      </c>
      <c r="C523" s="37">
        <f t="shared" si="104"/>
        <v>43.337440109514034</v>
      </c>
      <c r="D523" s="37">
        <f>IFERROR(VLOOKUP(A523,Data!$I$3:$J$1442,2),0)</f>
        <v>8.8341565999999996E-2</v>
      </c>
      <c r="E523" s="37">
        <f t="shared" si="105"/>
        <v>8.8141565999999991E-2</v>
      </c>
      <c r="F523" s="37">
        <f t="shared" si="110"/>
        <v>2.1931532497131524E-2</v>
      </c>
      <c r="G523" s="30">
        <f t="shared" si="111"/>
        <v>3820.3234193832727</v>
      </c>
      <c r="H523" s="38">
        <f t="shared" si="106"/>
        <v>138</v>
      </c>
      <c r="I523" s="39">
        <f t="shared" si="107"/>
        <v>138.96235455167692</v>
      </c>
      <c r="J523" s="40">
        <f t="shared" si="108"/>
        <v>43</v>
      </c>
      <c r="K523" s="43">
        <f>VLOOKUP(J523,Data!$Z$3:$AA$122,2)</f>
        <v>0</v>
      </c>
      <c r="L523" s="41">
        <f t="shared" si="109"/>
        <v>0.96235455167692407</v>
      </c>
      <c r="M523" s="43">
        <f>VLOOKUP(H523,Data!$P$3:$X$122,9)</f>
        <v>0</v>
      </c>
      <c r="N523" s="43">
        <f t="shared" si="112"/>
        <v>0</v>
      </c>
      <c r="O523" s="43">
        <f t="shared" si="113"/>
        <v>0</v>
      </c>
      <c r="P523" s="30">
        <f t="shared" si="114"/>
        <v>0</v>
      </c>
      <c r="Q523" s="31">
        <f t="shared" si="116"/>
        <v>848340.75061972369</v>
      </c>
    </row>
    <row r="524" spans="1:17" x14ac:dyDescent="0.25">
      <c r="A524" s="6">
        <f t="shared" si="115"/>
        <v>59140</v>
      </c>
      <c r="B524" s="30">
        <f>IFERROR(VLOOKUP(A524, Data!$L$3:$N$123, 3),1)*Pension</f>
        <v>174193.18143330576</v>
      </c>
      <c r="C524" s="37">
        <f t="shared" si="104"/>
        <v>43.419575633127998</v>
      </c>
      <c r="D524" s="37">
        <f>IFERROR(VLOOKUP(A524,Data!$I$3:$J$1442,2),0)</f>
        <v>8.8306871999999995E-2</v>
      </c>
      <c r="E524" s="37">
        <f t="shared" si="105"/>
        <v>8.8106871999999989E-2</v>
      </c>
      <c r="F524" s="37">
        <f t="shared" si="110"/>
        <v>2.1806155370388602E-2</v>
      </c>
      <c r="G524" s="30">
        <f t="shared" si="111"/>
        <v>3798.4835787969564</v>
      </c>
      <c r="H524" s="38">
        <f t="shared" si="106"/>
        <v>139</v>
      </c>
      <c r="I524" s="39">
        <f t="shared" si="107"/>
        <v>139.04449007529089</v>
      </c>
      <c r="J524" s="40">
        <f t="shared" si="108"/>
        <v>44</v>
      </c>
      <c r="K524" s="43">
        <f>VLOOKUP(J524,Data!$Z$3:$AA$122,2)</f>
        <v>0</v>
      </c>
      <c r="L524" s="41">
        <f t="shared" si="109"/>
        <v>4.4490075290894993E-2</v>
      </c>
      <c r="M524" s="43">
        <f>VLOOKUP(H524,Data!$P$3:$X$122,9)</f>
        <v>0</v>
      </c>
      <c r="N524" s="43">
        <f t="shared" si="112"/>
        <v>0</v>
      </c>
      <c r="O524" s="43">
        <f t="shared" si="113"/>
        <v>0</v>
      </c>
      <c r="P524" s="30">
        <f t="shared" si="114"/>
        <v>0</v>
      </c>
      <c r="Q524" s="31">
        <f t="shared" si="116"/>
        <v>848340.75061972369</v>
      </c>
    </row>
    <row r="525" spans="1:17" x14ac:dyDescent="0.25">
      <c r="A525" s="6">
        <f t="shared" si="115"/>
        <v>59171</v>
      </c>
      <c r="B525" s="30">
        <f>IFERROR(VLOOKUP(A525, Data!$L$3:$N$123, 3),1)*Pension</f>
        <v>182902.84050497104</v>
      </c>
      <c r="C525" s="37">
        <f t="shared" si="104"/>
        <v>43.504449007529089</v>
      </c>
      <c r="D525" s="37">
        <f>IFERROR(VLOOKUP(A525,Data!$I$3:$J$1442,2),0)</f>
        <v>8.8271159000000002E-2</v>
      </c>
      <c r="E525" s="37">
        <f t="shared" si="105"/>
        <v>8.8071158999999996E-2</v>
      </c>
      <c r="F525" s="37">
        <f t="shared" si="110"/>
        <v>2.1677352094130249E-2</v>
      </c>
      <c r="G525" s="30">
        <f t="shared" si="111"/>
        <v>3964.8492726428049</v>
      </c>
      <c r="H525" s="38">
        <f t="shared" si="106"/>
        <v>139</v>
      </c>
      <c r="I525" s="39">
        <f t="shared" si="107"/>
        <v>139.12936344969199</v>
      </c>
      <c r="J525" s="40">
        <f t="shared" si="108"/>
        <v>44</v>
      </c>
      <c r="K525" s="43">
        <f>VLOOKUP(J525,Data!$Z$3:$AA$122,2)</f>
        <v>0</v>
      </c>
      <c r="L525" s="41">
        <f t="shared" si="109"/>
        <v>0.12936344969199354</v>
      </c>
      <c r="M525" s="43">
        <f>VLOOKUP(H525,Data!$P$3:$X$122,9)</f>
        <v>0</v>
      </c>
      <c r="N525" s="43">
        <f t="shared" si="112"/>
        <v>0</v>
      </c>
      <c r="O525" s="43">
        <f t="shared" si="113"/>
        <v>0</v>
      </c>
      <c r="P525" s="30">
        <f t="shared" si="114"/>
        <v>0</v>
      </c>
      <c r="Q525" s="31">
        <f t="shared" si="116"/>
        <v>848340.75061972369</v>
      </c>
    </row>
    <row r="526" spans="1:17" x14ac:dyDescent="0.25">
      <c r="A526" s="6">
        <f t="shared" si="115"/>
        <v>59202</v>
      </c>
      <c r="B526" s="30">
        <f>IFERROR(VLOOKUP(A526, Data!$L$3:$N$123, 3),1)*Pension</f>
        <v>182902.84050497104</v>
      </c>
      <c r="C526" s="37">
        <f t="shared" si="104"/>
        <v>43.589322381930188</v>
      </c>
      <c r="D526" s="37">
        <f>IFERROR(VLOOKUP(A526,Data!$I$3:$J$1442,2),0)</f>
        <v>8.8235585000000005E-2</v>
      </c>
      <c r="E526" s="37">
        <f t="shared" si="105"/>
        <v>8.8035585E-2</v>
      </c>
      <c r="F526" s="37">
        <f t="shared" si="110"/>
        <v>2.1549309695285273E-2</v>
      </c>
      <c r="G526" s="30">
        <f t="shared" si="111"/>
        <v>3941.4299541889882</v>
      </c>
      <c r="H526" s="38">
        <f t="shared" si="106"/>
        <v>139</v>
      </c>
      <c r="I526" s="39">
        <f t="shared" si="107"/>
        <v>139.21423682409309</v>
      </c>
      <c r="J526" s="40">
        <f t="shared" si="108"/>
        <v>44</v>
      </c>
      <c r="K526" s="43">
        <f>VLOOKUP(J526,Data!$Z$3:$AA$122,2)</f>
        <v>0</v>
      </c>
      <c r="L526" s="41">
        <f t="shared" si="109"/>
        <v>0.21423682409309208</v>
      </c>
      <c r="M526" s="43">
        <f>VLOOKUP(H526,Data!$P$3:$X$122,9)</f>
        <v>0</v>
      </c>
      <c r="N526" s="43">
        <f t="shared" si="112"/>
        <v>0</v>
      </c>
      <c r="O526" s="43">
        <f t="shared" si="113"/>
        <v>0</v>
      </c>
      <c r="P526" s="30">
        <f t="shared" si="114"/>
        <v>0</v>
      </c>
      <c r="Q526" s="31">
        <f t="shared" si="116"/>
        <v>848340.75061972369</v>
      </c>
    </row>
    <row r="527" spans="1:17" x14ac:dyDescent="0.25">
      <c r="A527" s="6">
        <f t="shared" si="115"/>
        <v>59230</v>
      </c>
      <c r="B527" s="30">
        <f>IFERROR(VLOOKUP(A527, Data!$L$3:$N$123, 3),1)*Pension</f>
        <v>182902.84050497104</v>
      </c>
      <c r="C527" s="37">
        <f t="shared" si="104"/>
        <v>43.665982203969882</v>
      </c>
      <c r="D527" s="37">
        <f>IFERROR(VLOOKUP(A527,Data!$I$3:$J$1442,2),0)</f>
        <v>8.8203572999999993E-2</v>
      </c>
      <c r="E527" s="37">
        <f t="shared" si="105"/>
        <v>8.8003572999999988E-2</v>
      </c>
      <c r="F527" s="37">
        <f t="shared" si="110"/>
        <v>2.1434308227156508E-2</v>
      </c>
      <c r="G527" s="30">
        <f t="shared" si="111"/>
        <v>3920.3958590059956</v>
      </c>
      <c r="H527" s="38">
        <f t="shared" si="106"/>
        <v>139</v>
      </c>
      <c r="I527" s="39">
        <f t="shared" si="107"/>
        <v>139.29089664613278</v>
      </c>
      <c r="J527" s="40">
        <f t="shared" si="108"/>
        <v>44</v>
      </c>
      <c r="K527" s="43">
        <f>VLOOKUP(J527,Data!$Z$3:$AA$122,2)</f>
        <v>0</v>
      </c>
      <c r="L527" s="41">
        <f t="shared" si="109"/>
        <v>0.29089664613277932</v>
      </c>
      <c r="M527" s="43">
        <f>VLOOKUP(H527,Data!$P$3:$X$122,9)</f>
        <v>0</v>
      </c>
      <c r="N527" s="43">
        <f t="shared" si="112"/>
        <v>0</v>
      </c>
      <c r="O527" s="43">
        <f t="shared" si="113"/>
        <v>0</v>
      </c>
      <c r="P527" s="30">
        <f t="shared" si="114"/>
        <v>0</v>
      </c>
      <c r="Q527" s="31">
        <f t="shared" si="116"/>
        <v>848340.75061972369</v>
      </c>
    </row>
    <row r="528" spans="1:17" x14ac:dyDescent="0.25">
      <c r="A528" s="6">
        <f t="shared" si="115"/>
        <v>59261</v>
      </c>
      <c r="B528" s="30">
        <f>IFERROR(VLOOKUP(A528, Data!$L$3:$N$123, 3),1)*Pension</f>
        <v>182902.84050497104</v>
      </c>
      <c r="C528" s="37">
        <f t="shared" si="104"/>
        <v>43.750855578370981</v>
      </c>
      <c r="D528" s="37">
        <f>IFERROR(VLOOKUP(A528,Data!$I$3:$J$1442,2),0)</f>
        <v>8.8168261999999997E-2</v>
      </c>
      <c r="E528" s="37">
        <f t="shared" si="105"/>
        <v>8.7968261999999992E-2</v>
      </c>
      <c r="F528" s="37">
        <f t="shared" si="110"/>
        <v>2.1307700916300808E-2</v>
      </c>
      <c r="G528" s="30">
        <f t="shared" si="111"/>
        <v>3897.2390222217919</v>
      </c>
      <c r="H528" s="38">
        <f t="shared" si="106"/>
        <v>139</v>
      </c>
      <c r="I528" s="39">
        <f t="shared" si="107"/>
        <v>139.37577002053388</v>
      </c>
      <c r="J528" s="40">
        <f t="shared" si="108"/>
        <v>44</v>
      </c>
      <c r="K528" s="43">
        <f>VLOOKUP(J528,Data!$Z$3:$AA$122,2)</f>
        <v>0</v>
      </c>
      <c r="L528" s="41">
        <f t="shared" si="109"/>
        <v>0.37577002053387787</v>
      </c>
      <c r="M528" s="43">
        <f>VLOOKUP(H528,Data!$P$3:$X$122,9)</f>
        <v>0</v>
      </c>
      <c r="N528" s="43">
        <f t="shared" si="112"/>
        <v>0</v>
      </c>
      <c r="O528" s="43">
        <f t="shared" si="113"/>
        <v>0</v>
      </c>
      <c r="P528" s="30">
        <f t="shared" si="114"/>
        <v>0</v>
      </c>
      <c r="Q528" s="31">
        <f t="shared" si="116"/>
        <v>848340.75061972369</v>
      </c>
    </row>
    <row r="529" spans="1:17" x14ac:dyDescent="0.25">
      <c r="A529" s="6">
        <f t="shared" si="115"/>
        <v>59291</v>
      </c>
      <c r="B529" s="30">
        <f>IFERROR(VLOOKUP(A529, Data!$L$3:$N$123, 3),1)*Pension</f>
        <v>182902.84050497104</v>
      </c>
      <c r="C529" s="37">
        <f t="shared" si="104"/>
        <v>43.832991101984945</v>
      </c>
      <c r="D529" s="37">
        <f>IFERROR(VLOOKUP(A529,Data!$I$3:$J$1442,2),0)</f>
        <v>8.8134219999999999E-2</v>
      </c>
      <c r="E529" s="37">
        <f t="shared" si="105"/>
        <v>8.7934219999999994E-2</v>
      </c>
      <c r="F529" s="37">
        <f t="shared" si="110"/>
        <v>2.1185890044687846E-2</v>
      </c>
      <c r="G529" s="30">
        <f t="shared" si="111"/>
        <v>3874.959467799395</v>
      </c>
      <c r="H529" s="38">
        <f t="shared" si="106"/>
        <v>139</v>
      </c>
      <c r="I529" s="39">
        <f t="shared" si="107"/>
        <v>139.45790554414785</v>
      </c>
      <c r="J529" s="40">
        <f t="shared" si="108"/>
        <v>44</v>
      </c>
      <c r="K529" s="43">
        <f>VLOOKUP(J529,Data!$Z$3:$AA$122,2)</f>
        <v>0</v>
      </c>
      <c r="L529" s="41">
        <f t="shared" si="109"/>
        <v>0.45790554414784879</v>
      </c>
      <c r="M529" s="43">
        <f>VLOOKUP(H529,Data!$P$3:$X$122,9)</f>
        <v>0</v>
      </c>
      <c r="N529" s="43">
        <f t="shared" si="112"/>
        <v>0</v>
      </c>
      <c r="O529" s="43">
        <f t="shared" si="113"/>
        <v>0</v>
      </c>
      <c r="P529" s="30">
        <f t="shared" si="114"/>
        <v>0</v>
      </c>
      <c r="Q529" s="31">
        <f t="shared" si="116"/>
        <v>848340.75061972369</v>
      </c>
    </row>
    <row r="530" spans="1:17" x14ac:dyDescent="0.25">
      <c r="A530" s="6">
        <f t="shared" si="115"/>
        <v>59322</v>
      </c>
      <c r="B530" s="30">
        <f>IFERROR(VLOOKUP(A530, Data!$L$3:$N$123, 3),1)*Pension</f>
        <v>182902.84050497104</v>
      </c>
      <c r="C530" s="37">
        <f t="shared" si="104"/>
        <v>43.917864476386036</v>
      </c>
      <c r="D530" s="37">
        <f>IFERROR(VLOOKUP(A530,Data!$I$3:$J$1442,2),0)</f>
        <v>8.8099176000000001E-2</v>
      </c>
      <c r="E530" s="37">
        <f t="shared" si="105"/>
        <v>8.7899175999999996E-2</v>
      </c>
      <c r="F530" s="37">
        <f t="shared" si="110"/>
        <v>2.1060751289356059E-2</v>
      </c>
      <c r="G530" s="30">
        <f t="shared" si="111"/>
        <v>3852.0712339919546</v>
      </c>
      <c r="H530" s="38">
        <f t="shared" si="106"/>
        <v>139</v>
      </c>
      <c r="I530" s="39">
        <f t="shared" si="107"/>
        <v>139.54277891854895</v>
      </c>
      <c r="J530" s="40">
        <f t="shared" si="108"/>
        <v>44</v>
      </c>
      <c r="K530" s="43">
        <f>VLOOKUP(J530,Data!$Z$3:$AA$122,2)</f>
        <v>0</v>
      </c>
      <c r="L530" s="41">
        <f t="shared" si="109"/>
        <v>0.54277891854894733</v>
      </c>
      <c r="M530" s="43">
        <f>VLOOKUP(H530,Data!$P$3:$X$122,9)</f>
        <v>0</v>
      </c>
      <c r="N530" s="43">
        <f t="shared" si="112"/>
        <v>0</v>
      </c>
      <c r="O530" s="43">
        <f t="shared" si="113"/>
        <v>0</v>
      </c>
      <c r="P530" s="30">
        <f t="shared" si="114"/>
        <v>0</v>
      </c>
      <c r="Q530" s="31">
        <f t="shared" si="116"/>
        <v>848340.75061972369</v>
      </c>
    </row>
    <row r="531" spans="1:17" x14ac:dyDescent="0.25">
      <c r="A531" s="6">
        <f t="shared" si="115"/>
        <v>59352</v>
      </c>
      <c r="B531" s="30">
        <f>IFERROR(VLOOKUP(A531, Data!$L$3:$N$123, 3),1)*Pension</f>
        <v>182902.84050497104</v>
      </c>
      <c r="C531" s="37">
        <f t="shared" si="104"/>
        <v>44</v>
      </c>
      <c r="D531" s="37">
        <f>IFERROR(VLOOKUP(A531,Data!$I$3:$J$1442,2),0)</f>
        <v>8.8065393000000006E-2</v>
      </c>
      <c r="E531" s="37">
        <f t="shared" si="105"/>
        <v>8.7865393E-2</v>
      </c>
      <c r="F531" s="37">
        <f t="shared" si="110"/>
        <v>2.0940351408390866E-2</v>
      </c>
      <c r="G531" s="30">
        <f t="shared" si="111"/>
        <v>3830.0497537669603</v>
      </c>
      <c r="H531" s="38">
        <f t="shared" si="106"/>
        <v>139</v>
      </c>
      <c r="I531" s="39">
        <f t="shared" si="107"/>
        <v>139.62491444216289</v>
      </c>
      <c r="J531" s="40">
        <f t="shared" si="108"/>
        <v>44</v>
      </c>
      <c r="K531" s="43">
        <f>VLOOKUP(J531,Data!$Z$3:$AA$122,2)</f>
        <v>0</v>
      </c>
      <c r="L531" s="41">
        <f t="shared" si="109"/>
        <v>0.62491444216288983</v>
      </c>
      <c r="M531" s="43">
        <f>VLOOKUP(H531,Data!$P$3:$X$122,9)</f>
        <v>0</v>
      </c>
      <c r="N531" s="43">
        <f t="shared" si="112"/>
        <v>0</v>
      </c>
      <c r="O531" s="43">
        <f t="shared" si="113"/>
        <v>0</v>
      </c>
      <c r="P531" s="30">
        <f t="shared" si="114"/>
        <v>0</v>
      </c>
      <c r="Q531" s="31">
        <f t="shared" si="116"/>
        <v>848340.75061972369</v>
      </c>
    </row>
    <row r="532" spans="1:17" x14ac:dyDescent="0.25">
      <c r="A532" s="6">
        <f t="shared" si="115"/>
        <v>59383</v>
      </c>
      <c r="B532" s="30">
        <f>IFERROR(VLOOKUP(A532, Data!$L$3:$N$123, 3),1)*Pension</f>
        <v>182902.84050497104</v>
      </c>
      <c r="C532" s="37">
        <f t="shared" si="104"/>
        <v>44.084873374401099</v>
      </c>
      <c r="D532" s="37">
        <f>IFERROR(VLOOKUP(A532,Data!$I$3:$J$1442,2),0)</f>
        <v>8.8030615000000006E-2</v>
      </c>
      <c r="E532" s="37">
        <f t="shared" si="105"/>
        <v>8.7830615000000001E-2</v>
      </c>
      <c r="F532" s="37">
        <f t="shared" si="110"/>
        <v>2.0816662303657953E-2</v>
      </c>
      <c r="G532" s="30">
        <f t="shared" si="111"/>
        <v>3807.4266651717935</v>
      </c>
      <c r="H532" s="38">
        <f t="shared" si="106"/>
        <v>139</v>
      </c>
      <c r="I532" s="39">
        <f t="shared" si="107"/>
        <v>139.70978781656399</v>
      </c>
      <c r="J532" s="40">
        <f t="shared" si="108"/>
        <v>44</v>
      </c>
      <c r="K532" s="43">
        <f>VLOOKUP(J532,Data!$Z$3:$AA$122,2)</f>
        <v>0</v>
      </c>
      <c r="L532" s="41">
        <f t="shared" si="109"/>
        <v>0.70978781656398837</v>
      </c>
      <c r="M532" s="43">
        <f>VLOOKUP(H532,Data!$P$3:$X$122,9)</f>
        <v>0</v>
      </c>
      <c r="N532" s="43">
        <f t="shared" si="112"/>
        <v>0</v>
      </c>
      <c r="O532" s="43">
        <f t="shared" si="113"/>
        <v>0</v>
      </c>
      <c r="P532" s="30">
        <f t="shared" si="114"/>
        <v>0</v>
      </c>
      <c r="Q532" s="31">
        <f t="shared" si="116"/>
        <v>848340.75061972369</v>
      </c>
    </row>
    <row r="533" spans="1:17" x14ac:dyDescent="0.25">
      <c r="A533" s="6">
        <f t="shared" si="115"/>
        <v>59414</v>
      </c>
      <c r="B533" s="30">
        <f>IFERROR(VLOOKUP(A533, Data!$L$3:$N$123, 3),1)*Pension</f>
        <v>182902.84050497104</v>
      </c>
      <c r="C533" s="37">
        <f t="shared" si="104"/>
        <v>44.16974674880219</v>
      </c>
      <c r="D533" s="37">
        <f>IFERROR(VLOOKUP(A533,Data!$I$3:$J$1442,2),0)</f>
        <v>8.7995971000000006E-2</v>
      </c>
      <c r="E533" s="37">
        <f t="shared" si="105"/>
        <v>8.7795971E-2</v>
      </c>
      <c r="F533" s="37">
        <f t="shared" si="110"/>
        <v>2.0693703481196278E-2</v>
      </c>
      <c r="G533" s="30">
        <f t="shared" si="111"/>
        <v>3784.9371472784069</v>
      </c>
      <c r="H533" s="38">
        <f t="shared" si="106"/>
        <v>139</v>
      </c>
      <c r="I533" s="39">
        <f t="shared" si="107"/>
        <v>139.79466119096509</v>
      </c>
      <c r="J533" s="40">
        <f t="shared" si="108"/>
        <v>44</v>
      </c>
      <c r="K533" s="43">
        <f>VLOOKUP(J533,Data!$Z$3:$AA$122,2)</f>
        <v>0</v>
      </c>
      <c r="L533" s="41">
        <f t="shared" si="109"/>
        <v>0.79466119096508692</v>
      </c>
      <c r="M533" s="43">
        <f>VLOOKUP(H533,Data!$P$3:$X$122,9)</f>
        <v>0</v>
      </c>
      <c r="N533" s="43">
        <f t="shared" si="112"/>
        <v>0</v>
      </c>
      <c r="O533" s="43">
        <f t="shared" si="113"/>
        <v>0</v>
      </c>
      <c r="P533" s="30">
        <f t="shared" si="114"/>
        <v>0</v>
      </c>
      <c r="Q533" s="31">
        <f t="shared" si="116"/>
        <v>848340.75061972369</v>
      </c>
    </row>
    <row r="534" spans="1:17" x14ac:dyDescent="0.25">
      <c r="A534" s="6">
        <f t="shared" si="115"/>
        <v>59444</v>
      </c>
      <c r="B534" s="30">
        <f>IFERROR(VLOOKUP(A534, Data!$L$3:$N$123, 3),1)*Pension</f>
        <v>182902.84050497104</v>
      </c>
      <c r="C534" s="37">
        <f t="shared" si="104"/>
        <v>44.251882272416154</v>
      </c>
      <c r="D534" s="37">
        <f>IFERROR(VLOOKUP(A534,Data!$I$3:$J$1442,2),0)</f>
        <v>8.7962570000000004E-2</v>
      </c>
      <c r="E534" s="37">
        <f t="shared" si="105"/>
        <v>8.7762569999999998E-2</v>
      </c>
      <c r="F534" s="37">
        <f t="shared" si="110"/>
        <v>2.0575403620736541E-2</v>
      </c>
      <c r="G534" s="30">
        <f t="shared" si="111"/>
        <v>3763.2997667689792</v>
      </c>
      <c r="H534" s="38">
        <f t="shared" si="106"/>
        <v>139</v>
      </c>
      <c r="I534" s="39">
        <f t="shared" si="107"/>
        <v>139.87679671457906</v>
      </c>
      <c r="J534" s="40">
        <f t="shared" si="108"/>
        <v>44</v>
      </c>
      <c r="K534" s="43">
        <f>VLOOKUP(J534,Data!$Z$3:$AA$122,2)</f>
        <v>0</v>
      </c>
      <c r="L534" s="41">
        <f t="shared" si="109"/>
        <v>0.87679671457905783</v>
      </c>
      <c r="M534" s="43">
        <f>VLOOKUP(H534,Data!$P$3:$X$122,9)</f>
        <v>0</v>
      </c>
      <c r="N534" s="43">
        <f t="shared" si="112"/>
        <v>0</v>
      </c>
      <c r="O534" s="43">
        <f t="shared" si="113"/>
        <v>0</v>
      </c>
      <c r="P534" s="30">
        <f t="shared" si="114"/>
        <v>0</v>
      </c>
      <c r="Q534" s="31">
        <f t="shared" si="116"/>
        <v>848340.75061972369</v>
      </c>
    </row>
    <row r="535" spans="1:17" x14ac:dyDescent="0.25">
      <c r="A535" s="6">
        <f t="shared" si="115"/>
        <v>59475</v>
      </c>
      <c r="B535" s="30">
        <f>IFERROR(VLOOKUP(A535, Data!$L$3:$N$123, 3),1)*Pension</f>
        <v>182902.84050497104</v>
      </c>
      <c r="C535" s="37">
        <f t="shared" si="104"/>
        <v>44.336755646817245</v>
      </c>
      <c r="D535" s="37">
        <f>IFERROR(VLOOKUP(A535,Data!$I$3:$J$1442,2),0)</f>
        <v>8.7928187000000005E-2</v>
      </c>
      <c r="E535" s="37">
        <f t="shared" si="105"/>
        <v>8.7728186999999999E-2</v>
      </c>
      <c r="F535" s="37">
        <f t="shared" si="110"/>
        <v>2.0453869631549434E-2</v>
      </c>
      <c r="G535" s="30">
        <f t="shared" si="111"/>
        <v>3741.0708549287569</v>
      </c>
      <c r="H535" s="38">
        <f t="shared" si="106"/>
        <v>139</v>
      </c>
      <c r="I535" s="39">
        <f t="shared" si="107"/>
        <v>139.96167008898016</v>
      </c>
      <c r="J535" s="40">
        <f t="shared" si="108"/>
        <v>44</v>
      </c>
      <c r="K535" s="43">
        <f>VLOOKUP(J535,Data!$Z$3:$AA$122,2)</f>
        <v>0</v>
      </c>
      <c r="L535" s="41">
        <f t="shared" si="109"/>
        <v>0.96167008898015638</v>
      </c>
      <c r="M535" s="43">
        <f>VLOOKUP(H535,Data!$P$3:$X$122,9)</f>
        <v>0</v>
      </c>
      <c r="N535" s="43">
        <f t="shared" si="112"/>
        <v>0</v>
      </c>
      <c r="O535" s="43">
        <f t="shared" si="113"/>
        <v>0</v>
      </c>
      <c r="P535" s="30">
        <f t="shared" si="114"/>
        <v>0</v>
      </c>
      <c r="Q535" s="31">
        <f t="shared" si="116"/>
        <v>848340.75061972369</v>
      </c>
    </row>
    <row r="536" spans="1:17" x14ac:dyDescent="0.25">
      <c r="A536" s="6">
        <f t="shared" si="115"/>
        <v>59505</v>
      </c>
      <c r="B536" s="30">
        <f>IFERROR(VLOOKUP(A536, Data!$L$3:$N$123, 3),1)*Pension</f>
        <v>182902.84050497104</v>
      </c>
      <c r="C536" s="37">
        <f t="shared" si="104"/>
        <v>44.418891170431209</v>
      </c>
      <c r="D536" s="37">
        <f>IFERROR(VLOOKUP(A536,Data!$I$3:$J$1442,2),0)</f>
        <v>8.7895037999999995E-2</v>
      </c>
      <c r="E536" s="37">
        <f t="shared" si="105"/>
        <v>8.7695037999999989E-2</v>
      </c>
      <c r="F536" s="37">
        <f t="shared" si="110"/>
        <v>2.0336939858625225E-2</v>
      </c>
      <c r="G536" s="30">
        <f t="shared" si="111"/>
        <v>3719.6840673213178</v>
      </c>
      <c r="H536" s="38">
        <f t="shared" si="106"/>
        <v>140</v>
      </c>
      <c r="I536" s="39">
        <f t="shared" si="107"/>
        <v>140.04380561259413</v>
      </c>
      <c r="J536" s="40">
        <f t="shared" si="108"/>
        <v>45</v>
      </c>
      <c r="K536" s="43">
        <f>VLOOKUP(J536,Data!$Z$3:$AA$122,2)</f>
        <v>0</v>
      </c>
      <c r="L536" s="41">
        <f t="shared" si="109"/>
        <v>4.3805612594127297E-2</v>
      </c>
      <c r="M536" s="43">
        <f>VLOOKUP(H536,Data!$P$3:$X$122,9)</f>
        <v>0</v>
      </c>
      <c r="N536" s="43">
        <f t="shared" si="112"/>
        <v>0</v>
      </c>
      <c r="O536" s="43">
        <f t="shared" si="113"/>
        <v>0</v>
      </c>
      <c r="P536" s="30">
        <f t="shared" si="114"/>
        <v>0</v>
      </c>
      <c r="Q536" s="31">
        <f t="shared" si="116"/>
        <v>848340.75061972369</v>
      </c>
    </row>
    <row r="537" spans="1:17" x14ac:dyDescent="0.25">
      <c r="A537" s="6">
        <f t="shared" si="115"/>
        <v>59536</v>
      </c>
      <c r="B537" s="30">
        <f>IFERROR(VLOOKUP(A537, Data!$L$3:$N$123, 3),1)*Pension</f>
        <v>192047.98253021963</v>
      </c>
      <c r="C537" s="37">
        <f t="shared" si="104"/>
        <v>44.503764544832308</v>
      </c>
      <c r="D537" s="37">
        <f>IFERROR(VLOOKUP(A537,Data!$I$3:$J$1442,2),0)</f>
        <v>8.7860911999999999E-2</v>
      </c>
      <c r="E537" s="37">
        <f t="shared" si="105"/>
        <v>8.7660911999999994E-2</v>
      </c>
      <c r="F537" s="37">
        <f t="shared" si="110"/>
        <v>2.0216815155129603E-2</v>
      </c>
      <c r="G537" s="30">
        <f t="shared" si="111"/>
        <v>3882.5985637290091</v>
      </c>
      <c r="H537" s="38">
        <f t="shared" si="106"/>
        <v>140</v>
      </c>
      <c r="I537" s="39">
        <f t="shared" si="107"/>
        <v>140.1286789869952</v>
      </c>
      <c r="J537" s="40">
        <f t="shared" si="108"/>
        <v>45</v>
      </c>
      <c r="K537" s="43">
        <f>VLOOKUP(J537,Data!$Z$3:$AA$122,2)</f>
        <v>0</v>
      </c>
      <c r="L537" s="41">
        <f t="shared" si="109"/>
        <v>0.12867898699519742</v>
      </c>
      <c r="M537" s="43">
        <f>VLOOKUP(H537,Data!$P$3:$X$122,9)</f>
        <v>0</v>
      </c>
      <c r="N537" s="43">
        <f t="shared" si="112"/>
        <v>0</v>
      </c>
      <c r="O537" s="43">
        <f t="shared" si="113"/>
        <v>0</v>
      </c>
      <c r="P537" s="30">
        <f t="shared" si="114"/>
        <v>0</v>
      </c>
      <c r="Q537" s="31">
        <f t="shared" si="116"/>
        <v>848340.75061972369</v>
      </c>
    </row>
    <row r="538" spans="1:17" x14ac:dyDescent="0.25">
      <c r="A538" s="6">
        <f t="shared" si="115"/>
        <v>59567</v>
      </c>
      <c r="B538" s="30">
        <f>IFERROR(VLOOKUP(A538, Data!$L$3:$N$123, 3),1)*Pension</f>
        <v>192047.98253021963</v>
      </c>
      <c r="C538" s="37">
        <f t="shared" si="104"/>
        <v>44.588637919233399</v>
      </c>
      <c r="D538" s="37">
        <f>IFERROR(VLOOKUP(A538,Data!$I$3:$J$1442,2),0)</f>
        <v>8.7826916000000005E-2</v>
      </c>
      <c r="E538" s="37">
        <f t="shared" si="105"/>
        <v>8.7626915999999999E-2</v>
      </c>
      <c r="F538" s="37">
        <f t="shared" si="110"/>
        <v>2.0097399919906014E-2</v>
      </c>
      <c r="G538" s="30">
        <f t="shared" si="111"/>
        <v>3859.6651087209475</v>
      </c>
      <c r="H538" s="38">
        <f t="shared" si="106"/>
        <v>140</v>
      </c>
      <c r="I538" s="39">
        <f t="shared" si="107"/>
        <v>140.2135523613963</v>
      </c>
      <c r="J538" s="40">
        <f t="shared" si="108"/>
        <v>45</v>
      </c>
      <c r="K538" s="43">
        <f>VLOOKUP(J538,Data!$Z$3:$AA$122,2)</f>
        <v>0</v>
      </c>
      <c r="L538" s="41">
        <f t="shared" si="109"/>
        <v>0.21355236139629596</v>
      </c>
      <c r="M538" s="43">
        <f>VLOOKUP(H538,Data!$P$3:$X$122,9)</f>
        <v>0</v>
      </c>
      <c r="N538" s="43">
        <f t="shared" si="112"/>
        <v>0</v>
      </c>
      <c r="O538" s="43">
        <f t="shared" si="113"/>
        <v>0</v>
      </c>
      <c r="P538" s="30">
        <f t="shared" si="114"/>
        <v>0</v>
      </c>
      <c r="Q538" s="31">
        <f t="shared" si="116"/>
        <v>848340.75061972369</v>
      </c>
    </row>
    <row r="539" spans="1:17" x14ac:dyDescent="0.25">
      <c r="A539" s="6">
        <f t="shared" si="115"/>
        <v>59595</v>
      </c>
      <c r="B539" s="30">
        <f>IFERROR(VLOOKUP(A539, Data!$L$3:$N$123, 3),1)*Pension</f>
        <v>192047.98253021963</v>
      </c>
      <c r="C539" s="37">
        <f t="shared" si="104"/>
        <v>44.6652977412731</v>
      </c>
      <c r="D539" s="37">
        <f>IFERROR(VLOOKUP(A539,Data!$I$3:$J$1442,2),0)</f>
        <v>8.7796321999999996E-2</v>
      </c>
      <c r="E539" s="37">
        <f t="shared" si="105"/>
        <v>8.759632199999999E-2</v>
      </c>
      <c r="F539" s="37">
        <f t="shared" si="110"/>
        <v>1.9990146473251588E-2</v>
      </c>
      <c r="G539" s="30">
        <f t="shared" si="111"/>
        <v>3839.0673006715524</v>
      </c>
      <c r="H539" s="38">
        <f t="shared" si="106"/>
        <v>140</v>
      </c>
      <c r="I539" s="39">
        <f t="shared" si="107"/>
        <v>140.29021218343601</v>
      </c>
      <c r="J539" s="40">
        <f t="shared" si="108"/>
        <v>45</v>
      </c>
      <c r="K539" s="43">
        <f>VLOOKUP(J539,Data!$Z$3:$AA$122,2)</f>
        <v>0</v>
      </c>
      <c r="L539" s="41">
        <f t="shared" si="109"/>
        <v>0.29021218343601163</v>
      </c>
      <c r="M539" s="43">
        <f>VLOOKUP(H539,Data!$P$3:$X$122,9)</f>
        <v>0</v>
      </c>
      <c r="N539" s="43">
        <f t="shared" si="112"/>
        <v>0</v>
      </c>
      <c r="O539" s="43">
        <f t="shared" si="113"/>
        <v>0</v>
      </c>
      <c r="P539" s="30">
        <f t="shared" si="114"/>
        <v>0</v>
      </c>
      <c r="Q539" s="31">
        <f t="shared" si="116"/>
        <v>848340.75061972369</v>
      </c>
    </row>
    <row r="540" spans="1:17" x14ac:dyDescent="0.25">
      <c r="A540" s="6">
        <f t="shared" si="115"/>
        <v>59626</v>
      </c>
      <c r="B540" s="30">
        <f>IFERROR(VLOOKUP(A540, Data!$L$3:$N$123, 3),1)*Pension</f>
        <v>192047.98253021963</v>
      </c>
      <c r="C540" s="37">
        <f t="shared" si="104"/>
        <v>44.750171115674199</v>
      </c>
      <c r="D540" s="37">
        <f>IFERROR(VLOOKUP(A540,Data!$I$3:$J$1442,2),0)</f>
        <v>8.7762570999999998E-2</v>
      </c>
      <c r="E540" s="37">
        <f t="shared" si="105"/>
        <v>8.7562570999999992E-2</v>
      </c>
      <c r="F540" s="37">
        <f t="shared" si="110"/>
        <v>1.9872070300358764E-2</v>
      </c>
      <c r="G540" s="30">
        <f t="shared" si="111"/>
        <v>3816.3910098825963</v>
      </c>
      <c r="H540" s="38">
        <f t="shared" si="106"/>
        <v>140</v>
      </c>
      <c r="I540" s="39">
        <f t="shared" si="107"/>
        <v>140.37508555783711</v>
      </c>
      <c r="J540" s="40">
        <f t="shared" si="108"/>
        <v>45</v>
      </c>
      <c r="K540" s="43">
        <f>VLOOKUP(J540,Data!$Z$3:$AA$122,2)</f>
        <v>0</v>
      </c>
      <c r="L540" s="41">
        <f t="shared" si="109"/>
        <v>0.37508555783711017</v>
      </c>
      <c r="M540" s="43">
        <f>VLOOKUP(H540,Data!$P$3:$X$122,9)</f>
        <v>0</v>
      </c>
      <c r="N540" s="43">
        <f t="shared" si="112"/>
        <v>0</v>
      </c>
      <c r="O540" s="43">
        <f t="shared" si="113"/>
        <v>0</v>
      </c>
      <c r="P540" s="30">
        <f t="shared" si="114"/>
        <v>0</v>
      </c>
      <c r="Q540" s="31">
        <f t="shared" si="116"/>
        <v>848340.75061972369</v>
      </c>
    </row>
    <row r="541" spans="1:17" x14ac:dyDescent="0.25">
      <c r="A541" s="6">
        <f t="shared" si="115"/>
        <v>59656</v>
      </c>
      <c r="B541" s="30">
        <f>IFERROR(VLOOKUP(A541, Data!$L$3:$N$123, 3),1)*Pension</f>
        <v>192047.98253021963</v>
      </c>
      <c r="C541" s="37">
        <f t="shared" si="104"/>
        <v>44.832306639288156</v>
      </c>
      <c r="D541" s="37">
        <f>IFERROR(VLOOKUP(A541,Data!$I$3:$J$1442,2),0)</f>
        <v>8.7730031E-2</v>
      </c>
      <c r="E541" s="37">
        <f t="shared" si="105"/>
        <v>8.7530030999999994E-2</v>
      </c>
      <c r="F541" s="37">
        <f t="shared" si="110"/>
        <v>1.9758466618765055E-2</v>
      </c>
      <c r="G541" s="30">
        <f t="shared" si="111"/>
        <v>3794.5736520245191</v>
      </c>
      <c r="H541" s="38">
        <f t="shared" si="106"/>
        <v>140</v>
      </c>
      <c r="I541" s="39">
        <f t="shared" si="107"/>
        <v>140.45722108145105</v>
      </c>
      <c r="J541" s="40">
        <f t="shared" si="108"/>
        <v>45</v>
      </c>
      <c r="K541" s="43">
        <f>VLOOKUP(J541,Data!$Z$3:$AA$122,2)</f>
        <v>0</v>
      </c>
      <c r="L541" s="41">
        <f t="shared" si="109"/>
        <v>0.45722108145105267</v>
      </c>
      <c r="M541" s="43">
        <f>VLOOKUP(H541,Data!$P$3:$X$122,9)</f>
        <v>0</v>
      </c>
      <c r="N541" s="43">
        <f t="shared" si="112"/>
        <v>0</v>
      </c>
      <c r="O541" s="43">
        <f t="shared" si="113"/>
        <v>0</v>
      </c>
      <c r="P541" s="30">
        <f t="shared" si="114"/>
        <v>0</v>
      </c>
      <c r="Q541" s="31">
        <f t="shared" si="116"/>
        <v>848340.75061972369</v>
      </c>
    </row>
    <row r="542" spans="1:17" x14ac:dyDescent="0.25">
      <c r="A542" s="6">
        <f t="shared" si="115"/>
        <v>59687</v>
      </c>
      <c r="B542" s="30">
        <f>IFERROR(VLOOKUP(A542, Data!$L$3:$N$123, 3),1)*Pension</f>
        <v>192047.98253021963</v>
      </c>
      <c r="C542" s="37">
        <f t="shared" si="104"/>
        <v>44.917180013689254</v>
      </c>
      <c r="D542" s="37">
        <f>IFERROR(VLOOKUP(A542,Data!$I$3:$J$1442,2),0)</f>
        <v>8.7696530999999994E-2</v>
      </c>
      <c r="E542" s="37">
        <f t="shared" si="105"/>
        <v>8.7496530999999989E-2</v>
      </c>
      <c r="F542" s="37">
        <f t="shared" si="110"/>
        <v>1.9641758694527365E-2</v>
      </c>
      <c r="G542" s="30">
        <f t="shared" si="111"/>
        <v>3772.160130629381</v>
      </c>
      <c r="H542" s="38">
        <f t="shared" si="106"/>
        <v>140</v>
      </c>
      <c r="I542" s="39">
        <f t="shared" si="107"/>
        <v>140.54209445585215</v>
      </c>
      <c r="J542" s="40">
        <f t="shared" si="108"/>
        <v>45</v>
      </c>
      <c r="K542" s="43">
        <f>VLOOKUP(J542,Data!$Z$3:$AA$122,2)</f>
        <v>0</v>
      </c>
      <c r="L542" s="41">
        <f t="shared" si="109"/>
        <v>0.54209445585215121</v>
      </c>
      <c r="M542" s="43">
        <f>VLOOKUP(H542,Data!$P$3:$X$122,9)</f>
        <v>0</v>
      </c>
      <c r="N542" s="43">
        <f t="shared" si="112"/>
        <v>0</v>
      </c>
      <c r="O542" s="43">
        <f t="shared" si="113"/>
        <v>0</v>
      </c>
      <c r="P542" s="30">
        <f t="shared" si="114"/>
        <v>0</v>
      </c>
      <c r="Q542" s="31">
        <f t="shared" si="116"/>
        <v>848340.75061972369</v>
      </c>
    </row>
    <row r="543" spans="1:17" x14ac:dyDescent="0.25">
      <c r="A543" s="6">
        <f t="shared" si="115"/>
        <v>59717</v>
      </c>
      <c r="B543" s="30">
        <f>IFERROR(VLOOKUP(A543, Data!$L$3:$N$123, 3),1)*Pension</f>
        <v>192047.98253021963</v>
      </c>
      <c r="C543" s="37">
        <f t="shared" si="104"/>
        <v>44.999315537303218</v>
      </c>
      <c r="D543" s="37">
        <f>IFERROR(VLOOKUP(A543,Data!$I$3:$J$1442,2),0)</f>
        <v>8.7664231999999995E-2</v>
      </c>
      <c r="E543" s="37">
        <f t="shared" si="105"/>
        <v>8.7464231999999989E-2</v>
      </c>
      <c r="F543" s="37">
        <f t="shared" si="110"/>
        <v>1.9529471917846913E-2</v>
      </c>
      <c r="G543" s="30">
        <f t="shared" si="111"/>
        <v>3750.5956817030788</v>
      </c>
      <c r="H543" s="38">
        <f t="shared" si="106"/>
        <v>140</v>
      </c>
      <c r="I543" s="39">
        <f t="shared" si="107"/>
        <v>140.62422997946612</v>
      </c>
      <c r="J543" s="40">
        <f t="shared" si="108"/>
        <v>45</v>
      </c>
      <c r="K543" s="43">
        <f>VLOOKUP(J543,Data!$Z$3:$AA$122,2)</f>
        <v>0</v>
      </c>
      <c r="L543" s="41">
        <f t="shared" si="109"/>
        <v>0.62422997946612213</v>
      </c>
      <c r="M543" s="43">
        <f>VLOOKUP(H543,Data!$P$3:$X$122,9)</f>
        <v>0</v>
      </c>
      <c r="N543" s="43">
        <f t="shared" si="112"/>
        <v>0</v>
      </c>
      <c r="O543" s="43">
        <f t="shared" si="113"/>
        <v>0</v>
      </c>
      <c r="P543" s="30">
        <f t="shared" si="114"/>
        <v>0</v>
      </c>
      <c r="Q543" s="31">
        <f t="shared" si="116"/>
        <v>848340.75061972369</v>
      </c>
    </row>
    <row r="544" spans="1:17" x14ac:dyDescent="0.25">
      <c r="A544" s="6">
        <f t="shared" si="115"/>
        <v>59748</v>
      </c>
      <c r="B544" s="30">
        <f>IFERROR(VLOOKUP(A544, Data!$L$3:$N$123, 3),1)*Pension</f>
        <v>192047.98253021963</v>
      </c>
      <c r="C544" s="37">
        <f t="shared" si="104"/>
        <v>45.08418891170431</v>
      </c>
      <c r="D544" s="37">
        <f>IFERROR(VLOOKUP(A544,Data!$I$3:$J$1442,2),0)</f>
        <v>8.7630980999999997E-2</v>
      </c>
      <c r="E544" s="37">
        <f t="shared" si="105"/>
        <v>8.7430980999999991E-2</v>
      </c>
      <c r="F544" s="37">
        <f t="shared" si="110"/>
        <v>1.9414115699096467E-2</v>
      </c>
      <c r="G544" s="30">
        <f t="shared" si="111"/>
        <v>3728.4417526197408</v>
      </c>
      <c r="H544" s="38">
        <f t="shared" si="106"/>
        <v>140</v>
      </c>
      <c r="I544" s="39">
        <f t="shared" si="107"/>
        <v>140.70910335386722</v>
      </c>
      <c r="J544" s="40">
        <f t="shared" si="108"/>
        <v>45</v>
      </c>
      <c r="K544" s="43">
        <f>VLOOKUP(J544,Data!$Z$3:$AA$122,2)</f>
        <v>0</v>
      </c>
      <c r="L544" s="41">
        <f t="shared" si="109"/>
        <v>0.70910335386722068</v>
      </c>
      <c r="M544" s="43">
        <f>VLOOKUP(H544,Data!$P$3:$X$122,9)</f>
        <v>0</v>
      </c>
      <c r="N544" s="43">
        <f t="shared" si="112"/>
        <v>0</v>
      </c>
      <c r="O544" s="43">
        <f t="shared" si="113"/>
        <v>0</v>
      </c>
      <c r="P544" s="30">
        <f t="shared" si="114"/>
        <v>0</v>
      </c>
      <c r="Q544" s="31">
        <f t="shared" si="116"/>
        <v>848340.75061972369</v>
      </c>
    </row>
    <row r="545" spans="1:17" x14ac:dyDescent="0.25">
      <c r="A545" s="6">
        <f t="shared" si="115"/>
        <v>59779</v>
      </c>
      <c r="B545" s="30">
        <f>IFERROR(VLOOKUP(A545, Data!$L$3:$N$123, 3),1)*Pension</f>
        <v>192047.98253021963</v>
      </c>
      <c r="C545" s="37">
        <f t="shared" si="104"/>
        <v>45.169062286105408</v>
      </c>
      <c r="D545" s="37">
        <f>IFERROR(VLOOKUP(A545,Data!$I$3:$J$1442,2),0)</f>
        <v>8.7597854000000003E-2</v>
      </c>
      <c r="E545" s="37">
        <f t="shared" si="105"/>
        <v>8.7397853999999997E-2</v>
      </c>
      <c r="F545" s="37">
        <f t="shared" si="110"/>
        <v>1.9299441699090945E-2</v>
      </c>
      <c r="G545" s="30">
        <f t="shared" si="111"/>
        <v>3706.4188422700099</v>
      </c>
      <c r="H545" s="38">
        <f t="shared" si="106"/>
        <v>140</v>
      </c>
      <c r="I545" s="39">
        <f t="shared" si="107"/>
        <v>140.79397672826832</v>
      </c>
      <c r="J545" s="40">
        <f t="shared" si="108"/>
        <v>45</v>
      </c>
      <c r="K545" s="43">
        <f>VLOOKUP(J545,Data!$Z$3:$AA$122,2)</f>
        <v>0</v>
      </c>
      <c r="L545" s="41">
        <f t="shared" si="109"/>
        <v>0.79397672826831922</v>
      </c>
      <c r="M545" s="43">
        <f>VLOOKUP(H545,Data!$P$3:$X$122,9)</f>
        <v>0</v>
      </c>
      <c r="N545" s="43">
        <f t="shared" si="112"/>
        <v>0</v>
      </c>
      <c r="O545" s="43">
        <f t="shared" si="113"/>
        <v>0</v>
      </c>
      <c r="P545" s="30">
        <f t="shared" si="114"/>
        <v>0</v>
      </c>
      <c r="Q545" s="31">
        <f t="shared" si="116"/>
        <v>848340.75061972369</v>
      </c>
    </row>
    <row r="546" spans="1:17" x14ac:dyDescent="0.25">
      <c r="A546" s="6">
        <f t="shared" si="115"/>
        <v>59809</v>
      </c>
      <c r="B546" s="30">
        <f>IFERROR(VLOOKUP(A546, Data!$L$3:$N$123, 3),1)*Pension</f>
        <v>192047.98253021963</v>
      </c>
      <c r="C546" s="37">
        <f t="shared" si="104"/>
        <v>45.251197809719372</v>
      </c>
      <c r="D546" s="37">
        <f>IFERROR(VLOOKUP(A546,Data!$I$3:$J$1442,2),0)</f>
        <v>8.7565913999999995E-2</v>
      </c>
      <c r="E546" s="37">
        <f t="shared" si="105"/>
        <v>8.7365913999999989E-2</v>
      </c>
      <c r="F546" s="37">
        <f t="shared" si="110"/>
        <v>1.9189111767684553E-2</v>
      </c>
      <c r="G546" s="30">
        <f t="shared" si="111"/>
        <v>3685.230201530715</v>
      </c>
      <c r="H546" s="38">
        <f t="shared" si="106"/>
        <v>140</v>
      </c>
      <c r="I546" s="39">
        <f t="shared" si="107"/>
        <v>140.87611225188226</v>
      </c>
      <c r="J546" s="40">
        <f t="shared" si="108"/>
        <v>45</v>
      </c>
      <c r="K546" s="43">
        <f>VLOOKUP(J546,Data!$Z$3:$AA$122,2)</f>
        <v>0</v>
      </c>
      <c r="L546" s="41">
        <f t="shared" si="109"/>
        <v>0.87611225188226172</v>
      </c>
      <c r="M546" s="43">
        <f>VLOOKUP(H546,Data!$P$3:$X$122,9)</f>
        <v>0</v>
      </c>
      <c r="N546" s="43">
        <f t="shared" si="112"/>
        <v>0</v>
      </c>
      <c r="O546" s="43">
        <f t="shared" si="113"/>
        <v>0</v>
      </c>
      <c r="P546" s="30">
        <f t="shared" si="114"/>
        <v>0</v>
      </c>
      <c r="Q546" s="31">
        <f t="shared" si="116"/>
        <v>848340.75061972369</v>
      </c>
    </row>
    <row r="547" spans="1:17" x14ac:dyDescent="0.25">
      <c r="A547" s="6">
        <f t="shared" si="115"/>
        <v>59840</v>
      </c>
      <c r="B547" s="30">
        <f>IFERROR(VLOOKUP(A547, Data!$L$3:$N$123, 3),1)*Pension</f>
        <v>192047.98253021963</v>
      </c>
      <c r="C547" s="37">
        <f t="shared" si="104"/>
        <v>45.336071184120463</v>
      </c>
      <c r="D547" s="37">
        <f>IFERROR(VLOOKUP(A547,Data!$I$3:$J$1442,2),0)</f>
        <v>8.7533030999999997E-2</v>
      </c>
      <c r="E547" s="37">
        <f t="shared" si="105"/>
        <v>8.7333030999999992E-2</v>
      </c>
      <c r="F547" s="37">
        <f t="shared" si="110"/>
        <v>1.9075766671523834E-2</v>
      </c>
      <c r="G547" s="30">
        <f t="shared" si="111"/>
        <v>3663.4625044833551</v>
      </c>
      <c r="H547" s="38">
        <f t="shared" si="106"/>
        <v>140</v>
      </c>
      <c r="I547" s="39">
        <f t="shared" si="107"/>
        <v>140.96098562628336</v>
      </c>
      <c r="J547" s="40">
        <f t="shared" si="108"/>
        <v>45</v>
      </c>
      <c r="K547" s="43">
        <f>VLOOKUP(J547,Data!$Z$3:$AA$122,2)</f>
        <v>0</v>
      </c>
      <c r="L547" s="41">
        <f t="shared" si="109"/>
        <v>0.96098562628336026</v>
      </c>
      <c r="M547" s="43">
        <f>VLOOKUP(H547,Data!$P$3:$X$122,9)</f>
        <v>0</v>
      </c>
      <c r="N547" s="43">
        <f t="shared" si="112"/>
        <v>0</v>
      </c>
      <c r="O547" s="43">
        <f t="shared" si="113"/>
        <v>0</v>
      </c>
      <c r="P547" s="30">
        <f t="shared" si="114"/>
        <v>0</v>
      </c>
      <c r="Q547" s="31">
        <f t="shared" si="116"/>
        <v>848340.75061972369</v>
      </c>
    </row>
    <row r="548" spans="1:17" x14ac:dyDescent="0.25">
      <c r="A548" s="6">
        <f t="shared" si="115"/>
        <v>59870</v>
      </c>
      <c r="B548" s="30">
        <f>IFERROR(VLOOKUP(A548, Data!$L$3:$N$123, 3),1)*Pension</f>
        <v>192047.98253021963</v>
      </c>
      <c r="C548" s="37">
        <f t="shared" si="104"/>
        <v>45.418206707734427</v>
      </c>
      <c r="D548" s="37">
        <f>IFERROR(VLOOKUP(A548,Data!$I$3:$J$1442,2),0)</f>
        <v>8.7501325000000005E-2</v>
      </c>
      <c r="E548" s="37">
        <f t="shared" si="105"/>
        <v>8.7301324999999999E-2</v>
      </c>
      <c r="F548" s="37">
        <f t="shared" si="110"/>
        <v>1.8966716014372206E-2</v>
      </c>
      <c r="G548" s="30">
        <f t="shared" si="111"/>
        <v>3642.5195457837904</v>
      </c>
      <c r="H548" s="38">
        <f t="shared" si="106"/>
        <v>141</v>
      </c>
      <c r="I548" s="39">
        <f t="shared" si="107"/>
        <v>141.04312114989733</v>
      </c>
      <c r="J548" s="40">
        <f t="shared" si="108"/>
        <v>46</v>
      </c>
      <c r="K548" s="43">
        <f>VLOOKUP(J548,Data!$Z$3:$AA$122,2)</f>
        <v>0</v>
      </c>
      <c r="L548" s="41">
        <f t="shared" si="109"/>
        <v>4.3121149897331179E-2</v>
      </c>
      <c r="M548" s="43">
        <f>VLOOKUP(H548,Data!$P$3:$X$122,9)</f>
        <v>0</v>
      </c>
      <c r="N548" s="43">
        <f t="shared" si="112"/>
        <v>0</v>
      </c>
      <c r="O548" s="43">
        <f t="shared" si="113"/>
        <v>0</v>
      </c>
      <c r="P548" s="30">
        <f t="shared" si="114"/>
        <v>0</v>
      </c>
      <c r="Q548" s="31">
        <f t="shared" si="116"/>
        <v>848340.75061972369</v>
      </c>
    </row>
    <row r="549" spans="1:17" x14ac:dyDescent="0.25">
      <c r="A549" s="6">
        <f t="shared" si="115"/>
        <v>59901</v>
      </c>
      <c r="B549" s="30">
        <f>IFERROR(VLOOKUP(A549, Data!$L$3:$N$123, 3),1)*Pension</f>
        <v>201650.38165673055</v>
      </c>
      <c r="C549" s="37">
        <f t="shared" si="104"/>
        <v>45.503080082135526</v>
      </c>
      <c r="D549" s="37">
        <f>IFERROR(VLOOKUP(A549,Data!$I$3:$J$1442,2),0)</f>
        <v>8.7468684000000005E-2</v>
      </c>
      <c r="E549" s="37">
        <f t="shared" si="105"/>
        <v>8.7268683999999999E-2</v>
      </c>
      <c r="F549" s="37">
        <f t="shared" si="110"/>
        <v>1.8854683833662525E-2</v>
      </c>
      <c r="G549" s="30">
        <f t="shared" si="111"/>
        <v>3802.0541910750358</v>
      </c>
      <c r="H549" s="38">
        <f t="shared" si="106"/>
        <v>141</v>
      </c>
      <c r="I549" s="39">
        <f t="shared" si="107"/>
        <v>141.12799452429843</v>
      </c>
      <c r="J549" s="40">
        <f t="shared" si="108"/>
        <v>46</v>
      </c>
      <c r="K549" s="43">
        <f>VLOOKUP(J549,Data!$Z$3:$AA$122,2)</f>
        <v>0</v>
      </c>
      <c r="L549" s="41">
        <f t="shared" si="109"/>
        <v>0.12799452429842972</v>
      </c>
      <c r="M549" s="43">
        <f>VLOOKUP(H549,Data!$P$3:$X$122,9)</f>
        <v>0</v>
      </c>
      <c r="N549" s="43">
        <f t="shared" si="112"/>
        <v>0</v>
      </c>
      <c r="O549" s="43">
        <f t="shared" si="113"/>
        <v>0</v>
      </c>
      <c r="P549" s="30">
        <f t="shared" si="114"/>
        <v>0</v>
      </c>
      <c r="Q549" s="31">
        <f t="shared" si="116"/>
        <v>848340.75061972369</v>
      </c>
    </row>
    <row r="550" spans="1:17" x14ac:dyDescent="0.25">
      <c r="A550" s="6">
        <f t="shared" si="115"/>
        <v>59932</v>
      </c>
      <c r="B550" s="30">
        <f>IFERROR(VLOOKUP(A550, Data!$L$3:$N$123, 3),1)*Pension</f>
        <v>201650.38165673055</v>
      </c>
      <c r="C550" s="37">
        <f t="shared" si="104"/>
        <v>45.587953456536617</v>
      </c>
      <c r="D550" s="37">
        <f>IFERROR(VLOOKUP(A550,Data!$I$3:$J$1442,2),0)</f>
        <v>8.7436162999999997E-2</v>
      </c>
      <c r="E550" s="37">
        <f t="shared" si="105"/>
        <v>8.7236162999999992E-2</v>
      </c>
      <c r="F550" s="37">
        <f t="shared" si="110"/>
        <v>1.8743314717000858E-2</v>
      </c>
      <c r="G550" s="30">
        <f t="shared" si="111"/>
        <v>3779.5965661954378</v>
      </c>
      <c r="H550" s="38">
        <f t="shared" si="106"/>
        <v>141</v>
      </c>
      <c r="I550" s="39">
        <f t="shared" si="107"/>
        <v>141.21286789869953</v>
      </c>
      <c r="J550" s="40">
        <f t="shared" si="108"/>
        <v>46</v>
      </c>
      <c r="K550" s="43">
        <f>VLOOKUP(J550,Data!$Z$3:$AA$122,2)</f>
        <v>0</v>
      </c>
      <c r="L550" s="41">
        <f t="shared" si="109"/>
        <v>0.21286789869952827</v>
      </c>
      <c r="M550" s="43">
        <f>VLOOKUP(H550,Data!$P$3:$X$122,9)</f>
        <v>0</v>
      </c>
      <c r="N550" s="43">
        <f t="shared" si="112"/>
        <v>0</v>
      </c>
      <c r="O550" s="43">
        <f t="shared" si="113"/>
        <v>0</v>
      </c>
      <c r="P550" s="30">
        <f t="shared" si="114"/>
        <v>0</v>
      </c>
      <c r="Q550" s="31">
        <f t="shared" si="116"/>
        <v>848340.75061972369</v>
      </c>
    </row>
    <row r="551" spans="1:17" x14ac:dyDescent="0.25">
      <c r="A551" s="6">
        <f t="shared" si="115"/>
        <v>59961</v>
      </c>
      <c r="B551" s="30">
        <f>IFERROR(VLOOKUP(A551, Data!$L$3:$N$123, 3),1)*Pension</f>
        <v>201650.38165673055</v>
      </c>
      <c r="C551" s="37">
        <f t="shared" si="104"/>
        <v>45.667351129363446</v>
      </c>
      <c r="D551" s="37">
        <f>IFERROR(VLOOKUP(A551,Data!$I$3:$J$1442,2),0)</f>
        <v>8.7405849999999993E-2</v>
      </c>
      <c r="E551" s="37">
        <f t="shared" si="105"/>
        <v>8.7205849999999988E-2</v>
      </c>
      <c r="F551" s="37">
        <f t="shared" si="110"/>
        <v>1.8639725942570042E-2</v>
      </c>
      <c r="G551" s="30">
        <f t="shared" si="111"/>
        <v>3758.7078502961103</v>
      </c>
      <c r="H551" s="38">
        <f t="shared" si="106"/>
        <v>141</v>
      </c>
      <c r="I551" s="39">
        <f t="shared" si="107"/>
        <v>141.29226557152634</v>
      </c>
      <c r="J551" s="40">
        <f t="shared" si="108"/>
        <v>46</v>
      </c>
      <c r="K551" s="43">
        <f>VLOOKUP(J551,Data!$Z$3:$AA$122,2)</f>
        <v>0</v>
      </c>
      <c r="L551" s="41">
        <f t="shared" si="109"/>
        <v>0.29226557152634314</v>
      </c>
      <c r="M551" s="43">
        <f>VLOOKUP(H551,Data!$P$3:$X$122,9)</f>
        <v>0</v>
      </c>
      <c r="N551" s="43">
        <f t="shared" si="112"/>
        <v>0</v>
      </c>
      <c r="O551" s="43">
        <f t="shared" si="113"/>
        <v>0</v>
      </c>
      <c r="P551" s="30">
        <f t="shared" si="114"/>
        <v>0</v>
      </c>
      <c r="Q551" s="31">
        <f t="shared" si="116"/>
        <v>848340.75061972369</v>
      </c>
    </row>
    <row r="552" spans="1:17" x14ac:dyDescent="0.25">
      <c r="A552" s="6">
        <f t="shared" si="115"/>
        <v>59992</v>
      </c>
      <c r="B552" s="30">
        <f>IFERROR(VLOOKUP(A552, Data!$L$3:$N$123, 3),1)*Pension</f>
        <v>201650.38165673055</v>
      </c>
      <c r="C552" s="37">
        <f t="shared" si="104"/>
        <v>45.752224503764545</v>
      </c>
      <c r="D552" s="37">
        <f>IFERROR(VLOOKUP(A552,Data!$I$3:$J$1442,2),0)</f>
        <v>8.7373563000000001E-2</v>
      </c>
      <c r="E552" s="37">
        <f t="shared" si="105"/>
        <v>8.7173562999999996E-2</v>
      </c>
      <c r="F552" s="37">
        <f t="shared" si="110"/>
        <v>1.8529625948223303E-2</v>
      </c>
      <c r="G552" s="30">
        <f t="shared" si="111"/>
        <v>3736.5061444156868</v>
      </c>
      <c r="H552" s="38">
        <f t="shared" si="106"/>
        <v>141</v>
      </c>
      <c r="I552" s="39">
        <f t="shared" si="107"/>
        <v>141.37713894592744</v>
      </c>
      <c r="J552" s="40">
        <f t="shared" si="108"/>
        <v>46</v>
      </c>
      <c r="K552" s="43">
        <f>VLOOKUP(J552,Data!$Z$3:$AA$122,2)</f>
        <v>0</v>
      </c>
      <c r="L552" s="41">
        <f t="shared" si="109"/>
        <v>0.37713894592744168</v>
      </c>
      <c r="M552" s="43">
        <f>VLOOKUP(H552,Data!$P$3:$X$122,9)</f>
        <v>0</v>
      </c>
      <c r="N552" s="43">
        <f t="shared" si="112"/>
        <v>0</v>
      </c>
      <c r="O552" s="43">
        <f t="shared" si="113"/>
        <v>0</v>
      </c>
      <c r="P552" s="30">
        <f t="shared" si="114"/>
        <v>0</v>
      </c>
      <c r="Q552" s="31">
        <f t="shared" si="116"/>
        <v>848340.75061972369</v>
      </c>
    </row>
    <row r="553" spans="1:17" x14ac:dyDescent="0.25">
      <c r="A553" s="6">
        <f t="shared" si="115"/>
        <v>60022</v>
      </c>
      <c r="B553" s="30">
        <f>IFERROR(VLOOKUP(A553, Data!$L$3:$N$123, 3),1)*Pension</f>
        <v>201650.38165673055</v>
      </c>
      <c r="C553" s="37">
        <f t="shared" si="104"/>
        <v>45.834360027378509</v>
      </c>
      <c r="D553" s="37">
        <f>IFERROR(VLOOKUP(A553,Data!$I$3:$J$1442,2),0)</f>
        <v>8.7342431999999998E-2</v>
      </c>
      <c r="E553" s="37">
        <f t="shared" si="105"/>
        <v>8.7142431999999992E-2</v>
      </c>
      <c r="F553" s="37">
        <f t="shared" si="110"/>
        <v>1.842369627391691E-2</v>
      </c>
      <c r="G553" s="30">
        <f t="shared" si="111"/>
        <v>3715.1453851630295</v>
      </c>
      <c r="H553" s="38">
        <f t="shared" si="106"/>
        <v>141</v>
      </c>
      <c r="I553" s="39">
        <f t="shared" si="107"/>
        <v>141.45927446954141</v>
      </c>
      <c r="J553" s="40">
        <f t="shared" si="108"/>
        <v>46</v>
      </c>
      <c r="K553" s="43">
        <f>VLOOKUP(J553,Data!$Z$3:$AA$122,2)</f>
        <v>0</v>
      </c>
      <c r="L553" s="41">
        <f t="shared" si="109"/>
        <v>0.4592744695414126</v>
      </c>
      <c r="M553" s="43">
        <f>VLOOKUP(H553,Data!$P$3:$X$122,9)</f>
        <v>0</v>
      </c>
      <c r="N553" s="43">
        <f t="shared" si="112"/>
        <v>0</v>
      </c>
      <c r="O553" s="43">
        <f t="shared" si="113"/>
        <v>0</v>
      </c>
      <c r="P553" s="30">
        <f t="shared" si="114"/>
        <v>0</v>
      </c>
      <c r="Q553" s="31">
        <f t="shared" si="116"/>
        <v>848340.75061972369</v>
      </c>
    </row>
    <row r="554" spans="1:17" x14ac:dyDescent="0.25">
      <c r="A554" s="6">
        <f t="shared" si="115"/>
        <v>60053</v>
      </c>
      <c r="B554" s="30">
        <f>IFERROR(VLOOKUP(A554, Data!$L$3:$N$123, 3),1)*Pension</f>
        <v>201650.38165673055</v>
      </c>
      <c r="C554" s="37">
        <f t="shared" si="104"/>
        <v>45.9192334017796</v>
      </c>
      <c r="D554" s="37">
        <f>IFERROR(VLOOKUP(A554,Data!$I$3:$J$1442,2),0)</f>
        <v>8.7310378999999994E-2</v>
      </c>
      <c r="E554" s="37">
        <f t="shared" si="105"/>
        <v>8.7110378999999988E-2</v>
      </c>
      <c r="F554" s="37">
        <f t="shared" si="110"/>
        <v>1.8314872852819037E-2</v>
      </c>
      <c r="G554" s="30">
        <f t="shared" si="111"/>
        <v>3693.2011007654523</v>
      </c>
      <c r="H554" s="38">
        <f t="shared" si="106"/>
        <v>141</v>
      </c>
      <c r="I554" s="39">
        <f t="shared" si="107"/>
        <v>141.54414784394251</v>
      </c>
      <c r="J554" s="40">
        <f t="shared" si="108"/>
        <v>46</v>
      </c>
      <c r="K554" s="43">
        <f>VLOOKUP(J554,Data!$Z$3:$AA$122,2)</f>
        <v>0</v>
      </c>
      <c r="L554" s="41">
        <f t="shared" si="109"/>
        <v>0.54414784394251114</v>
      </c>
      <c r="M554" s="43">
        <f>VLOOKUP(H554,Data!$P$3:$X$122,9)</f>
        <v>0</v>
      </c>
      <c r="N554" s="43">
        <f t="shared" si="112"/>
        <v>0</v>
      </c>
      <c r="O554" s="43">
        <f t="shared" si="113"/>
        <v>0</v>
      </c>
      <c r="P554" s="30">
        <f t="shared" si="114"/>
        <v>0</v>
      </c>
      <c r="Q554" s="31">
        <f t="shared" si="116"/>
        <v>848340.75061972369</v>
      </c>
    </row>
    <row r="555" spans="1:17" x14ac:dyDescent="0.25">
      <c r="A555" s="6">
        <f t="shared" si="115"/>
        <v>60083</v>
      </c>
      <c r="B555" s="30">
        <f>IFERROR(VLOOKUP(A555, Data!$L$3:$N$123, 3),1)*Pension</f>
        <v>201650.38165673055</v>
      </c>
      <c r="C555" s="37">
        <f t="shared" si="104"/>
        <v>46.001368925393564</v>
      </c>
      <c r="D555" s="37">
        <f>IFERROR(VLOOKUP(A555,Data!$I$3:$J$1442,2),0)</f>
        <v>8.7279472999999996E-2</v>
      </c>
      <c r="E555" s="37">
        <f t="shared" si="105"/>
        <v>8.7079472999999991E-2</v>
      </c>
      <c r="F555" s="37">
        <f t="shared" si="110"/>
        <v>1.8210171574349752E-2</v>
      </c>
      <c r="G555" s="30">
        <f t="shared" si="111"/>
        <v>3672.0880480021733</v>
      </c>
      <c r="H555" s="38">
        <f t="shared" si="106"/>
        <v>141</v>
      </c>
      <c r="I555" s="39">
        <f t="shared" si="107"/>
        <v>141.62628336755648</v>
      </c>
      <c r="J555" s="40">
        <f t="shared" si="108"/>
        <v>46</v>
      </c>
      <c r="K555" s="43">
        <f>VLOOKUP(J555,Data!$Z$3:$AA$122,2)</f>
        <v>0</v>
      </c>
      <c r="L555" s="41">
        <f t="shared" si="109"/>
        <v>0.62628336755648206</v>
      </c>
      <c r="M555" s="43">
        <f>VLOOKUP(H555,Data!$P$3:$X$122,9)</f>
        <v>0</v>
      </c>
      <c r="N555" s="43">
        <f t="shared" si="112"/>
        <v>0</v>
      </c>
      <c r="O555" s="43">
        <f t="shared" si="113"/>
        <v>0</v>
      </c>
      <c r="P555" s="30">
        <f t="shared" si="114"/>
        <v>0</v>
      </c>
      <c r="Q555" s="31">
        <f t="shared" si="116"/>
        <v>848340.75061972369</v>
      </c>
    </row>
    <row r="556" spans="1:17" x14ac:dyDescent="0.25">
      <c r="A556" s="6">
        <f t="shared" si="115"/>
        <v>60114</v>
      </c>
      <c r="B556" s="30">
        <f>IFERROR(VLOOKUP(A556, Data!$L$3:$N$123, 3),1)*Pension</f>
        <v>201650.38165673055</v>
      </c>
      <c r="C556" s="37">
        <f t="shared" si="104"/>
        <v>46.086242299794662</v>
      </c>
      <c r="D556" s="37">
        <f>IFERROR(VLOOKUP(A556,Data!$I$3:$J$1442,2),0)</f>
        <v>8.7247652999999994E-2</v>
      </c>
      <c r="E556" s="37">
        <f t="shared" si="105"/>
        <v>8.7047652999999989E-2</v>
      </c>
      <c r="F556" s="37">
        <f t="shared" si="110"/>
        <v>1.8102608631887028E-2</v>
      </c>
      <c r="G556" s="30">
        <f t="shared" si="111"/>
        <v>3650.3979396024442</v>
      </c>
      <c r="H556" s="38">
        <f t="shared" si="106"/>
        <v>141</v>
      </c>
      <c r="I556" s="39">
        <f t="shared" si="107"/>
        <v>141.71115674195755</v>
      </c>
      <c r="J556" s="40">
        <f t="shared" si="108"/>
        <v>46</v>
      </c>
      <c r="K556" s="43">
        <f>VLOOKUP(J556,Data!$Z$3:$AA$122,2)</f>
        <v>0</v>
      </c>
      <c r="L556" s="41">
        <f t="shared" si="109"/>
        <v>0.71115674195755219</v>
      </c>
      <c r="M556" s="43">
        <f>VLOOKUP(H556,Data!$P$3:$X$122,9)</f>
        <v>0</v>
      </c>
      <c r="N556" s="43">
        <f t="shared" si="112"/>
        <v>0</v>
      </c>
      <c r="O556" s="43">
        <f t="shared" si="113"/>
        <v>0</v>
      </c>
      <c r="P556" s="30">
        <f t="shared" si="114"/>
        <v>0</v>
      </c>
      <c r="Q556" s="31">
        <f t="shared" si="116"/>
        <v>848340.75061972369</v>
      </c>
    </row>
    <row r="557" spans="1:17" x14ac:dyDescent="0.25">
      <c r="A557" s="6">
        <f t="shared" si="115"/>
        <v>60145</v>
      </c>
      <c r="B557" s="30">
        <f>IFERROR(VLOOKUP(A557, Data!$L$3:$N$123, 3),1)*Pension</f>
        <v>201650.38165673055</v>
      </c>
      <c r="C557" s="37">
        <f t="shared" si="104"/>
        <v>46.171115674195754</v>
      </c>
      <c r="D557" s="37">
        <f>IFERROR(VLOOKUP(A557,Data!$I$3:$J$1442,2),0)</f>
        <v>8.721595E-2</v>
      </c>
      <c r="E557" s="37">
        <f t="shared" si="105"/>
        <v>8.7015949999999995E-2</v>
      </c>
      <c r="F557" s="37">
        <f t="shared" si="110"/>
        <v>1.7995681024683893E-2</v>
      </c>
      <c r="G557" s="30">
        <f t="shared" si="111"/>
        <v>3628.8359468002909</v>
      </c>
      <c r="H557" s="38">
        <f t="shared" si="106"/>
        <v>141</v>
      </c>
      <c r="I557" s="39">
        <f t="shared" si="107"/>
        <v>141.79603011635865</v>
      </c>
      <c r="J557" s="40">
        <f t="shared" si="108"/>
        <v>46</v>
      </c>
      <c r="K557" s="43">
        <f>VLOOKUP(J557,Data!$Z$3:$AA$122,2)</f>
        <v>0</v>
      </c>
      <c r="L557" s="41">
        <f t="shared" si="109"/>
        <v>0.79603011635865073</v>
      </c>
      <c r="M557" s="43">
        <f>VLOOKUP(H557,Data!$P$3:$X$122,9)</f>
        <v>0</v>
      </c>
      <c r="N557" s="43">
        <f t="shared" si="112"/>
        <v>0</v>
      </c>
      <c r="O557" s="43">
        <f t="shared" si="113"/>
        <v>0</v>
      </c>
      <c r="P557" s="30">
        <f t="shared" si="114"/>
        <v>0</v>
      </c>
      <c r="Q557" s="31">
        <f t="shared" si="116"/>
        <v>848340.75061972369</v>
      </c>
    </row>
    <row r="558" spans="1:17" x14ac:dyDescent="0.25">
      <c r="A558" s="6">
        <f t="shared" si="115"/>
        <v>60175</v>
      </c>
      <c r="B558" s="30">
        <f>IFERROR(VLOOKUP(A558, Data!$L$3:$N$123, 3),1)*Pension</f>
        <v>201650.38165673055</v>
      </c>
      <c r="C558" s="37">
        <f t="shared" si="104"/>
        <v>46.253251197809718</v>
      </c>
      <c r="D558" s="37">
        <f>IFERROR(VLOOKUP(A558,Data!$I$3:$J$1442,2),0)</f>
        <v>8.7185380000000007E-2</v>
      </c>
      <c r="E558" s="37">
        <f t="shared" si="105"/>
        <v>8.6985380000000001E-2</v>
      </c>
      <c r="F558" s="37">
        <f t="shared" si="110"/>
        <v>1.7892804473440622E-2</v>
      </c>
      <c r="G558" s="30">
        <f t="shared" si="111"/>
        <v>3608.0908509785572</v>
      </c>
      <c r="H558" s="38">
        <f t="shared" si="106"/>
        <v>141</v>
      </c>
      <c r="I558" s="39">
        <f t="shared" si="107"/>
        <v>141.87816563997262</v>
      </c>
      <c r="J558" s="40">
        <f t="shared" si="108"/>
        <v>46</v>
      </c>
      <c r="K558" s="43">
        <f>VLOOKUP(J558,Data!$Z$3:$AA$122,2)</f>
        <v>0</v>
      </c>
      <c r="L558" s="41">
        <f t="shared" si="109"/>
        <v>0.87816563997262165</v>
      </c>
      <c r="M558" s="43">
        <f>VLOOKUP(H558,Data!$P$3:$X$122,9)</f>
        <v>0</v>
      </c>
      <c r="N558" s="43">
        <f t="shared" si="112"/>
        <v>0</v>
      </c>
      <c r="O558" s="43">
        <f t="shared" si="113"/>
        <v>0</v>
      </c>
      <c r="P558" s="30">
        <f t="shared" si="114"/>
        <v>0</v>
      </c>
      <c r="Q558" s="31">
        <f t="shared" si="116"/>
        <v>848340.75061972369</v>
      </c>
    </row>
    <row r="559" spans="1:17" x14ac:dyDescent="0.25">
      <c r="A559" s="6">
        <f t="shared" si="115"/>
        <v>60206</v>
      </c>
      <c r="B559" s="30">
        <f>IFERROR(VLOOKUP(A559, Data!$L$3:$N$123, 3),1)*Pension</f>
        <v>201650.38165673055</v>
      </c>
      <c r="C559" s="37">
        <f t="shared" si="104"/>
        <v>46.338124572210816</v>
      </c>
      <c r="D559" s="37">
        <f>IFERROR(VLOOKUP(A559,Data!$I$3:$J$1442,2),0)</f>
        <v>8.7153905000000004E-2</v>
      </c>
      <c r="E559" s="37">
        <f t="shared" si="105"/>
        <v>8.6953904999999998E-2</v>
      </c>
      <c r="F559" s="37">
        <f t="shared" si="110"/>
        <v>1.7787116392436544E-2</v>
      </c>
      <c r="G559" s="30">
        <f t="shared" si="111"/>
        <v>3586.7788091075172</v>
      </c>
      <c r="H559" s="38">
        <f t="shared" si="106"/>
        <v>141</v>
      </c>
      <c r="I559" s="39">
        <f t="shared" si="107"/>
        <v>141.96303901437372</v>
      </c>
      <c r="J559" s="40">
        <f t="shared" si="108"/>
        <v>46</v>
      </c>
      <c r="K559" s="43">
        <f>VLOOKUP(J559,Data!$Z$3:$AA$122,2)</f>
        <v>0</v>
      </c>
      <c r="L559" s="41">
        <f t="shared" si="109"/>
        <v>0.96303901437372019</v>
      </c>
      <c r="M559" s="43">
        <f>VLOOKUP(H559,Data!$P$3:$X$122,9)</f>
        <v>0</v>
      </c>
      <c r="N559" s="43">
        <f t="shared" si="112"/>
        <v>0</v>
      </c>
      <c r="O559" s="43">
        <f t="shared" si="113"/>
        <v>0</v>
      </c>
      <c r="P559" s="30">
        <f t="shared" si="114"/>
        <v>0</v>
      </c>
      <c r="Q559" s="31">
        <f t="shared" si="116"/>
        <v>848340.75061972369</v>
      </c>
    </row>
    <row r="560" spans="1:17" x14ac:dyDescent="0.25">
      <c r="A560" s="6">
        <f t="shared" si="115"/>
        <v>60236</v>
      </c>
      <c r="B560" s="30">
        <f>IFERROR(VLOOKUP(A560, Data!$L$3:$N$123, 3),1)*Pension</f>
        <v>201650.38165673055</v>
      </c>
      <c r="C560" s="37">
        <f t="shared" si="104"/>
        <v>46.42026009582478</v>
      </c>
      <c r="D560" s="37">
        <f>IFERROR(VLOOKUP(A560,Data!$I$3:$J$1442,2),0)</f>
        <v>8.7123554000000006E-2</v>
      </c>
      <c r="E560" s="37">
        <f t="shared" si="105"/>
        <v>8.6923554E-2</v>
      </c>
      <c r="F560" s="37">
        <f t="shared" si="110"/>
        <v>1.7685432778312058E-2</v>
      </c>
      <c r="G560" s="30">
        <f t="shared" si="111"/>
        <v>3566.2742695110792</v>
      </c>
      <c r="H560" s="38">
        <f t="shared" si="106"/>
        <v>142</v>
      </c>
      <c r="I560" s="39">
        <f t="shared" si="107"/>
        <v>142.04517453798769</v>
      </c>
      <c r="J560" s="40">
        <f t="shared" si="108"/>
        <v>47</v>
      </c>
      <c r="K560" s="43">
        <f>VLOOKUP(J560,Data!$Z$3:$AA$122,2)</f>
        <v>0</v>
      </c>
      <c r="L560" s="41">
        <f t="shared" si="109"/>
        <v>4.517453798769111E-2</v>
      </c>
      <c r="M560" s="43">
        <f>VLOOKUP(H560,Data!$P$3:$X$122,9)</f>
        <v>0</v>
      </c>
      <c r="N560" s="43">
        <f t="shared" si="112"/>
        <v>0</v>
      </c>
      <c r="O560" s="43">
        <f t="shared" si="113"/>
        <v>0</v>
      </c>
      <c r="P560" s="30">
        <f t="shared" si="114"/>
        <v>0</v>
      </c>
      <c r="Q560" s="31">
        <f t="shared" si="116"/>
        <v>848340.75061972369</v>
      </c>
    </row>
    <row r="561" spans="1:17" x14ac:dyDescent="0.25">
      <c r="A561" s="6">
        <f t="shared" si="115"/>
        <v>60267</v>
      </c>
      <c r="B561" s="30">
        <f>IFERROR(VLOOKUP(A561, Data!$L$3:$N$123, 3),1)*Pension</f>
        <v>211732.90073956715</v>
      </c>
      <c r="C561" s="37">
        <f t="shared" si="104"/>
        <v>46.505133470225871</v>
      </c>
      <c r="D561" s="37">
        <f>IFERROR(VLOOKUP(A561,Data!$I$3:$J$1442,2),0)</f>
        <v>8.7092304999999995E-2</v>
      </c>
      <c r="E561" s="37">
        <f t="shared" si="105"/>
        <v>8.6892304999999989E-2</v>
      </c>
      <c r="F561" s="37">
        <f t="shared" si="110"/>
        <v>1.7580969478723261E-2</v>
      </c>
      <c r="G561" s="30">
        <f t="shared" si="111"/>
        <v>3722.469665543872</v>
      </c>
      <c r="H561" s="38">
        <f t="shared" si="106"/>
        <v>142</v>
      </c>
      <c r="I561" s="39">
        <f t="shared" si="107"/>
        <v>142.13004791238876</v>
      </c>
      <c r="J561" s="40">
        <f t="shared" si="108"/>
        <v>47</v>
      </c>
      <c r="K561" s="43">
        <f>VLOOKUP(J561,Data!$Z$3:$AA$122,2)</f>
        <v>0</v>
      </c>
      <c r="L561" s="41">
        <f t="shared" si="109"/>
        <v>0.13004791238876123</v>
      </c>
      <c r="M561" s="43">
        <f>VLOOKUP(H561,Data!$P$3:$X$122,9)</f>
        <v>0</v>
      </c>
      <c r="N561" s="43">
        <f t="shared" si="112"/>
        <v>0</v>
      </c>
      <c r="O561" s="43">
        <f t="shared" si="113"/>
        <v>0</v>
      </c>
      <c r="P561" s="30">
        <f t="shared" si="114"/>
        <v>0</v>
      </c>
      <c r="Q561" s="31">
        <f t="shared" si="116"/>
        <v>848340.75061972369</v>
      </c>
    </row>
    <row r="562" spans="1:17" x14ac:dyDescent="0.25">
      <c r="A562" s="6">
        <f t="shared" si="115"/>
        <v>60298</v>
      </c>
      <c r="B562" s="30">
        <f>IFERROR(VLOOKUP(A562, Data!$L$3:$N$123, 3),1)*Pension</f>
        <v>211732.90073956715</v>
      </c>
      <c r="C562" s="37">
        <f t="shared" si="104"/>
        <v>46.59000684462697</v>
      </c>
      <c r="D562" s="37">
        <f>IFERROR(VLOOKUP(A562,Data!$I$3:$J$1442,2),0)</f>
        <v>8.7061169999999993E-2</v>
      </c>
      <c r="E562" s="37">
        <f t="shared" si="105"/>
        <v>8.6861169999999988E-2</v>
      </c>
      <c r="F562" s="37">
        <f t="shared" si="110"/>
        <v>1.7477123097334211E-2</v>
      </c>
      <c r="G562" s="30">
        <f t="shared" si="111"/>
        <v>3700.481969981061</v>
      </c>
      <c r="H562" s="38">
        <f t="shared" si="106"/>
        <v>142</v>
      </c>
      <c r="I562" s="39">
        <f t="shared" si="107"/>
        <v>142.21492128678986</v>
      </c>
      <c r="J562" s="40">
        <f t="shared" si="108"/>
        <v>47</v>
      </c>
      <c r="K562" s="43">
        <f>VLOOKUP(J562,Data!$Z$3:$AA$122,2)</f>
        <v>0</v>
      </c>
      <c r="L562" s="41">
        <f t="shared" si="109"/>
        <v>0.21492128678985978</v>
      </c>
      <c r="M562" s="43">
        <f>VLOOKUP(H562,Data!$P$3:$X$122,9)</f>
        <v>0</v>
      </c>
      <c r="N562" s="43">
        <f t="shared" si="112"/>
        <v>0</v>
      </c>
      <c r="O562" s="43">
        <f t="shared" si="113"/>
        <v>0</v>
      </c>
      <c r="P562" s="30">
        <f t="shared" si="114"/>
        <v>0</v>
      </c>
      <c r="Q562" s="31">
        <f t="shared" si="116"/>
        <v>848340.75061972369</v>
      </c>
    </row>
    <row r="563" spans="1:17" x14ac:dyDescent="0.25">
      <c r="A563" s="6">
        <f t="shared" si="115"/>
        <v>60326</v>
      </c>
      <c r="B563" s="30">
        <f>IFERROR(VLOOKUP(A563, Data!$L$3:$N$123, 3),1)*Pension</f>
        <v>211732.90073956715</v>
      </c>
      <c r="C563" s="37">
        <f t="shared" si="104"/>
        <v>46.666666666666664</v>
      </c>
      <c r="D563" s="37">
        <f>IFERROR(VLOOKUP(A563,Data!$I$3:$J$1442,2),0)</f>
        <v>8.7033145000000006E-2</v>
      </c>
      <c r="E563" s="37">
        <f t="shared" si="105"/>
        <v>8.6833145E-2</v>
      </c>
      <c r="F563" s="37">
        <f t="shared" si="110"/>
        <v>1.7383854021857156E-2</v>
      </c>
      <c r="G563" s="30">
        <f t="shared" si="111"/>
        <v>3680.7338380810065</v>
      </c>
      <c r="H563" s="38">
        <f t="shared" si="106"/>
        <v>142</v>
      </c>
      <c r="I563" s="39">
        <f t="shared" si="107"/>
        <v>142.29158110882958</v>
      </c>
      <c r="J563" s="40">
        <f t="shared" si="108"/>
        <v>47</v>
      </c>
      <c r="K563" s="43">
        <f>VLOOKUP(J563,Data!$Z$3:$AA$122,2)</f>
        <v>0</v>
      </c>
      <c r="L563" s="41">
        <f t="shared" si="109"/>
        <v>0.29158110882957544</v>
      </c>
      <c r="M563" s="43">
        <f>VLOOKUP(H563,Data!$P$3:$X$122,9)</f>
        <v>0</v>
      </c>
      <c r="N563" s="43">
        <f t="shared" si="112"/>
        <v>0</v>
      </c>
      <c r="O563" s="43">
        <f t="shared" si="113"/>
        <v>0</v>
      </c>
      <c r="P563" s="30">
        <f t="shared" si="114"/>
        <v>0</v>
      </c>
      <c r="Q563" s="31">
        <f t="shared" si="116"/>
        <v>848340.75061972369</v>
      </c>
    </row>
    <row r="564" spans="1:17" x14ac:dyDescent="0.25">
      <c r="A564" s="6">
        <f t="shared" si="115"/>
        <v>60357</v>
      </c>
      <c r="B564" s="30">
        <f>IFERROR(VLOOKUP(A564, Data!$L$3:$N$123, 3),1)*Pension</f>
        <v>211732.90073956715</v>
      </c>
      <c r="C564" s="37">
        <f t="shared" si="104"/>
        <v>46.751540041067763</v>
      </c>
      <c r="D564" s="37">
        <f>IFERROR(VLOOKUP(A564,Data!$I$3:$J$1442,2),0)</f>
        <v>8.7002225000000002E-2</v>
      </c>
      <c r="E564" s="37">
        <f t="shared" si="105"/>
        <v>8.6802224999999997E-2</v>
      </c>
      <c r="F564" s="37">
        <f t="shared" si="110"/>
        <v>1.7281171932444942E-2</v>
      </c>
      <c r="G564" s="30">
        <f t="shared" si="111"/>
        <v>3658.9926614357587</v>
      </c>
      <c r="H564" s="38">
        <f t="shared" si="106"/>
        <v>142</v>
      </c>
      <c r="I564" s="39">
        <f t="shared" si="107"/>
        <v>142.37645448323067</v>
      </c>
      <c r="J564" s="40">
        <f t="shared" si="108"/>
        <v>47</v>
      </c>
      <c r="K564" s="43">
        <f>VLOOKUP(J564,Data!$Z$3:$AA$122,2)</f>
        <v>0</v>
      </c>
      <c r="L564" s="41">
        <f t="shared" si="109"/>
        <v>0.37645448323067399</v>
      </c>
      <c r="M564" s="43">
        <f>VLOOKUP(H564,Data!$P$3:$X$122,9)</f>
        <v>0</v>
      </c>
      <c r="N564" s="43">
        <f t="shared" si="112"/>
        <v>0</v>
      </c>
      <c r="O564" s="43">
        <f t="shared" si="113"/>
        <v>0</v>
      </c>
      <c r="P564" s="30">
        <f t="shared" si="114"/>
        <v>0</v>
      </c>
      <c r="Q564" s="31">
        <f t="shared" si="116"/>
        <v>848340.75061972369</v>
      </c>
    </row>
    <row r="565" spans="1:17" x14ac:dyDescent="0.25">
      <c r="A565" s="6">
        <f t="shared" si="115"/>
        <v>60387</v>
      </c>
      <c r="B565" s="30">
        <f>IFERROR(VLOOKUP(A565, Data!$L$3:$N$123, 3),1)*Pension</f>
        <v>211732.90073956715</v>
      </c>
      <c r="C565" s="37">
        <f t="shared" si="104"/>
        <v>46.833675564681727</v>
      </c>
      <c r="D565" s="37">
        <f>IFERROR(VLOOKUP(A565,Data!$I$3:$J$1442,2),0)</f>
        <v>8.6972408000000001E-2</v>
      </c>
      <c r="E565" s="37">
        <f t="shared" si="105"/>
        <v>8.6772407999999995E-2</v>
      </c>
      <c r="F565" s="37">
        <f t="shared" si="110"/>
        <v>1.7182380594588629E-2</v>
      </c>
      <c r="G565" s="30">
        <f t="shared" si="111"/>
        <v>3638.0752849034989</v>
      </c>
      <c r="H565" s="38">
        <f t="shared" si="106"/>
        <v>142</v>
      </c>
      <c r="I565" s="39">
        <f t="shared" si="107"/>
        <v>142.45859000684462</v>
      </c>
      <c r="J565" s="40">
        <f t="shared" si="108"/>
        <v>47</v>
      </c>
      <c r="K565" s="43">
        <f>VLOOKUP(J565,Data!$Z$3:$AA$122,2)</f>
        <v>0</v>
      </c>
      <c r="L565" s="41">
        <f t="shared" si="109"/>
        <v>0.45859000684461648</v>
      </c>
      <c r="M565" s="43">
        <f>VLOOKUP(H565,Data!$P$3:$X$122,9)</f>
        <v>0</v>
      </c>
      <c r="N565" s="43">
        <f t="shared" si="112"/>
        <v>0</v>
      </c>
      <c r="O565" s="43">
        <f t="shared" si="113"/>
        <v>0</v>
      </c>
      <c r="P565" s="30">
        <f t="shared" si="114"/>
        <v>0</v>
      </c>
      <c r="Q565" s="31">
        <f t="shared" si="116"/>
        <v>848340.75061972369</v>
      </c>
    </row>
    <row r="566" spans="1:17" x14ac:dyDescent="0.25">
      <c r="A566" s="6">
        <f t="shared" si="115"/>
        <v>60418</v>
      </c>
      <c r="B566" s="30">
        <f>IFERROR(VLOOKUP(A566, Data!$L$3:$N$123, 3),1)*Pension</f>
        <v>211732.90073956715</v>
      </c>
      <c r="C566" s="37">
        <f t="shared" si="104"/>
        <v>46.918548939082818</v>
      </c>
      <c r="D566" s="37">
        <f>IFERROR(VLOOKUP(A566,Data!$I$3:$J$1442,2),0)</f>
        <v>8.6941708000000006E-2</v>
      </c>
      <c r="E566" s="37">
        <f t="shared" si="105"/>
        <v>8.6741708000000001E-2</v>
      </c>
      <c r="F566" s="37">
        <f t="shared" si="110"/>
        <v>1.7080888503599737E-2</v>
      </c>
      <c r="G566" s="30">
        <f t="shared" si="111"/>
        <v>3616.5860700762969</v>
      </c>
      <c r="H566" s="38">
        <f t="shared" si="106"/>
        <v>142</v>
      </c>
      <c r="I566" s="39">
        <f t="shared" si="107"/>
        <v>142.54346338124572</v>
      </c>
      <c r="J566" s="40">
        <f t="shared" si="108"/>
        <v>47</v>
      </c>
      <c r="K566" s="43">
        <f>VLOOKUP(J566,Data!$Z$3:$AA$122,2)</f>
        <v>0</v>
      </c>
      <c r="L566" s="41">
        <f t="shared" si="109"/>
        <v>0.54346338124571503</v>
      </c>
      <c r="M566" s="43">
        <f>VLOOKUP(H566,Data!$P$3:$X$122,9)</f>
        <v>0</v>
      </c>
      <c r="N566" s="43">
        <f t="shared" si="112"/>
        <v>0</v>
      </c>
      <c r="O566" s="43">
        <f t="shared" si="113"/>
        <v>0</v>
      </c>
      <c r="P566" s="30">
        <f t="shared" si="114"/>
        <v>0</v>
      </c>
      <c r="Q566" s="31">
        <f t="shared" si="116"/>
        <v>848340.75061972369</v>
      </c>
    </row>
    <row r="567" spans="1:17" x14ac:dyDescent="0.25">
      <c r="A567" s="6">
        <f t="shared" si="115"/>
        <v>60448</v>
      </c>
      <c r="B567" s="30">
        <f>IFERROR(VLOOKUP(A567, Data!$L$3:$N$123, 3),1)*Pension</f>
        <v>211732.90073956715</v>
      </c>
      <c r="C567" s="37">
        <f t="shared" si="104"/>
        <v>47.000684462696782</v>
      </c>
      <c r="D567" s="37">
        <f>IFERROR(VLOOKUP(A567,Data!$I$3:$J$1442,2),0)</f>
        <v>8.6912103000000004E-2</v>
      </c>
      <c r="E567" s="37">
        <f t="shared" si="105"/>
        <v>8.6712102999999999E-2</v>
      </c>
      <c r="F567" s="37">
        <f t="shared" si="110"/>
        <v>1.6983241891604533E-2</v>
      </c>
      <c r="G567" s="30">
        <f t="shared" si="111"/>
        <v>3595.9110696711614</v>
      </c>
      <c r="H567" s="38">
        <f t="shared" si="106"/>
        <v>142</v>
      </c>
      <c r="I567" s="39">
        <f t="shared" si="107"/>
        <v>142.62559890485969</v>
      </c>
      <c r="J567" s="40">
        <f t="shared" si="108"/>
        <v>47</v>
      </c>
      <c r="K567" s="43">
        <f>VLOOKUP(J567,Data!$Z$3:$AA$122,2)</f>
        <v>0</v>
      </c>
      <c r="L567" s="41">
        <f t="shared" si="109"/>
        <v>0.62559890485968594</v>
      </c>
      <c r="M567" s="43">
        <f>VLOOKUP(H567,Data!$P$3:$X$122,9)</f>
        <v>0</v>
      </c>
      <c r="N567" s="43">
        <f t="shared" si="112"/>
        <v>0</v>
      </c>
      <c r="O567" s="43">
        <f t="shared" si="113"/>
        <v>0</v>
      </c>
      <c r="P567" s="30">
        <f t="shared" si="114"/>
        <v>0</v>
      </c>
      <c r="Q567" s="31">
        <f t="shared" si="116"/>
        <v>848340.75061972369</v>
      </c>
    </row>
    <row r="568" spans="1:17" x14ac:dyDescent="0.25">
      <c r="A568" s="6">
        <f t="shared" si="115"/>
        <v>60479</v>
      </c>
      <c r="B568" s="30">
        <f>IFERROR(VLOOKUP(A568, Data!$L$3:$N$123, 3),1)*Pension</f>
        <v>211732.90073956715</v>
      </c>
      <c r="C568" s="37">
        <f t="shared" si="104"/>
        <v>47.08555783709788</v>
      </c>
      <c r="D568" s="37">
        <f>IFERROR(VLOOKUP(A568,Data!$I$3:$J$1442,2),0)</f>
        <v>8.6881620000000007E-2</v>
      </c>
      <c r="E568" s="37">
        <f t="shared" si="105"/>
        <v>8.6681620000000001E-2</v>
      </c>
      <c r="F568" s="37">
        <f t="shared" si="110"/>
        <v>1.6882926534861464E-2</v>
      </c>
      <c r="G568" s="30">
        <f t="shared" si="111"/>
        <v>3574.6710081992269</v>
      </c>
      <c r="H568" s="38">
        <f t="shared" si="106"/>
        <v>142</v>
      </c>
      <c r="I568" s="39">
        <f t="shared" si="107"/>
        <v>142.71047227926078</v>
      </c>
      <c r="J568" s="40">
        <f t="shared" si="108"/>
        <v>47</v>
      </c>
      <c r="K568" s="43">
        <f>VLOOKUP(J568,Data!$Z$3:$AA$122,2)</f>
        <v>0</v>
      </c>
      <c r="L568" s="41">
        <f t="shared" si="109"/>
        <v>0.71047227926078449</v>
      </c>
      <c r="M568" s="43">
        <f>VLOOKUP(H568,Data!$P$3:$X$122,9)</f>
        <v>0</v>
      </c>
      <c r="N568" s="43">
        <f t="shared" si="112"/>
        <v>0</v>
      </c>
      <c r="O568" s="43">
        <f t="shared" si="113"/>
        <v>0</v>
      </c>
      <c r="P568" s="30">
        <f t="shared" si="114"/>
        <v>0</v>
      </c>
      <c r="Q568" s="31">
        <f t="shared" si="116"/>
        <v>848340.75061972369</v>
      </c>
    </row>
    <row r="569" spans="1:17" x14ac:dyDescent="0.25">
      <c r="A569" s="6">
        <f t="shared" si="115"/>
        <v>60510</v>
      </c>
      <c r="B569" s="30">
        <f>IFERROR(VLOOKUP(A569, Data!$L$3:$N$123, 3),1)*Pension</f>
        <v>211732.90073956715</v>
      </c>
      <c r="C569" s="37">
        <f t="shared" si="104"/>
        <v>47.170431211498972</v>
      </c>
      <c r="D569" s="37">
        <f>IFERROR(VLOOKUP(A569,Data!$I$3:$J$1442,2),0)</f>
        <v>8.6851247000000006E-2</v>
      </c>
      <c r="E569" s="37">
        <f t="shared" si="105"/>
        <v>8.6651247000000001E-2</v>
      </c>
      <c r="F569" s="37">
        <f t="shared" si="110"/>
        <v>1.6783203472484728E-2</v>
      </c>
      <c r="G569" s="30">
        <f t="shared" si="111"/>
        <v>3553.5563549315675</v>
      </c>
      <c r="H569" s="38">
        <f t="shared" si="106"/>
        <v>142</v>
      </c>
      <c r="I569" s="39">
        <f t="shared" si="107"/>
        <v>142.79534565366188</v>
      </c>
      <c r="J569" s="40">
        <f t="shared" si="108"/>
        <v>47</v>
      </c>
      <c r="K569" s="43">
        <f>VLOOKUP(J569,Data!$Z$3:$AA$122,2)</f>
        <v>0</v>
      </c>
      <c r="L569" s="41">
        <f t="shared" si="109"/>
        <v>0.79534565366188303</v>
      </c>
      <c r="M569" s="43">
        <f>VLOOKUP(H569,Data!$P$3:$X$122,9)</f>
        <v>0</v>
      </c>
      <c r="N569" s="43">
        <f t="shared" si="112"/>
        <v>0</v>
      </c>
      <c r="O569" s="43">
        <f t="shared" si="113"/>
        <v>0</v>
      </c>
      <c r="P569" s="30">
        <f t="shared" si="114"/>
        <v>0</v>
      </c>
      <c r="Q569" s="31">
        <f t="shared" si="116"/>
        <v>848340.75061972369</v>
      </c>
    </row>
    <row r="570" spans="1:17" x14ac:dyDescent="0.25">
      <c r="A570" s="6">
        <f t="shared" si="115"/>
        <v>60540</v>
      </c>
      <c r="B570" s="30">
        <f>IFERROR(VLOOKUP(A570, Data!$L$3:$N$123, 3),1)*Pension</f>
        <v>211732.90073956715</v>
      </c>
      <c r="C570" s="37">
        <f t="shared" si="104"/>
        <v>47.252566735112936</v>
      </c>
      <c r="D570" s="37">
        <f>IFERROR(VLOOKUP(A570,Data!$I$3:$J$1442,2),0)</f>
        <v>8.6821958000000005E-2</v>
      </c>
      <c r="E570" s="37">
        <f t="shared" si="105"/>
        <v>8.6621957999999999E-2</v>
      </c>
      <c r="F570" s="37">
        <f t="shared" si="110"/>
        <v>1.6687257894508686E-2</v>
      </c>
      <c r="G570" s="30">
        <f t="shared" si="111"/>
        <v>3533.2415193935658</v>
      </c>
      <c r="H570" s="38">
        <f t="shared" si="106"/>
        <v>142</v>
      </c>
      <c r="I570" s="39">
        <f t="shared" si="107"/>
        <v>142.87748117727583</v>
      </c>
      <c r="J570" s="40">
        <f t="shared" si="108"/>
        <v>47</v>
      </c>
      <c r="K570" s="43">
        <f>VLOOKUP(J570,Data!$Z$3:$AA$122,2)</f>
        <v>0</v>
      </c>
      <c r="L570" s="41">
        <f t="shared" si="109"/>
        <v>0.87748117727582553</v>
      </c>
      <c r="M570" s="43">
        <f>VLOOKUP(H570,Data!$P$3:$X$122,9)</f>
        <v>0</v>
      </c>
      <c r="N570" s="43">
        <f t="shared" si="112"/>
        <v>0</v>
      </c>
      <c r="O570" s="43">
        <f t="shared" si="113"/>
        <v>0</v>
      </c>
      <c r="P570" s="30">
        <f t="shared" si="114"/>
        <v>0</v>
      </c>
      <c r="Q570" s="31">
        <f t="shared" si="116"/>
        <v>848340.75061972369</v>
      </c>
    </row>
    <row r="571" spans="1:17" x14ac:dyDescent="0.25">
      <c r="A571" s="6">
        <f t="shared" si="115"/>
        <v>60571</v>
      </c>
      <c r="B571" s="30">
        <f>IFERROR(VLOOKUP(A571, Data!$L$3:$N$123, 3),1)*Pension</f>
        <v>211732.90073956715</v>
      </c>
      <c r="C571" s="37">
        <f t="shared" si="104"/>
        <v>47.337440109514034</v>
      </c>
      <c r="D571" s="37">
        <f>IFERROR(VLOOKUP(A571,Data!$I$3:$J$1442,2),0)</f>
        <v>8.6791799000000003E-2</v>
      </c>
      <c r="E571" s="37">
        <f t="shared" si="105"/>
        <v>8.6591798999999997E-2</v>
      </c>
      <c r="F571" s="37">
        <f t="shared" si="110"/>
        <v>1.6588690696572862E-2</v>
      </c>
      <c r="G571" s="30">
        <f t="shared" si="111"/>
        <v>3512.3716006568429</v>
      </c>
      <c r="H571" s="38">
        <f t="shared" si="106"/>
        <v>142</v>
      </c>
      <c r="I571" s="39">
        <f t="shared" si="107"/>
        <v>142.96235455167692</v>
      </c>
      <c r="J571" s="40">
        <f t="shared" si="108"/>
        <v>47</v>
      </c>
      <c r="K571" s="43">
        <f>VLOOKUP(J571,Data!$Z$3:$AA$122,2)</f>
        <v>0</v>
      </c>
      <c r="L571" s="41">
        <f t="shared" si="109"/>
        <v>0.96235455167692407</v>
      </c>
      <c r="M571" s="43">
        <f>VLOOKUP(H571,Data!$P$3:$X$122,9)</f>
        <v>0</v>
      </c>
      <c r="N571" s="43">
        <f t="shared" si="112"/>
        <v>0</v>
      </c>
      <c r="O571" s="43">
        <f t="shared" si="113"/>
        <v>0</v>
      </c>
      <c r="P571" s="30">
        <f t="shared" si="114"/>
        <v>0</v>
      </c>
      <c r="Q571" s="31">
        <f t="shared" si="116"/>
        <v>848340.75061972369</v>
      </c>
    </row>
    <row r="572" spans="1:17" x14ac:dyDescent="0.25">
      <c r="A572" s="6">
        <f t="shared" si="115"/>
        <v>60601</v>
      </c>
      <c r="B572" s="30">
        <f>IFERROR(VLOOKUP(A572, Data!$L$3:$N$123, 3),1)*Pension</f>
        <v>211732.90073956715</v>
      </c>
      <c r="C572" s="37">
        <f t="shared" si="104"/>
        <v>47.419575633127998</v>
      </c>
      <c r="D572" s="37">
        <f>IFERROR(VLOOKUP(A572,Data!$I$3:$J$1442,2),0)</f>
        <v>8.6762715000000004E-2</v>
      </c>
      <c r="E572" s="37">
        <f t="shared" si="105"/>
        <v>8.6562714999999998E-2</v>
      </c>
      <c r="F572" s="37">
        <f t="shared" si="110"/>
        <v>1.6493857980996601E-2</v>
      </c>
      <c r="G572" s="30">
        <f t="shared" si="111"/>
        <v>3492.2923947028708</v>
      </c>
      <c r="H572" s="38">
        <f t="shared" si="106"/>
        <v>143</v>
      </c>
      <c r="I572" s="39">
        <f t="shared" si="107"/>
        <v>143.04449007529089</v>
      </c>
      <c r="J572" s="40">
        <f t="shared" si="108"/>
        <v>48</v>
      </c>
      <c r="K572" s="43">
        <f>VLOOKUP(J572,Data!$Z$3:$AA$122,2)</f>
        <v>0</v>
      </c>
      <c r="L572" s="41">
        <f t="shared" si="109"/>
        <v>4.4490075290894993E-2</v>
      </c>
      <c r="M572" s="43">
        <f>VLOOKUP(H572,Data!$P$3:$X$122,9)</f>
        <v>0</v>
      </c>
      <c r="N572" s="43">
        <f t="shared" si="112"/>
        <v>0</v>
      </c>
      <c r="O572" s="43">
        <f t="shared" si="113"/>
        <v>0</v>
      </c>
      <c r="P572" s="30">
        <f t="shared" si="114"/>
        <v>0</v>
      </c>
      <c r="Q572" s="31">
        <f t="shared" si="116"/>
        <v>848340.75061972369</v>
      </c>
    </row>
    <row r="573" spans="1:17" x14ac:dyDescent="0.25">
      <c r="A573" s="6">
        <f t="shared" si="115"/>
        <v>60632</v>
      </c>
      <c r="B573" s="30">
        <f>IFERROR(VLOOKUP(A573, Data!$L$3:$N$123, 3),1)*Pension</f>
        <v>222319.54577654548</v>
      </c>
      <c r="C573" s="37">
        <f t="shared" si="104"/>
        <v>47.504449007529089</v>
      </c>
      <c r="D573" s="37">
        <f>IFERROR(VLOOKUP(A573,Data!$I$3:$J$1442,2),0)</f>
        <v>8.6732768000000002E-2</v>
      </c>
      <c r="E573" s="37">
        <f t="shared" si="105"/>
        <v>8.6532767999999996E-2</v>
      </c>
      <c r="F573" s="37">
        <f t="shared" si="110"/>
        <v>1.6396433047093751E-2</v>
      </c>
      <c r="G573" s="30">
        <f t="shared" si="111"/>
        <v>3645.2475473854224</v>
      </c>
      <c r="H573" s="38">
        <f t="shared" si="106"/>
        <v>143</v>
      </c>
      <c r="I573" s="39">
        <f t="shared" si="107"/>
        <v>143.12936344969199</v>
      </c>
      <c r="J573" s="40">
        <f t="shared" si="108"/>
        <v>48</v>
      </c>
      <c r="K573" s="43">
        <f>VLOOKUP(J573,Data!$Z$3:$AA$122,2)</f>
        <v>0</v>
      </c>
      <c r="L573" s="41">
        <f t="shared" si="109"/>
        <v>0.12936344969199354</v>
      </c>
      <c r="M573" s="43">
        <f>VLOOKUP(H573,Data!$P$3:$X$122,9)</f>
        <v>0</v>
      </c>
      <c r="N573" s="43">
        <f t="shared" si="112"/>
        <v>0</v>
      </c>
      <c r="O573" s="43">
        <f t="shared" si="113"/>
        <v>0</v>
      </c>
      <c r="P573" s="30">
        <f t="shared" si="114"/>
        <v>0</v>
      </c>
      <c r="Q573" s="31">
        <f t="shared" si="116"/>
        <v>848340.75061972369</v>
      </c>
    </row>
    <row r="574" spans="1:17" x14ac:dyDescent="0.25">
      <c r="A574" s="6">
        <f t="shared" si="115"/>
        <v>60663</v>
      </c>
      <c r="B574" s="30">
        <f>IFERROR(VLOOKUP(A574, Data!$L$3:$N$123, 3),1)*Pension</f>
        <v>222319.54577654548</v>
      </c>
      <c r="C574" s="37">
        <f t="shared" si="104"/>
        <v>47.589322381930188</v>
      </c>
      <c r="D574" s="37">
        <f>IFERROR(VLOOKUP(A574,Data!$I$3:$J$1442,2),0)</f>
        <v>8.6702927999999999E-2</v>
      </c>
      <c r="E574" s="37">
        <f t="shared" si="105"/>
        <v>8.6502927999999993E-2</v>
      </c>
      <c r="F574" s="37">
        <f t="shared" si="110"/>
        <v>1.6299583435946317E-2</v>
      </c>
      <c r="G574" s="30">
        <f t="shared" si="111"/>
        <v>3623.7159858264895</v>
      </c>
      <c r="H574" s="38">
        <f t="shared" si="106"/>
        <v>143</v>
      </c>
      <c r="I574" s="39">
        <f t="shared" si="107"/>
        <v>143.21423682409309</v>
      </c>
      <c r="J574" s="40">
        <f t="shared" si="108"/>
        <v>48</v>
      </c>
      <c r="K574" s="43">
        <f>VLOOKUP(J574,Data!$Z$3:$AA$122,2)</f>
        <v>0</v>
      </c>
      <c r="L574" s="41">
        <f t="shared" si="109"/>
        <v>0.21423682409309208</v>
      </c>
      <c r="M574" s="43">
        <f>VLOOKUP(H574,Data!$P$3:$X$122,9)</f>
        <v>0</v>
      </c>
      <c r="N574" s="43">
        <f t="shared" si="112"/>
        <v>0</v>
      </c>
      <c r="O574" s="43">
        <f t="shared" si="113"/>
        <v>0</v>
      </c>
      <c r="P574" s="30">
        <f t="shared" si="114"/>
        <v>0</v>
      </c>
      <c r="Q574" s="31">
        <f t="shared" si="116"/>
        <v>848340.75061972369</v>
      </c>
    </row>
    <row r="575" spans="1:17" x14ac:dyDescent="0.25">
      <c r="A575" s="6">
        <f t="shared" si="115"/>
        <v>60691</v>
      </c>
      <c r="B575" s="30">
        <f>IFERROR(VLOOKUP(A575, Data!$L$3:$N$123, 3),1)*Pension</f>
        <v>222319.54577654548</v>
      </c>
      <c r="C575" s="37">
        <f t="shared" si="104"/>
        <v>47.665982203969882</v>
      </c>
      <c r="D575" s="37">
        <f>IFERROR(VLOOKUP(A575,Data!$I$3:$J$1442,2),0)</f>
        <v>8.6676065999999996E-2</v>
      </c>
      <c r="E575" s="37">
        <f t="shared" si="105"/>
        <v>8.647606599999999E-2</v>
      </c>
      <c r="F575" s="37">
        <f t="shared" si="110"/>
        <v>1.6212598998922047E-2</v>
      </c>
      <c r="G575" s="30">
        <f t="shared" si="111"/>
        <v>3604.3776452976253</v>
      </c>
      <c r="H575" s="38">
        <f t="shared" si="106"/>
        <v>143</v>
      </c>
      <c r="I575" s="39">
        <f t="shared" si="107"/>
        <v>143.29089664613278</v>
      </c>
      <c r="J575" s="40">
        <f t="shared" si="108"/>
        <v>48</v>
      </c>
      <c r="K575" s="43">
        <f>VLOOKUP(J575,Data!$Z$3:$AA$122,2)</f>
        <v>0</v>
      </c>
      <c r="L575" s="41">
        <f t="shared" si="109"/>
        <v>0.29089664613277932</v>
      </c>
      <c r="M575" s="43">
        <f>VLOOKUP(H575,Data!$P$3:$X$122,9)</f>
        <v>0</v>
      </c>
      <c r="N575" s="43">
        <f t="shared" si="112"/>
        <v>0</v>
      </c>
      <c r="O575" s="43">
        <f t="shared" si="113"/>
        <v>0</v>
      </c>
      <c r="P575" s="30">
        <f t="shared" si="114"/>
        <v>0</v>
      </c>
      <c r="Q575" s="31">
        <f t="shared" si="116"/>
        <v>848340.75061972369</v>
      </c>
    </row>
    <row r="576" spans="1:17" x14ac:dyDescent="0.25">
      <c r="A576" s="6">
        <f t="shared" si="115"/>
        <v>60722</v>
      </c>
      <c r="B576" s="30">
        <f>IFERROR(VLOOKUP(A576, Data!$L$3:$N$123, 3),1)*Pension</f>
        <v>222319.54577654548</v>
      </c>
      <c r="C576" s="37">
        <f t="shared" si="104"/>
        <v>47.750855578370981</v>
      </c>
      <c r="D576" s="37">
        <f>IFERROR(VLOOKUP(A576,Data!$I$3:$J$1442,2),0)</f>
        <v>8.6646427999999998E-2</v>
      </c>
      <c r="E576" s="37">
        <f t="shared" si="105"/>
        <v>8.6446427999999992E-2</v>
      </c>
      <c r="F576" s="37">
        <f t="shared" si="110"/>
        <v>1.6116835039279839E-2</v>
      </c>
      <c r="G576" s="30">
        <f t="shared" si="111"/>
        <v>3583.0874452882063</v>
      </c>
      <c r="H576" s="38">
        <f t="shared" si="106"/>
        <v>143</v>
      </c>
      <c r="I576" s="39">
        <f t="shared" si="107"/>
        <v>143.37577002053388</v>
      </c>
      <c r="J576" s="40">
        <f t="shared" si="108"/>
        <v>48</v>
      </c>
      <c r="K576" s="43">
        <f>VLOOKUP(J576,Data!$Z$3:$AA$122,2)</f>
        <v>0</v>
      </c>
      <c r="L576" s="41">
        <f t="shared" si="109"/>
        <v>0.37577002053387787</v>
      </c>
      <c r="M576" s="43">
        <f>VLOOKUP(H576,Data!$P$3:$X$122,9)</f>
        <v>0</v>
      </c>
      <c r="N576" s="43">
        <f t="shared" si="112"/>
        <v>0</v>
      </c>
      <c r="O576" s="43">
        <f t="shared" si="113"/>
        <v>0</v>
      </c>
      <c r="P576" s="30">
        <f t="shared" si="114"/>
        <v>0</v>
      </c>
      <c r="Q576" s="31">
        <f t="shared" si="116"/>
        <v>848340.75061972369</v>
      </c>
    </row>
    <row r="577" spans="1:17" x14ac:dyDescent="0.25">
      <c r="A577" s="6">
        <f t="shared" si="115"/>
        <v>60752</v>
      </c>
      <c r="B577" s="30">
        <f>IFERROR(VLOOKUP(A577, Data!$L$3:$N$123, 3),1)*Pension</f>
        <v>222319.54577654548</v>
      </c>
      <c r="C577" s="37">
        <f t="shared" si="104"/>
        <v>47.832991101984945</v>
      </c>
      <c r="D577" s="37">
        <f>IFERROR(VLOOKUP(A577,Data!$I$3:$J$1442,2),0)</f>
        <v>8.6617844999999999E-2</v>
      </c>
      <c r="E577" s="37">
        <f t="shared" si="105"/>
        <v>8.6417844999999993E-2</v>
      </c>
      <c r="F577" s="37">
        <f t="shared" si="110"/>
        <v>1.6024699778246269E-2</v>
      </c>
      <c r="G577" s="30">
        <f t="shared" si="111"/>
        <v>3562.6039759052196</v>
      </c>
      <c r="H577" s="38">
        <f t="shared" si="106"/>
        <v>143</v>
      </c>
      <c r="I577" s="39">
        <f t="shared" si="107"/>
        <v>143.45790554414785</v>
      </c>
      <c r="J577" s="40">
        <f t="shared" si="108"/>
        <v>48</v>
      </c>
      <c r="K577" s="43">
        <f>VLOOKUP(J577,Data!$Z$3:$AA$122,2)</f>
        <v>0</v>
      </c>
      <c r="L577" s="41">
        <f t="shared" si="109"/>
        <v>0.45790554414784879</v>
      </c>
      <c r="M577" s="43">
        <f>VLOOKUP(H577,Data!$P$3:$X$122,9)</f>
        <v>0</v>
      </c>
      <c r="N577" s="43">
        <f t="shared" si="112"/>
        <v>0</v>
      </c>
      <c r="O577" s="43">
        <f t="shared" si="113"/>
        <v>0</v>
      </c>
      <c r="P577" s="30">
        <f t="shared" si="114"/>
        <v>0</v>
      </c>
      <c r="Q577" s="31">
        <f t="shared" si="116"/>
        <v>848340.75061972369</v>
      </c>
    </row>
    <row r="578" spans="1:17" x14ac:dyDescent="0.25">
      <c r="A578" s="6">
        <f t="shared" si="115"/>
        <v>60783</v>
      </c>
      <c r="B578" s="30">
        <f>IFERROR(VLOOKUP(A578, Data!$L$3:$N$123, 3),1)*Pension</f>
        <v>222319.54577654548</v>
      </c>
      <c r="C578" s="37">
        <f t="shared" si="104"/>
        <v>47.917864476386036</v>
      </c>
      <c r="D578" s="37">
        <f>IFERROR(VLOOKUP(A578,Data!$I$3:$J$1442,2),0)</f>
        <v>8.6588413000000003E-2</v>
      </c>
      <c r="E578" s="37">
        <f t="shared" si="105"/>
        <v>8.6388412999999997E-2</v>
      </c>
      <c r="F578" s="37">
        <f t="shared" si="110"/>
        <v>1.5930046015402561E-2</v>
      </c>
      <c r="G578" s="30">
        <f t="shared" si="111"/>
        <v>3541.5605943437654</v>
      </c>
      <c r="H578" s="38">
        <f t="shared" si="106"/>
        <v>143</v>
      </c>
      <c r="I578" s="39">
        <f t="shared" si="107"/>
        <v>143.54277891854895</v>
      </c>
      <c r="J578" s="40">
        <f t="shared" si="108"/>
        <v>48</v>
      </c>
      <c r="K578" s="43">
        <f>VLOOKUP(J578,Data!$Z$3:$AA$122,2)</f>
        <v>0</v>
      </c>
      <c r="L578" s="41">
        <f t="shared" si="109"/>
        <v>0.54277891854894733</v>
      </c>
      <c r="M578" s="43">
        <f>VLOOKUP(H578,Data!$P$3:$X$122,9)</f>
        <v>0</v>
      </c>
      <c r="N578" s="43">
        <f t="shared" si="112"/>
        <v>0</v>
      </c>
      <c r="O578" s="43">
        <f t="shared" si="113"/>
        <v>0</v>
      </c>
      <c r="P578" s="30">
        <f t="shared" si="114"/>
        <v>0</v>
      </c>
      <c r="Q578" s="31">
        <f t="shared" si="116"/>
        <v>848340.75061972369</v>
      </c>
    </row>
    <row r="579" spans="1:17" x14ac:dyDescent="0.25">
      <c r="A579" s="6">
        <f t="shared" si="115"/>
        <v>60813</v>
      </c>
      <c r="B579" s="30">
        <f>IFERROR(VLOOKUP(A579, Data!$L$3:$N$123, 3),1)*Pension</f>
        <v>222319.54577654548</v>
      </c>
      <c r="C579" s="37">
        <f t="shared" ref="C579:C642" si="117">(A579-EffDate)/365.25</f>
        <v>48</v>
      </c>
      <c r="D579" s="37">
        <f>IFERROR(VLOOKUP(A579,Data!$I$3:$J$1442,2),0)</f>
        <v>8.6560028999999997E-2</v>
      </c>
      <c r="E579" s="37">
        <f t="shared" ref="E579:E642" si="118">D579-Fees</f>
        <v>8.6360028999999991E-2</v>
      </c>
      <c r="F579" s="37">
        <f t="shared" si="110"/>
        <v>1.5838978362386253E-2</v>
      </c>
      <c r="G579" s="30">
        <f t="shared" si="111"/>
        <v>3521.3144750902438</v>
      </c>
      <c r="H579" s="38">
        <f t="shared" ref="H579:H642" si="119">IF(OR(A579 = DATE(YEAR(A579), MONTH(Date_of_Birth), DAY(Date_of_Birth)),AND(A579 = DATE(YEAR(A579), MONTH(Date_of_Birth), DAY(Date_of_Birth)-1), AND(MONTH(Date_of_Birth)=2, DAY(Date_of_Birth) = 29))), ROUND((A579-Date_of_Birth)/365.25,0),ROUNDDOWN((A579-Date_of_Birth)/365.25,0))</f>
        <v>143</v>
      </c>
      <c r="I579" s="39">
        <f t="shared" ref="I579:I642" si="120">IF(OR(A579 = DATE(YEAR(A579), MONTH(Date_of_Birth), DAY(Date_of_Birth)),AND(A579 = DATE(YEAR(A579), MONTH(Date_of_Birth), DAY(Date_of_Birth)-1), AND(MONTH(Date_of_Birth)=2, DAY(Date_of_Birth) = 29))), ROUND((A579-Date_of_Birth)/365.25,0),(A579-Date_of_Birth)/365.25)</f>
        <v>143.62491444216289</v>
      </c>
      <c r="J579" s="40">
        <f t="shared" ref="J579:J642" si="121">H579-StartAge</f>
        <v>48</v>
      </c>
      <c r="K579" s="43">
        <f>VLOOKUP(J579,Data!$Z$3:$AA$122,2)</f>
        <v>0</v>
      </c>
      <c r="L579" s="41">
        <f t="shared" ref="L579:L642" si="122">IF(A579&lt;=NextBirth,(A579-EffDate)/365.25,(I579-H579))</f>
        <v>0.62491444216288983</v>
      </c>
      <c r="M579" s="43">
        <f>VLOOKUP(H579,Data!$P$3:$X$122,9)</f>
        <v>0</v>
      </c>
      <c r="N579" s="43">
        <f t="shared" si="112"/>
        <v>0</v>
      </c>
      <c r="O579" s="43">
        <f t="shared" si="113"/>
        <v>0</v>
      </c>
      <c r="P579" s="30">
        <f t="shared" si="114"/>
        <v>0</v>
      </c>
      <c r="Q579" s="31">
        <f t="shared" si="116"/>
        <v>848340.75061972369</v>
      </c>
    </row>
    <row r="580" spans="1:17" x14ac:dyDescent="0.25">
      <c r="A580" s="6">
        <f t="shared" si="115"/>
        <v>60844</v>
      </c>
      <c r="B580" s="30">
        <f>IFERROR(VLOOKUP(A580, Data!$L$3:$N$123, 3),1)*Pension</f>
        <v>222319.54577654548</v>
      </c>
      <c r="C580" s="37">
        <f t="shared" si="117"/>
        <v>48.084873374401099</v>
      </c>
      <c r="D580" s="37">
        <f>IFERROR(VLOOKUP(A580,Data!$I$3:$J$1442,2),0)</f>
        <v>8.6530801000000004E-2</v>
      </c>
      <c r="E580" s="37">
        <f t="shared" si="118"/>
        <v>8.6330800999999999E-2</v>
      </c>
      <c r="F580" s="37">
        <f t="shared" ref="F580:F643" si="123">EXP(-E580*C580)</f>
        <v>1.574542181472811E-2</v>
      </c>
      <c r="G580" s="30">
        <f t="shared" ref="G580:G643" si="124">B580*F580</f>
        <v>3500.5150259104639</v>
      </c>
      <c r="H580" s="38">
        <f t="shared" si="119"/>
        <v>143</v>
      </c>
      <c r="I580" s="39">
        <f t="shared" si="120"/>
        <v>143.70978781656399</v>
      </c>
      <c r="J580" s="40">
        <f t="shared" si="121"/>
        <v>48</v>
      </c>
      <c r="K580" s="43">
        <f>VLOOKUP(J580,Data!$Z$3:$AA$122,2)</f>
        <v>0</v>
      </c>
      <c r="L580" s="41">
        <f t="shared" si="122"/>
        <v>0.70978781656398837</v>
      </c>
      <c r="M580" s="43">
        <f>VLOOKUP(H580,Data!$P$3:$X$122,9)</f>
        <v>0</v>
      </c>
      <c r="N580" s="43">
        <f t="shared" ref="N580:N643" si="125">IF(M580=0, 0, EXP(-L580*M580))</f>
        <v>0</v>
      </c>
      <c r="O580" s="43">
        <f t="shared" ref="O580:O643" si="126">K580*N580</f>
        <v>0</v>
      </c>
      <c r="P580" s="30">
        <f t="shared" ref="P580:P643" si="127">G580*O580</f>
        <v>0</v>
      </c>
      <c r="Q580" s="31">
        <f t="shared" si="116"/>
        <v>848340.75061972369</v>
      </c>
    </row>
    <row r="581" spans="1:17" x14ac:dyDescent="0.25">
      <c r="A581" s="6">
        <f t="shared" ref="A581:A644" si="128">EOMONTH(A580,1)</f>
        <v>60875</v>
      </c>
      <c r="B581" s="30">
        <f>IFERROR(VLOOKUP(A581, Data!$L$3:$N$123, 3),1)*Pension</f>
        <v>222319.54577654548</v>
      </c>
      <c r="C581" s="37">
        <f t="shared" si="117"/>
        <v>48.16974674880219</v>
      </c>
      <c r="D581" s="37">
        <f>IFERROR(VLOOKUP(A581,Data!$I$3:$J$1442,2),0)</f>
        <v>8.6501676E-2</v>
      </c>
      <c r="E581" s="37">
        <f t="shared" si="118"/>
        <v>8.6301675999999994E-2</v>
      </c>
      <c r="F581" s="37">
        <f t="shared" si="123"/>
        <v>1.5652417878241384E-2</v>
      </c>
      <c r="G581" s="30">
        <f t="shared" si="124"/>
        <v>3479.8384329953042</v>
      </c>
      <c r="H581" s="38">
        <f t="shared" si="119"/>
        <v>143</v>
      </c>
      <c r="I581" s="39">
        <f t="shared" si="120"/>
        <v>143.79466119096509</v>
      </c>
      <c r="J581" s="40">
        <f t="shared" si="121"/>
        <v>48</v>
      </c>
      <c r="K581" s="43">
        <f>VLOOKUP(J581,Data!$Z$3:$AA$122,2)</f>
        <v>0</v>
      </c>
      <c r="L581" s="41">
        <f t="shared" si="122"/>
        <v>0.79466119096508692</v>
      </c>
      <c r="M581" s="43">
        <f>VLOOKUP(H581,Data!$P$3:$X$122,9)</f>
        <v>0</v>
      </c>
      <c r="N581" s="43">
        <f t="shared" si="125"/>
        <v>0</v>
      </c>
      <c r="O581" s="43">
        <f t="shared" si="126"/>
        <v>0</v>
      </c>
      <c r="P581" s="30">
        <f t="shared" si="127"/>
        <v>0</v>
      </c>
      <c r="Q581" s="31">
        <f t="shared" ref="Q581:Q644" si="129">Q580+P581</f>
        <v>848340.75061972369</v>
      </c>
    </row>
    <row r="582" spans="1:17" x14ac:dyDescent="0.25">
      <c r="A582" s="6">
        <f t="shared" si="128"/>
        <v>60905</v>
      </c>
      <c r="B582" s="30">
        <f>IFERROR(VLOOKUP(A582, Data!$L$3:$N$123, 3),1)*Pension</f>
        <v>222319.54577654548</v>
      </c>
      <c r="C582" s="37">
        <f t="shared" si="117"/>
        <v>48.251882272416154</v>
      </c>
      <c r="D582" s="37">
        <f>IFERROR(VLOOKUP(A582,Data!$I$3:$J$1442,2),0)</f>
        <v>8.6473588000000004E-2</v>
      </c>
      <c r="E582" s="37">
        <f t="shared" si="118"/>
        <v>8.6273587999999998E-2</v>
      </c>
      <c r="F582" s="37">
        <f t="shared" si="123"/>
        <v>1.5562937209091731E-2</v>
      </c>
      <c r="G582" s="30">
        <f t="shared" si="124"/>
        <v>3459.9451312741721</v>
      </c>
      <c r="H582" s="38">
        <f t="shared" si="119"/>
        <v>143</v>
      </c>
      <c r="I582" s="39">
        <f t="shared" si="120"/>
        <v>143.87679671457906</v>
      </c>
      <c r="J582" s="40">
        <f t="shared" si="121"/>
        <v>48</v>
      </c>
      <c r="K582" s="43">
        <f>VLOOKUP(J582,Data!$Z$3:$AA$122,2)</f>
        <v>0</v>
      </c>
      <c r="L582" s="41">
        <f t="shared" si="122"/>
        <v>0.87679671457905783</v>
      </c>
      <c r="M582" s="43">
        <f>VLOOKUP(H582,Data!$P$3:$X$122,9)</f>
        <v>0</v>
      </c>
      <c r="N582" s="43">
        <f t="shared" si="125"/>
        <v>0</v>
      </c>
      <c r="O582" s="43">
        <f t="shared" si="126"/>
        <v>0</v>
      </c>
      <c r="P582" s="30">
        <f t="shared" si="127"/>
        <v>0</v>
      </c>
      <c r="Q582" s="31">
        <f t="shared" si="129"/>
        <v>848340.75061972369</v>
      </c>
    </row>
    <row r="583" spans="1:17" x14ac:dyDescent="0.25">
      <c r="A583" s="6">
        <f t="shared" si="128"/>
        <v>60936</v>
      </c>
      <c r="B583" s="30">
        <f>IFERROR(VLOOKUP(A583, Data!$L$3:$N$123, 3),1)*Pension</f>
        <v>222319.54577654548</v>
      </c>
      <c r="C583" s="37">
        <f t="shared" si="117"/>
        <v>48.336755646817245</v>
      </c>
      <c r="D583" s="37">
        <f>IFERROR(VLOOKUP(A583,Data!$I$3:$J$1442,2),0)</f>
        <v>8.6444664000000004E-2</v>
      </c>
      <c r="E583" s="37">
        <f t="shared" si="118"/>
        <v>8.6244663999999999E-2</v>
      </c>
      <c r="F583" s="37">
        <f t="shared" si="123"/>
        <v>1.5471011226308558E-2</v>
      </c>
      <c r="G583" s="30">
        <f t="shared" si="124"/>
        <v>3439.5081885367545</v>
      </c>
      <c r="H583" s="38">
        <f t="shared" si="119"/>
        <v>143</v>
      </c>
      <c r="I583" s="39">
        <f t="shared" si="120"/>
        <v>143.96167008898016</v>
      </c>
      <c r="J583" s="40">
        <f t="shared" si="121"/>
        <v>48</v>
      </c>
      <c r="K583" s="43">
        <f>VLOOKUP(J583,Data!$Z$3:$AA$122,2)</f>
        <v>0</v>
      </c>
      <c r="L583" s="41">
        <f t="shared" si="122"/>
        <v>0.96167008898015638</v>
      </c>
      <c r="M583" s="43">
        <f>VLOOKUP(H583,Data!$P$3:$X$122,9)</f>
        <v>0</v>
      </c>
      <c r="N583" s="43">
        <f t="shared" si="125"/>
        <v>0</v>
      </c>
      <c r="O583" s="43">
        <f t="shared" si="126"/>
        <v>0</v>
      </c>
      <c r="P583" s="30">
        <f t="shared" si="127"/>
        <v>0</v>
      </c>
      <c r="Q583" s="31">
        <f t="shared" si="129"/>
        <v>848340.75061972369</v>
      </c>
    </row>
    <row r="584" spans="1:17" x14ac:dyDescent="0.25">
      <c r="A584" s="6">
        <f t="shared" si="128"/>
        <v>60966</v>
      </c>
      <c r="B584" s="30">
        <f>IFERROR(VLOOKUP(A584, Data!$L$3:$N$123, 3),1)*Pension</f>
        <v>222319.54577654548</v>
      </c>
      <c r="C584" s="37">
        <f t="shared" si="117"/>
        <v>48.418891170431209</v>
      </c>
      <c r="D584" s="37">
        <f>IFERROR(VLOOKUP(A584,Data!$I$3:$J$1442,2),0)</f>
        <v>8.6416770000000004E-2</v>
      </c>
      <c r="E584" s="37">
        <f t="shared" si="118"/>
        <v>8.6216769999999998E-2</v>
      </c>
      <c r="F584" s="37">
        <f t="shared" si="123"/>
        <v>1.5382567308637695E-2</v>
      </c>
      <c r="G584" s="30">
        <f t="shared" si="124"/>
        <v>3419.8453769334701</v>
      </c>
      <c r="H584" s="38">
        <f t="shared" si="119"/>
        <v>144</v>
      </c>
      <c r="I584" s="39">
        <f t="shared" si="120"/>
        <v>144.04380561259413</v>
      </c>
      <c r="J584" s="40">
        <f t="shared" si="121"/>
        <v>49</v>
      </c>
      <c r="K584" s="43">
        <f>VLOOKUP(J584,Data!$Z$3:$AA$122,2)</f>
        <v>0</v>
      </c>
      <c r="L584" s="41">
        <f t="shared" si="122"/>
        <v>4.3805612594127297E-2</v>
      </c>
      <c r="M584" s="43">
        <f>VLOOKUP(H584,Data!$P$3:$X$122,9)</f>
        <v>0</v>
      </c>
      <c r="N584" s="43">
        <f t="shared" si="125"/>
        <v>0</v>
      </c>
      <c r="O584" s="43">
        <f t="shared" si="126"/>
        <v>0</v>
      </c>
      <c r="P584" s="30">
        <f t="shared" si="127"/>
        <v>0</v>
      </c>
      <c r="Q584" s="31">
        <f t="shared" si="129"/>
        <v>848340.75061972369</v>
      </c>
    </row>
    <row r="585" spans="1:17" x14ac:dyDescent="0.25">
      <c r="A585" s="6">
        <f t="shared" si="128"/>
        <v>60997</v>
      </c>
      <c r="B585" s="30">
        <f>IFERROR(VLOOKUP(A585, Data!$L$3:$N$123, 3),1)*Pension</f>
        <v>233435.52306537278</v>
      </c>
      <c r="C585" s="37">
        <f t="shared" si="117"/>
        <v>48.503764544832308</v>
      </c>
      <c r="D585" s="37">
        <f>IFERROR(VLOOKUP(A585,Data!$I$3:$J$1442,2),0)</f>
        <v>8.6388044999999997E-2</v>
      </c>
      <c r="E585" s="37">
        <f t="shared" si="118"/>
        <v>8.6188044999999991E-2</v>
      </c>
      <c r="F585" s="37">
        <f t="shared" si="123"/>
        <v>1.5291706731132029E-2</v>
      </c>
      <c r="G585" s="30">
        <f t="shared" si="124"/>
        <v>3569.6275593440869</v>
      </c>
      <c r="H585" s="38">
        <f t="shared" si="119"/>
        <v>144</v>
      </c>
      <c r="I585" s="39">
        <f t="shared" si="120"/>
        <v>144.1286789869952</v>
      </c>
      <c r="J585" s="40">
        <f t="shared" si="121"/>
        <v>49</v>
      </c>
      <c r="K585" s="43">
        <f>VLOOKUP(J585,Data!$Z$3:$AA$122,2)</f>
        <v>0</v>
      </c>
      <c r="L585" s="41">
        <f t="shared" si="122"/>
        <v>0.12867898699519742</v>
      </c>
      <c r="M585" s="43">
        <f>VLOOKUP(H585,Data!$P$3:$X$122,9)</f>
        <v>0</v>
      </c>
      <c r="N585" s="43">
        <f t="shared" si="125"/>
        <v>0</v>
      </c>
      <c r="O585" s="43">
        <f t="shared" si="126"/>
        <v>0</v>
      </c>
      <c r="P585" s="30">
        <f t="shared" si="127"/>
        <v>0</v>
      </c>
      <c r="Q585" s="31">
        <f t="shared" si="129"/>
        <v>848340.75061972369</v>
      </c>
    </row>
    <row r="586" spans="1:17" x14ac:dyDescent="0.25">
      <c r="A586" s="6">
        <f t="shared" si="128"/>
        <v>61028</v>
      </c>
      <c r="B586" s="30">
        <f>IFERROR(VLOOKUP(A586, Data!$L$3:$N$123, 3),1)*Pension</f>
        <v>233435.52306537278</v>
      </c>
      <c r="C586" s="37">
        <f t="shared" si="117"/>
        <v>48.588637919233399</v>
      </c>
      <c r="D586" s="37">
        <f>IFERROR(VLOOKUP(A586,Data!$I$3:$J$1442,2),0)</f>
        <v>8.6359420000000006E-2</v>
      </c>
      <c r="E586" s="37">
        <f t="shared" si="118"/>
        <v>8.615942E-2</v>
      </c>
      <c r="F586" s="37">
        <f t="shared" si="123"/>
        <v>1.520138310208787E-2</v>
      </c>
      <c r="G586" s="30">
        <f t="shared" si="124"/>
        <v>3548.5428157530009</v>
      </c>
      <c r="H586" s="38">
        <f t="shared" si="119"/>
        <v>144</v>
      </c>
      <c r="I586" s="39">
        <f t="shared" si="120"/>
        <v>144.2135523613963</v>
      </c>
      <c r="J586" s="40">
        <f t="shared" si="121"/>
        <v>49</v>
      </c>
      <c r="K586" s="43">
        <f>VLOOKUP(J586,Data!$Z$3:$AA$122,2)</f>
        <v>0</v>
      </c>
      <c r="L586" s="41">
        <f t="shared" si="122"/>
        <v>0.21355236139629596</v>
      </c>
      <c r="M586" s="43">
        <f>VLOOKUP(H586,Data!$P$3:$X$122,9)</f>
        <v>0</v>
      </c>
      <c r="N586" s="43">
        <f t="shared" si="125"/>
        <v>0</v>
      </c>
      <c r="O586" s="43">
        <f t="shared" si="126"/>
        <v>0</v>
      </c>
      <c r="P586" s="30">
        <f t="shared" si="127"/>
        <v>0</v>
      </c>
      <c r="Q586" s="31">
        <f t="shared" si="129"/>
        <v>848340.75061972369</v>
      </c>
    </row>
    <row r="587" spans="1:17" x14ac:dyDescent="0.25">
      <c r="A587" s="6">
        <f t="shared" si="128"/>
        <v>61056</v>
      </c>
      <c r="B587" s="30">
        <f>IFERROR(VLOOKUP(A587, Data!$L$3:$N$123, 3),1)*Pension</f>
        <v>233435.52306537278</v>
      </c>
      <c r="C587" s="37">
        <f t="shared" si="117"/>
        <v>48.6652977412731</v>
      </c>
      <c r="D587" s="37">
        <f>IFERROR(VLOOKUP(A587,Data!$I$3:$J$1442,2),0)</f>
        <v>8.6333650999999997E-2</v>
      </c>
      <c r="E587" s="37">
        <f t="shared" si="118"/>
        <v>8.6133650999999992E-2</v>
      </c>
      <c r="F587" s="37">
        <f t="shared" si="123"/>
        <v>1.512025911022556E-2</v>
      </c>
      <c r="G587" s="30">
        <f t="shared" si="124"/>
        <v>3529.6055942794715</v>
      </c>
      <c r="H587" s="38">
        <f t="shared" si="119"/>
        <v>144</v>
      </c>
      <c r="I587" s="39">
        <f t="shared" si="120"/>
        <v>144.29021218343601</v>
      </c>
      <c r="J587" s="40">
        <f t="shared" si="121"/>
        <v>49</v>
      </c>
      <c r="K587" s="43">
        <f>VLOOKUP(J587,Data!$Z$3:$AA$122,2)</f>
        <v>0</v>
      </c>
      <c r="L587" s="41">
        <f t="shared" si="122"/>
        <v>0.29021218343601163</v>
      </c>
      <c r="M587" s="43">
        <f>VLOOKUP(H587,Data!$P$3:$X$122,9)</f>
        <v>0</v>
      </c>
      <c r="N587" s="43">
        <f t="shared" si="125"/>
        <v>0</v>
      </c>
      <c r="O587" s="43">
        <f t="shared" si="126"/>
        <v>0</v>
      </c>
      <c r="P587" s="30">
        <f t="shared" si="127"/>
        <v>0</v>
      </c>
      <c r="Q587" s="31">
        <f t="shared" si="129"/>
        <v>848340.75061972369</v>
      </c>
    </row>
    <row r="588" spans="1:17" x14ac:dyDescent="0.25">
      <c r="A588" s="6">
        <f t="shared" si="128"/>
        <v>61087</v>
      </c>
      <c r="B588" s="30">
        <f>IFERROR(VLOOKUP(A588, Data!$L$3:$N$123, 3),1)*Pension</f>
        <v>233435.52306537278</v>
      </c>
      <c r="C588" s="37">
        <f t="shared" si="117"/>
        <v>48.750171115674199</v>
      </c>
      <c r="D588" s="37">
        <f>IFERROR(VLOOKUP(A588,Data!$I$3:$J$1442,2),0)</f>
        <v>8.6305216000000004E-2</v>
      </c>
      <c r="E588" s="37">
        <f t="shared" si="118"/>
        <v>8.6105215999999998E-2</v>
      </c>
      <c r="F588" s="37">
        <f t="shared" si="123"/>
        <v>1.5030947840701149E-2</v>
      </c>
      <c r="G588" s="30">
        <f t="shared" si="124"/>
        <v>3508.7571713624079</v>
      </c>
      <c r="H588" s="38">
        <f t="shared" si="119"/>
        <v>144</v>
      </c>
      <c r="I588" s="39">
        <f t="shared" si="120"/>
        <v>144.37508555783711</v>
      </c>
      <c r="J588" s="40">
        <f t="shared" si="121"/>
        <v>49</v>
      </c>
      <c r="K588" s="43">
        <f>VLOOKUP(J588,Data!$Z$3:$AA$122,2)</f>
        <v>0</v>
      </c>
      <c r="L588" s="41">
        <f t="shared" si="122"/>
        <v>0.37508555783711017</v>
      </c>
      <c r="M588" s="43">
        <f>VLOOKUP(H588,Data!$P$3:$X$122,9)</f>
        <v>0</v>
      </c>
      <c r="N588" s="43">
        <f t="shared" si="125"/>
        <v>0</v>
      </c>
      <c r="O588" s="43">
        <f t="shared" si="126"/>
        <v>0</v>
      </c>
      <c r="P588" s="30">
        <f t="shared" si="127"/>
        <v>0</v>
      </c>
      <c r="Q588" s="31">
        <f t="shared" si="129"/>
        <v>848340.75061972369</v>
      </c>
    </row>
    <row r="589" spans="1:17" x14ac:dyDescent="0.25">
      <c r="A589" s="6">
        <f t="shared" si="128"/>
        <v>61117</v>
      </c>
      <c r="B589" s="30">
        <f>IFERROR(VLOOKUP(A589, Data!$L$3:$N$123, 3),1)*Pension</f>
        <v>233435.52306537278</v>
      </c>
      <c r="C589" s="37">
        <f t="shared" si="117"/>
        <v>48.832306639288156</v>
      </c>
      <c r="D589" s="37">
        <f>IFERROR(VLOOKUP(A589,Data!$I$3:$J$1442,2),0)</f>
        <v>8.6277793000000005E-2</v>
      </c>
      <c r="E589" s="37">
        <f t="shared" si="118"/>
        <v>8.6077793E-2</v>
      </c>
      <c r="F589" s="37">
        <f t="shared" si="123"/>
        <v>1.4945019438033561E-2</v>
      </c>
      <c r="G589" s="30">
        <f t="shared" si="124"/>
        <v>3488.6984297395279</v>
      </c>
      <c r="H589" s="38">
        <f t="shared" si="119"/>
        <v>144</v>
      </c>
      <c r="I589" s="39">
        <f t="shared" si="120"/>
        <v>144.45722108145105</v>
      </c>
      <c r="J589" s="40">
        <f t="shared" si="121"/>
        <v>49</v>
      </c>
      <c r="K589" s="43">
        <f>VLOOKUP(J589,Data!$Z$3:$AA$122,2)</f>
        <v>0</v>
      </c>
      <c r="L589" s="41">
        <f t="shared" si="122"/>
        <v>0.45722108145105267</v>
      </c>
      <c r="M589" s="43">
        <f>VLOOKUP(H589,Data!$P$3:$X$122,9)</f>
        <v>0</v>
      </c>
      <c r="N589" s="43">
        <f t="shared" si="125"/>
        <v>0</v>
      </c>
      <c r="O589" s="43">
        <f t="shared" si="126"/>
        <v>0</v>
      </c>
      <c r="P589" s="30">
        <f t="shared" si="127"/>
        <v>0</v>
      </c>
      <c r="Q589" s="31">
        <f t="shared" si="129"/>
        <v>848340.75061972369</v>
      </c>
    </row>
    <row r="590" spans="1:17" x14ac:dyDescent="0.25">
      <c r="A590" s="6">
        <f t="shared" si="128"/>
        <v>61148</v>
      </c>
      <c r="B590" s="30">
        <f>IFERROR(VLOOKUP(A590, Data!$L$3:$N$123, 3),1)*Pension</f>
        <v>233435.52306537278</v>
      </c>
      <c r="C590" s="37">
        <f t="shared" si="117"/>
        <v>48.917180013689254</v>
      </c>
      <c r="D590" s="37">
        <f>IFERROR(VLOOKUP(A590,Data!$I$3:$J$1442,2),0)</f>
        <v>8.6249551999999993E-2</v>
      </c>
      <c r="E590" s="37">
        <f t="shared" si="118"/>
        <v>8.6049551999999987E-2</v>
      </c>
      <c r="F590" s="37">
        <f t="shared" si="123"/>
        <v>1.4856743259078967E-2</v>
      </c>
      <c r="G590" s="30">
        <f t="shared" si="124"/>
        <v>3468.0916337310496</v>
      </c>
      <c r="H590" s="38">
        <f t="shared" si="119"/>
        <v>144</v>
      </c>
      <c r="I590" s="39">
        <f t="shared" si="120"/>
        <v>144.54209445585215</v>
      </c>
      <c r="J590" s="40">
        <f t="shared" si="121"/>
        <v>49</v>
      </c>
      <c r="K590" s="43">
        <f>VLOOKUP(J590,Data!$Z$3:$AA$122,2)</f>
        <v>0</v>
      </c>
      <c r="L590" s="41">
        <f t="shared" si="122"/>
        <v>0.54209445585215121</v>
      </c>
      <c r="M590" s="43">
        <f>VLOOKUP(H590,Data!$P$3:$X$122,9)</f>
        <v>0</v>
      </c>
      <c r="N590" s="43">
        <f t="shared" si="125"/>
        <v>0</v>
      </c>
      <c r="O590" s="43">
        <f t="shared" si="126"/>
        <v>0</v>
      </c>
      <c r="P590" s="30">
        <f t="shared" si="127"/>
        <v>0</v>
      </c>
      <c r="Q590" s="31">
        <f t="shared" si="129"/>
        <v>848340.75061972369</v>
      </c>
    </row>
    <row r="591" spans="1:17" x14ac:dyDescent="0.25">
      <c r="A591" s="6">
        <f t="shared" si="128"/>
        <v>61178</v>
      </c>
      <c r="B591" s="30">
        <f>IFERROR(VLOOKUP(A591, Data!$L$3:$N$123, 3),1)*Pension</f>
        <v>233435.52306537278</v>
      </c>
      <c r="C591" s="37">
        <f t="shared" si="117"/>
        <v>48.999315537303218</v>
      </c>
      <c r="D591" s="37">
        <f>IFERROR(VLOOKUP(A591,Data!$I$3:$J$1442,2),0)</f>
        <v>8.6222314999999994E-2</v>
      </c>
      <c r="E591" s="37">
        <f t="shared" si="118"/>
        <v>8.6022314999999988E-2</v>
      </c>
      <c r="F591" s="37">
        <f t="shared" si="123"/>
        <v>1.4771811304527021E-2</v>
      </c>
      <c r="G591" s="30">
        <f t="shared" si="124"/>
        <v>3448.2654984952519</v>
      </c>
      <c r="H591" s="38">
        <f t="shared" si="119"/>
        <v>144</v>
      </c>
      <c r="I591" s="39">
        <f t="shared" si="120"/>
        <v>144.62422997946612</v>
      </c>
      <c r="J591" s="40">
        <f t="shared" si="121"/>
        <v>49</v>
      </c>
      <c r="K591" s="43">
        <f>VLOOKUP(J591,Data!$Z$3:$AA$122,2)</f>
        <v>0</v>
      </c>
      <c r="L591" s="41">
        <f t="shared" si="122"/>
        <v>0.62422997946612213</v>
      </c>
      <c r="M591" s="43">
        <f>VLOOKUP(H591,Data!$P$3:$X$122,9)</f>
        <v>0</v>
      </c>
      <c r="N591" s="43">
        <f t="shared" si="125"/>
        <v>0</v>
      </c>
      <c r="O591" s="43">
        <f t="shared" si="126"/>
        <v>0</v>
      </c>
      <c r="P591" s="30">
        <f t="shared" si="127"/>
        <v>0</v>
      </c>
      <c r="Q591" s="31">
        <f t="shared" si="129"/>
        <v>848340.75061972369</v>
      </c>
    </row>
    <row r="592" spans="1:17" x14ac:dyDescent="0.25">
      <c r="A592" s="6">
        <f t="shared" si="128"/>
        <v>61209</v>
      </c>
      <c r="B592" s="30">
        <f>IFERROR(VLOOKUP(A592, Data!$L$3:$N$123, 3),1)*Pension</f>
        <v>233435.52306537278</v>
      </c>
      <c r="C592" s="37">
        <f t="shared" si="117"/>
        <v>49.08418891170431</v>
      </c>
      <c r="D592" s="37">
        <f>IFERROR(VLOOKUP(A592,Data!$I$3:$J$1442,2),0)</f>
        <v>8.6194266000000005E-2</v>
      </c>
      <c r="E592" s="37">
        <f t="shared" si="118"/>
        <v>8.5994266E-2</v>
      </c>
      <c r="F592" s="37">
        <f t="shared" si="123"/>
        <v>1.468455823285876E-2</v>
      </c>
      <c r="G592" s="30">
        <f t="shared" si="124"/>
        <v>3427.8975320713107</v>
      </c>
      <c r="H592" s="38">
        <f t="shared" si="119"/>
        <v>144</v>
      </c>
      <c r="I592" s="39">
        <f t="shared" si="120"/>
        <v>144.70910335386722</v>
      </c>
      <c r="J592" s="40">
        <f t="shared" si="121"/>
        <v>49</v>
      </c>
      <c r="K592" s="43">
        <f>VLOOKUP(J592,Data!$Z$3:$AA$122,2)</f>
        <v>0</v>
      </c>
      <c r="L592" s="41">
        <f t="shared" si="122"/>
        <v>0.70910335386722068</v>
      </c>
      <c r="M592" s="43">
        <f>VLOOKUP(H592,Data!$P$3:$X$122,9)</f>
        <v>0</v>
      </c>
      <c r="N592" s="43">
        <f t="shared" si="125"/>
        <v>0</v>
      </c>
      <c r="O592" s="43">
        <f t="shared" si="126"/>
        <v>0</v>
      </c>
      <c r="P592" s="30">
        <f t="shared" si="127"/>
        <v>0</v>
      </c>
      <c r="Q592" s="31">
        <f t="shared" si="129"/>
        <v>848340.75061972369</v>
      </c>
    </row>
    <row r="593" spans="1:17" x14ac:dyDescent="0.25">
      <c r="A593" s="6">
        <f t="shared" si="128"/>
        <v>61240</v>
      </c>
      <c r="B593" s="30">
        <f>IFERROR(VLOOKUP(A593, Data!$L$3:$N$123, 3),1)*Pension</f>
        <v>233435.52306537278</v>
      </c>
      <c r="C593" s="37">
        <f t="shared" si="117"/>
        <v>49.169062286105408</v>
      </c>
      <c r="D593" s="37">
        <f>IFERROR(VLOOKUP(A593,Data!$I$3:$J$1442,2),0)</f>
        <v>8.6166312999999994E-2</v>
      </c>
      <c r="E593" s="37">
        <f t="shared" si="118"/>
        <v>8.5966312999999989E-2</v>
      </c>
      <c r="F593" s="37">
        <f t="shared" si="123"/>
        <v>1.459782113981406E-2</v>
      </c>
      <c r="G593" s="30">
        <f t="shared" si="124"/>
        <v>3407.6500133872514</v>
      </c>
      <c r="H593" s="38">
        <f t="shared" si="119"/>
        <v>144</v>
      </c>
      <c r="I593" s="39">
        <f t="shared" si="120"/>
        <v>144.79397672826832</v>
      </c>
      <c r="J593" s="40">
        <f t="shared" si="121"/>
        <v>49</v>
      </c>
      <c r="K593" s="43">
        <f>VLOOKUP(J593,Data!$Z$3:$AA$122,2)</f>
        <v>0</v>
      </c>
      <c r="L593" s="41">
        <f t="shared" si="122"/>
        <v>0.79397672826831922</v>
      </c>
      <c r="M593" s="43">
        <f>VLOOKUP(H593,Data!$P$3:$X$122,9)</f>
        <v>0</v>
      </c>
      <c r="N593" s="43">
        <f t="shared" si="125"/>
        <v>0</v>
      </c>
      <c r="O593" s="43">
        <f t="shared" si="126"/>
        <v>0</v>
      </c>
      <c r="P593" s="30">
        <f t="shared" si="127"/>
        <v>0</v>
      </c>
      <c r="Q593" s="31">
        <f t="shared" si="129"/>
        <v>848340.75061972369</v>
      </c>
    </row>
    <row r="594" spans="1:17" x14ac:dyDescent="0.25">
      <c r="A594" s="6">
        <f t="shared" si="128"/>
        <v>61270</v>
      </c>
      <c r="B594" s="30">
        <f>IFERROR(VLOOKUP(A594, Data!$L$3:$N$123, 3),1)*Pension</f>
        <v>233435.52306537278</v>
      </c>
      <c r="C594" s="37">
        <f t="shared" si="117"/>
        <v>49.251197809719372</v>
      </c>
      <c r="D594" s="37">
        <f>IFERROR(VLOOKUP(A594,Data!$I$3:$J$1442,2),0)</f>
        <v>8.6139355000000001E-2</v>
      </c>
      <c r="E594" s="37">
        <f t="shared" si="118"/>
        <v>8.5939354999999995E-2</v>
      </c>
      <c r="F594" s="37">
        <f t="shared" si="123"/>
        <v>1.4514368738390992E-2</v>
      </c>
      <c r="G594" s="30">
        <f t="shared" si="124"/>
        <v>3388.169258409996</v>
      </c>
      <c r="H594" s="38">
        <f t="shared" si="119"/>
        <v>144</v>
      </c>
      <c r="I594" s="39">
        <f t="shared" si="120"/>
        <v>144.87611225188226</v>
      </c>
      <c r="J594" s="40">
        <f t="shared" si="121"/>
        <v>49</v>
      </c>
      <c r="K594" s="43">
        <f>VLOOKUP(J594,Data!$Z$3:$AA$122,2)</f>
        <v>0</v>
      </c>
      <c r="L594" s="41">
        <f t="shared" si="122"/>
        <v>0.87611225188226172</v>
      </c>
      <c r="M594" s="43">
        <f>VLOOKUP(H594,Data!$P$3:$X$122,9)</f>
        <v>0</v>
      </c>
      <c r="N594" s="43">
        <f t="shared" si="125"/>
        <v>0</v>
      </c>
      <c r="O594" s="43">
        <f t="shared" si="126"/>
        <v>0</v>
      </c>
      <c r="P594" s="30">
        <f t="shared" si="127"/>
        <v>0</v>
      </c>
      <c r="Q594" s="31">
        <f t="shared" si="129"/>
        <v>848340.75061972369</v>
      </c>
    </row>
    <row r="595" spans="1:17" x14ac:dyDescent="0.25">
      <c r="A595" s="6">
        <f t="shared" si="128"/>
        <v>61301</v>
      </c>
      <c r="B595" s="30">
        <f>IFERROR(VLOOKUP(A595, Data!$L$3:$N$123, 3),1)*Pension</f>
        <v>233435.52306537278</v>
      </c>
      <c r="C595" s="37">
        <f t="shared" si="117"/>
        <v>49.336071184120463</v>
      </c>
      <c r="D595" s="37">
        <f>IFERROR(VLOOKUP(A595,Data!$I$3:$J$1442,2),0)</f>
        <v>8.6111591000000001E-2</v>
      </c>
      <c r="E595" s="37">
        <f t="shared" si="118"/>
        <v>8.5911590999999995E-2</v>
      </c>
      <c r="F595" s="37">
        <f t="shared" si="123"/>
        <v>1.442863696443368E-2</v>
      </c>
      <c r="G595" s="30">
        <f t="shared" si="124"/>
        <v>3368.1564169129488</v>
      </c>
      <c r="H595" s="38">
        <f t="shared" si="119"/>
        <v>144</v>
      </c>
      <c r="I595" s="39">
        <f t="shared" si="120"/>
        <v>144.96098562628336</v>
      </c>
      <c r="J595" s="40">
        <f t="shared" si="121"/>
        <v>49</v>
      </c>
      <c r="K595" s="43">
        <f>VLOOKUP(J595,Data!$Z$3:$AA$122,2)</f>
        <v>0</v>
      </c>
      <c r="L595" s="41">
        <f t="shared" si="122"/>
        <v>0.96098562628336026</v>
      </c>
      <c r="M595" s="43">
        <f>VLOOKUP(H595,Data!$P$3:$X$122,9)</f>
        <v>0</v>
      </c>
      <c r="N595" s="43">
        <f t="shared" si="125"/>
        <v>0</v>
      </c>
      <c r="O595" s="43">
        <f t="shared" si="126"/>
        <v>0</v>
      </c>
      <c r="P595" s="30">
        <f t="shared" si="127"/>
        <v>0</v>
      </c>
      <c r="Q595" s="31">
        <f t="shared" si="129"/>
        <v>848340.75061972369</v>
      </c>
    </row>
    <row r="596" spans="1:17" x14ac:dyDescent="0.25">
      <c r="A596" s="6">
        <f t="shared" si="128"/>
        <v>61331</v>
      </c>
      <c r="B596" s="30">
        <f>IFERROR(VLOOKUP(A596, Data!$L$3:$N$123, 3),1)*Pension</f>
        <v>233435.52306537278</v>
      </c>
      <c r="C596" s="37">
        <f t="shared" si="117"/>
        <v>49.418206707734427</v>
      </c>
      <c r="D596" s="37">
        <f>IFERROR(VLOOKUP(A596,Data!$I$3:$J$1442,2),0)</f>
        <v>8.6084814999999995E-2</v>
      </c>
      <c r="E596" s="37">
        <f t="shared" si="118"/>
        <v>8.5884814999999989E-2</v>
      </c>
      <c r="F596" s="37">
        <f t="shared" si="123"/>
        <v>1.4346151789407227E-2</v>
      </c>
      <c r="G596" s="30">
        <f t="shared" si="124"/>
        <v>3348.9014469355097</v>
      </c>
      <c r="H596" s="38">
        <f t="shared" si="119"/>
        <v>145</v>
      </c>
      <c r="I596" s="39">
        <f t="shared" si="120"/>
        <v>145.04312114989733</v>
      </c>
      <c r="J596" s="40">
        <f t="shared" si="121"/>
        <v>50</v>
      </c>
      <c r="K596" s="43">
        <f>VLOOKUP(J596,Data!$Z$3:$AA$122,2)</f>
        <v>0</v>
      </c>
      <c r="L596" s="41">
        <f t="shared" si="122"/>
        <v>4.3121149897331179E-2</v>
      </c>
      <c r="M596" s="43">
        <f>VLOOKUP(H596,Data!$P$3:$X$122,9)</f>
        <v>0</v>
      </c>
      <c r="N596" s="43">
        <f t="shared" si="125"/>
        <v>0</v>
      </c>
      <c r="O596" s="43">
        <f t="shared" si="126"/>
        <v>0</v>
      </c>
      <c r="P596" s="30">
        <f t="shared" si="127"/>
        <v>0</v>
      </c>
      <c r="Q596" s="31">
        <f t="shared" si="129"/>
        <v>848340.75061972369</v>
      </c>
    </row>
    <row r="597" spans="1:17" x14ac:dyDescent="0.25">
      <c r="A597" s="6">
        <f t="shared" si="128"/>
        <v>61362</v>
      </c>
      <c r="B597" s="30">
        <f>IFERROR(VLOOKUP(A597, Data!$L$3:$N$123, 3),1)*Pension</f>
        <v>245107.29921864142</v>
      </c>
      <c r="C597" s="37">
        <f t="shared" si="117"/>
        <v>49.503080082135526</v>
      </c>
      <c r="D597" s="37">
        <f>IFERROR(VLOOKUP(A597,Data!$I$3:$J$1442,2),0)</f>
        <v>8.6057238999999994E-2</v>
      </c>
      <c r="E597" s="37">
        <f t="shared" si="118"/>
        <v>8.5857238999999988E-2</v>
      </c>
      <c r="F597" s="37">
        <f t="shared" si="123"/>
        <v>1.426141303847471E-2</v>
      </c>
      <c r="G597" s="30">
        <f t="shared" si="124"/>
        <v>3495.5764329020549</v>
      </c>
      <c r="H597" s="38">
        <f t="shared" si="119"/>
        <v>145</v>
      </c>
      <c r="I597" s="39">
        <f t="shared" si="120"/>
        <v>145.12799452429843</v>
      </c>
      <c r="J597" s="40">
        <f t="shared" si="121"/>
        <v>50</v>
      </c>
      <c r="K597" s="43">
        <f>VLOOKUP(J597,Data!$Z$3:$AA$122,2)</f>
        <v>0</v>
      </c>
      <c r="L597" s="41">
        <f t="shared" si="122"/>
        <v>0.12799452429842972</v>
      </c>
      <c r="M597" s="43">
        <f>VLOOKUP(H597,Data!$P$3:$X$122,9)</f>
        <v>0</v>
      </c>
      <c r="N597" s="43">
        <f t="shared" si="125"/>
        <v>0</v>
      </c>
      <c r="O597" s="43">
        <f t="shared" si="126"/>
        <v>0</v>
      </c>
      <c r="P597" s="30">
        <f t="shared" si="127"/>
        <v>0</v>
      </c>
      <c r="Q597" s="31">
        <f t="shared" si="129"/>
        <v>848340.75061972369</v>
      </c>
    </row>
    <row r="598" spans="1:17" x14ac:dyDescent="0.25">
      <c r="A598" s="6">
        <f t="shared" si="128"/>
        <v>61393</v>
      </c>
      <c r="B598" s="30">
        <f>IFERROR(VLOOKUP(A598, Data!$L$3:$N$123, 3),1)*Pension</f>
        <v>245107.29921864142</v>
      </c>
      <c r="C598" s="37">
        <f t="shared" si="117"/>
        <v>49.587953456536617</v>
      </c>
      <c r="D598" s="37">
        <f>IFERROR(VLOOKUP(A598,Data!$I$3:$J$1442,2),0)</f>
        <v>8.6029756999999998E-2</v>
      </c>
      <c r="E598" s="37">
        <f t="shared" si="118"/>
        <v>8.5829756999999993E-2</v>
      </c>
      <c r="F598" s="37">
        <f t="shared" si="123"/>
        <v>1.4177175094754817E-2</v>
      </c>
      <c r="G598" s="30">
        <f t="shared" si="124"/>
        <v>3474.9290980251399</v>
      </c>
      <c r="H598" s="38">
        <f t="shared" si="119"/>
        <v>145</v>
      </c>
      <c r="I598" s="39">
        <f t="shared" si="120"/>
        <v>145.21286789869953</v>
      </c>
      <c r="J598" s="40">
        <f t="shared" si="121"/>
        <v>50</v>
      </c>
      <c r="K598" s="43">
        <f>VLOOKUP(J598,Data!$Z$3:$AA$122,2)</f>
        <v>0</v>
      </c>
      <c r="L598" s="41">
        <f t="shared" si="122"/>
        <v>0.21286789869952827</v>
      </c>
      <c r="M598" s="43">
        <f>VLOOKUP(H598,Data!$P$3:$X$122,9)</f>
        <v>0</v>
      </c>
      <c r="N598" s="43">
        <f t="shared" si="125"/>
        <v>0</v>
      </c>
      <c r="O598" s="43">
        <f t="shared" si="126"/>
        <v>0</v>
      </c>
      <c r="P598" s="30">
        <f t="shared" si="127"/>
        <v>0</v>
      </c>
      <c r="Q598" s="31">
        <f t="shared" si="129"/>
        <v>848340.75061972369</v>
      </c>
    </row>
    <row r="599" spans="1:17" x14ac:dyDescent="0.25">
      <c r="A599" s="6">
        <f t="shared" si="128"/>
        <v>61422</v>
      </c>
      <c r="B599" s="30">
        <f>IFERROR(VLOOKUP(A599, Data!$L$3:$N$123, 3),1)*Pension</f>
        <v>245107.29921864142</v>
      </c>
      <c r="C599" s="37">
        <f t="shared" si="117"/>
        <v>49.667351129363446</v>
      </c>
      <c r="D599" s="37">
        <f>IFERROR(VLOOKUP(A599,Data!$I$3:$J$1442,2),0)</f>
        <v>8.6004132999999997E-2</v>
      </c>
      <c r="E599" s="37">
        <f t="shared" si="118"/>
        <v>8.5804132999999991E-2</v>
      </c>
      <c r="F599" s="37">
        <f t="shared" si="123"/>
        <v>1.4098822410640515E-2</v>
      </c>
      <c r="G599" s="30">
        <f t="shared" si="124"/>
        <v>3455.7242832353522</v>
      </c>
      <c r="H599" s="38">
        <f t="shared" si="119"/>
        <v>145</v>
      </c>
      <c r="I599" s="39">
        <f t="shared" si="120"/>
        <v>145.29226557152634</v>
      </c>
      <c r="J599" s="40">
        <f t="shared" si="121"/>
        <v>50</v>
      </c>
      <c r="K599" s="43">
        <f>VLOOKUP(J599,Data!$Z$3:$AA$122,2)</f>
        <v>0</v>
      </c>
      <c r="L599" s="41">
        <f t="shared" si="122"/>
        <v>0.29226557152634314</v>
      </c>
      <c r="M599" s="43">
        <f>VLOOKUP(H599,Data!$P$3:$X$122,9)</f>
        <v>0</v>
      </c>
      <c r="N599" s="43">
        <f t="shared" si="125"/>
        <v>0</v>
      </c>
      <c r="O599" s="43">
        <f t="shared" si="126"/>
        <v>0</v>
      </c>
      <c r="P599" s="30">
        <f t="shared" si="127"/>
        <v>0</v>
      </c>
      <c r="Q599" s="31">
        <f t="shared" si="129"/>
        <v>848340.75061972369</v>
      </c>
    </row>
    <row r="600" spans="1:17" x14ac:dyDescent="0.25">
      <c r="A600" s="6">
        <f t="shared" si="128"/>
        <v>61453</v>
      </c>
      <c r="B600" s="30">
        <f>IFERROR(VLOOKUP(A600, Data!$L$3:$N$123, 3),1)*Pension</f>
        <v>245107.29921864142</v>
      </c>
      <c r="C600" s="37">
        <f t="shared" si="117"/>
        <v>49.752224503764545</v>
      </c>
      <c r="D600" s="37">
        <f>IFERROR(VLOOKUP(A600,Data!$I$3:$J$1442,2),0)</f>
        <v>8.5976833000000003E-2</v>
      </c>
      <c r="E600" s="37">
        <f t="shared" si="118"/>
        <v>8.5776832999999997E-2</v>
      </c>
      <c r="F600" s="37">
        <f t="shared" si="123"/>
        <v>1.4015544377382647E-2</v>
      </c>
      <c r="G600" s="30">
        <f t="shared" si="124"/>
        <v>3435.3122294192758</v>
      </c>
      <c r="H600" s="38">
        <f t="shared" si="119"/>
        <v>145</v>
      </c>
      <c r="I600" s="39">
        <f t="shared" si="120"/>
        <v>145.37713894592744</v>
      </c>
      <c r="J600" s="40">
        <f t="shared" si="121"/>
        <v>50</v>
      </c>
      <c r="K600" s="43">
        <f>VLOOKUP(J600,Data!$Z$3:$AA$122,2)</f>
        <v>0</v>
      </c>
      <c r="L600" s="41">
        <f t="shared" si="122"/>
        <v>0.37713894592744168</v>
      </c>
      <c r="M600" s="43">
        <f>VLOOKUP(H600,Data!$P$3:$X$122,9)</f>
        <v>0</v>
      </c>
      <c r="N600" s="43">
        <f t="shared" si="125"/>
        <v>0</v>
      </c>
      <c r="O600" s="43">
        <f t="shared" si="126"/>
        <v>0</v>
      </c>
      <c r="P600" s="30">
        <f t="shared" si="127"/>
        <v>0</v>
      </c>
      <c r="Q600" s="31">
        <f t="shared" si="129"/>
        <v>848340.75061972369</v>
      </c>
    </row>
    <row r="601" spans="1:17" x14ac:dyDescent="0.25">
      <c r="A601" s="6">
        <f t="shared" si="128"/>
        <v>61483</v>
      </c>
      <c r="B601" s="30">
        <f>IFERROR(VLOOKUP(A601, Data!$L$3:$N$123, 3),1)*Pension</f>
        <v>245107.29921864142</v>
      </c>
      <c r="C601" s="37">
        <f t="shared" si="117"/>
        <v>49.834360027378509</v>
      </c>
      <c r="D601" s="37">
        <f>IFERROR(VLOOKUP(A601,Data!$I$3:$J$1442,2),0)</f>
        <v>8.5950501999999998E-2</v>
      </c>
      <c r="E601" s="37">
        <f t="shared" si="118"/>
        <v>8.5750501999999992E-2</v>
      </c>
      <c r="F601" s="37">
        <f t="shared" si="123"/>
        <v>1.3935421245416474E-2</v>
      </c>
      <c r="G601" s="30">
        <f t="shared" si="124"/>
        <v>3415.6734649381083</v>
      </c>
      <c r="H601" s="38">
        <f t="shared" si="119"/>
        <v>145</v>
      </c>
      <c r="I601" s="39">
        <f t="shared" si="120"/>
        <v>145.45927446954141</v>
      </c>
      <c r="J601" s="40">
        <f t="shared" si="121"/>
        <v>50</v>
      </c>
      <c r="K601" s="43">
        <f>VLOOKUP(J601,Data!$Z$3:$AA$122,2)</f>
        <v>0</v>
      </c>
      <c r="L601" s="41">
        <f t="shared" si="122"/>
        <v>0.4592744695414126</v>
      </c>
      <c r="M601" s="43">
        <f>VLOOKUP(H601,Data!$P$3:$X$122,9)</f>
        <v>0</v>
      </c>
      <c r="N601" s="43">
        <f t="shared" si="125"/>
        <v>0</v>
      </c>
      <c r="O601" s="43">
        <f t="shared" si="126"/>
        <v>0</v>
      </c>
      <c r="P601" s="30">
        <f t="shared" si="127"/>
        <v>0</v>
      </c>
      <c r="Q601" s="31">
        <f t="shared" si="129"/>
        <v>848340.75061972369</v>
      </c>
    </row>
    <row r="602" spans="1:17" x14ac:dyDescent="0.25">
      <c r="A602" s="6">
        <f t="shared" si="128"/>
        <v>61514</v>
      </c>
      <c r="B602" s="30">
        <f>IFERROR(VLOOKUP(A602, Data!$L$3:$N$123, 3),1)*Pension</f>
        <v>245107.29921864142</v>
      </c>
      <c r="C602" s="37">
        <f t="shared" si="117"/>
        <v>49.9192334017796</v>
      </c>
      <c r="D602" s="37">
        <f>IFERROR(VLOOKUP(A602,Data!$I$3:$J$1442,2),0)</f>
        <v>8.5923384000000005E-2</v>
      </c>
      <c r="E602" s="37">
        <f t="shared" si="118"/>
        <v>8.5723384E-2</v>
      </c>
      <c r="F602" s="37">
        <f t="shared" si="123"/>
        <v>1.3853108738442255E-2</v>
      </c>
      <c r="G602" s="30">
        <f t="shared" si="124"/>
        <v>3395.4980686617419</v>
      </c>
      <c r="H602" s="38">
        <f t="shared" si="119"/>
        <v>145</v>
      </c>
      <c r="I602" s="39">
        <f t="shared" si="120"/>
        <v>145.54414784394251</v>
      </c>
      <c r="J602" s="40">
        <f t="shared" si="121"/>
        <v>50</v>
      </c>
      <c r="K602" s="43">
        <f>VLOOKUP(J602,Data!$Z$3:$AA$122,2)</f>
        <v>0</v>
      </c>
      <c r="L602" s="41">
        <f t="shared" si="122"/>
        <v>0.54414784394251114</v>
      </c>
      <c r="M602" s="43">
        <f>VLOOKUP(H602,Data!$P$3:$X$122,9)</f>
        <v>0</v>
      </c>
      <c r="N602" s="43">
        <f t="shared" si="125"/>
        <v>0</v>
      </c>
      <c r="O602" s="43">
        <f t="shared" si="126"/>
        <v>0</v>
      </c>
      <c r="P602" s="30">
        <f t="shared" si="127"/>
        <v>0</v>
      </c>
      <c r="Q602" s="31">
        <f t="shared" si="129"/>
        <v>848340.75061972369</v>
      </c>
    </row>
    <row r="603" spans="1:17" x14ac:dyDescent="0.25">
      <c r="A603" s="6">
        <f t="shared" si="128"/>
        <v>61544</v>
      </c>
      <c r="B603" s="30">
        <f>IFERROR(VLOOKUP(A603, Data!$L$3:$N$123, 3),1)*Pension</f>
        <v>245107.29921864142</v>
      </c>
      <c r="C603" s="37">
        <f t="shared" si="117"/>
        <v>50.001368925393564</v>
      </c>
      <c r="D603" s="37">
        <f>IFERROR(VLOOKUP(A603,Data!$I$3:$J$1442,2),0)</f>
        <v>8.5897229000000005E-2</v>
      </c>
      <c r="E603" s="37">
        <f t="shared" si="118"/>
        <v>8.5697229E-2</v>
      </c>
      <c r="F603" s="37">
        <f t="shared" si="123"/>
        <v>1.377391403324524E-2</v>
      </c>
      <c r="G603" s="30">
        <f t="shared" si="124"/>
        <v>3376.0868683584849</v>
      </c>
      <c r="H603" s="38">
        <f t="shared" si="119"/>
        <v>145</v>
      </c>
      <c r="I603" s="39">
        <f t="shared" si="120"/>
        <v>145.62628336755648</v>
      </c>
      <c r="J603" s="40">
        <f t="shared" si="121"/>
        <v>50</v>
      </c>
      <c r="K603" s="43">
        <f>VLOOKUP(J603,Data!$Z$3:$AA$122,2)</f>
        <v>0</v>
      </c>
      <c r="L603" s="41">
        <f t="shared" si="122"/>
        <v>0.62628336755648206</v>
      </c>
      <c r="M603" s="43">
        <f>VLOOKUP(H603,Data!$P$3:$X$122,9)</f>
        <v>0</v>
      </c>
      <c r="N603" s="43">
        <f t="shared" si="125"/>
        <v>0</v>
      </c>
      <c r="O603" s="43">
        <f t="shared" si="126"/>
        <v>0</v>
      </c>
      <c r="P603" s="30">
        <f t="shared" si="127"/>
        <v>0</v>
      </c>
      <c r="Q603" s="31">
        <f t="shared" si="129"/>
        <v>848340.75061972369</v>
      </c>
    </row>
    <row r="604" spans="1:17" x14ac:dyDescent="0.25">
      <c r="A604" s="6">
        <f t="shared" si="128"/>
        <v>61575</v>
      </c>
      <c r="B604" s="30">
        <f>IFERROR(VLOOKUP(A604, Data!$L$3:$N$123, 3),1)*Pension</f>
        <v>245107.29921864142</v>
      </c>
      <c r="C604" s="37">
        <f t="shared" si="117"/>
        <v>50.086242299794662</v>
      </c>
      <c r="D604" s="37">
        <f>IFERROR(VLOOKUP(A604,Data!$I$3:$J$1442,2),0)</f>
        <v>8.5870292000000001E-2</v>
      </c>
      <c r="E604" s="37">
        <f t="shared" si="118"/>
        <v>8.5670291999999995E-2</v>
      </c>
      <c r="F604" s="37">
        <f t="shared" si="123"/>
        <v>1.3692555294537655E-2</v>
      </c>
      <c r="G604" s="30">
        <f t="shared" si="124"/>
        <v>3356.145247646034</v>
      </c>
      <c r="H604" s="38">
        <f t="shared" si="119"/>
        <v>145</v>
      </c>
      <c r="I604" s="39">
        <f t="shared" si="120"/>
        <v>145.71115674195755</v>
      </c>
      <c r="J604" s="40">
        <f t="shared" si="121"/>
        <v>50</v>
      </c>
      <c r="K604" s="43">
        <f>VLOOKUP(J604,Data!$Z$3:$AA$122,2)</f>
        <v>0</v>
      </c>
      <c r="L604" s="41">
        <f t="shared" si="122"/>
        <v>0.71115674195755219</v>
      </c>
      <c r="M604" s="43">
        <f>VLOOKUP(H604,Data!$P$3:$X$122,9)</f>
        <v>0</v>
      </c>
      <c r="N604" s="43">
        <f t="shared" si="125"/>
        <v>0</v>
      </c>
      <c r="O604" s="43">
        <f t="shared" si="126"/>
        <v>0</v>
      </c>
      <c r="P604" s="30">
        <f t="shared" si="127"/>
        <v>0</v>
      </c>
      <c r="Q604" s="31">
        <f t="shared" si="129"/>
        <v>848340.75061972369</v>
      </c>
    </row>
    <row r="605" spans="1:17" x14ac:dyDescent="0.25">
      <c r="A605" s="6">
        <f t="shared" si="128"/>
        <v>61606</v>
      </c>
      <c r="B605" s="30">
        <f>IFERROR(VLOOKUP(A605, Data!$L$3:$N$123, 3),1)*Pension</f>
        <v>245107.29921864142</v>
      </c>
      <c r="C605" s="37">
        <f t="shared" si="117"/>
        <v>50.171115674195754</v>
      </c>
      <c r="D605" s="37">
        <f>IFERROR(VLOOKUP(A605,Data!$I$3:$J$1442,2),0)</f>
        <v>8.5843446000000004E-2</v>
      </c>
      <c r="E605" s="37">
        <f t="shared" si="118"/>
        <v>8.5643445999999998E-2</v>
      </c>
      <c r="F605" s="37">
        <f t="shared" si="123"/>
        <v>1.3611677213497392E-2</v>
      </c>
      <c r="G605" s="30">
        <f t="shared" si="124"/>
        <v>3336.3214396362687</v>
      </c>
      <c r="H605" s="38">
        <f t="shared" si="119"/>
        <v>145</v>
      </c>
      <c r="I605" s="39">
        <f t="shared" si="120"/>
        <v>145.79603011635865</v>
      </c>
      <c r="J605" s="40">
        <f t="shared" si="121"/>
        <v>50</v>
      </c>
      <c r="K605" s="43">
        <f>VLOOKUP(J605,Data!$Z$3:$AA$122,2)</f>
        <v>0</v>
      </c>
      <c r="L605" s="41">
        <f t="shared" si="122"/>
        <v>0.79603011635865073</v>
      </c>
      <c r="M605" s="43">
        <f>VLOOKUP(H605,Data!$P$3:$X$122,9)</f>
        <v>0</v>
      </c>
      <c r="N605" s="43">
        <f t="shared" si="125"/>
        <v>0</v>
      </c>
      <c r="O605" s="43">
        <f t="shared" si="126"/>
        <v>0</v>
      </c>
      <c r="P605" s="30">
        <f t="shared" si="127"/>
        <v>0</v>
      </c>
      <c r="Q605" s="31">
        <f t="shared" si="129"/>
        <v>848340.75061972369</v>
      </c>
    </row>
    <row r="606" spans="1:17" x14ac:dyDescent="0.25">
      <c r="A606" s="6">
        <f t="shared" si="128"/>
        <v>61636</v>
      </c>
      <c r="B606" s="30">
        <f>IFERROR(VLOOKUP(A606, Data!$L$3:$N$123, 3),1)*Pension</f>
        <v>245107.29921864142</v>
      </c>
      <c r="C606" s="37">
        <f t="shared" si="117"/>
        <v>50.253251197809718</v>
      </c>
      <c r="D606" s="37">
        <f>IFERROR(VLOOKUP(A606,Data!$I$3:$J$1442,2),0)</f>
        <v>8.5817552000000005E-2</v>
      </c>
      <c r="E606" s="37">
        <f t="shared" si="118"/>
        <v>8.5617552E-2</v>
      </c>
      <c r="F606" s="37">
        <f t="shared" si="123"/>
        <v>1.353386322032938E-2</v>
      </c>
      <c r="G606" s="30">
        <f t="shared" si="124"/>
        <v>3317.2486619294391</v>
      </c>
      <c r="H606" s="38">
        <f t="shared" si="119"/>
        <v>145</v>
      </c>
      <c r="I606" s="39">
        <f t="shared" si="120"/>
        <v>145.87816563997262</v>
      </c>
      <c r="J606" s="40">
        <f t="shared" si="121"/>
        <v>50</v>
      </c>
      <c r="K606" s="43">
        <f>VLOOKUP(J606,Data!$Z$3:$AA$122,2)</f>
        <v>0</v>
      </c>
      <c r="L606" s="41">
        <f t="shared" si="122"/>
        <v>0.87816563997262165</v>
      </c>
      <c r="M606" s="43">
        <f>VLOOKUP(H606,Data!$P$3:$X$122,9)</f>
        <v>0</v>
      </c>
      <c r="N606" s="43">
        <f t="shared" si="125"/>
        <v>0</v>
      </c>
      <c r="O606" s="43">
        <f t="shared" si="126"/>
        <v>0</v>
      </c>
      <c r="P606" s="30">
        <f t="shared" si="127"/>
        <v>0</v>
      </c>
      <c r="Q606" s="31">
        <f t="shared" si="129"/>
        <v>848340.75061972369</v>
      </c>
    </row>
    <row r="607" spans="1:17" x14ac:dyDescent="0.25">
      <c r="A607" s="6">
        <f t="shared" si="128"/>
        <v>61667</v>
      </c>
      <c r="B607" s="30">
        <f>IFERROR(VLOOKUP(A607, Data!$L$3:$N$123, 3),1)*Pension</f>
        <v>245107.29921864142</v>
      </c>
      <c r="C607" s="37">
        <f t="shared" si="117"/>
        <v>50.338124572210816</v>
      </c>
      <c r="D607" s="37">
        <f>IFERROR(VLOOKUP(A607,Data!$I$3:$J$1442,2),0)</f>
        <v>8.5790883999999998E-2</v>
      </c>
      <c r="E607" s="37">
        <f t="shared" si="118"/>
        <v>8.5590883999999992E-2</v>
      </c>
      <c r="F607" s="37">
        <f t="shared" si="123"/>
        <v>1.3453922482864171E-2</v>
      </c>
      <c r="G607" s="30">
        <f t="shared" si="124"/>
        <v>3297.6546036717955</v>
      </c>
      <c r="H607" s="38">
        <f t="shared" si="119"/>
        <v>145</v>
      </c>
      <c r="I607" s="39">
        <f t="shared" si="120"/>
        <v>145.96303901437372</v>
      </c>
      <c r="J607" s="40">
        <f t="shared" si="121"/>
        <v>50</v>
      </c>
      <c r="K607" s="43">
        <f>VLOOKUP(J607,Data!$Z$3:$AA$122,2)</f>
        <v>0</v>
      </c>
      <c r="L607" s="41">
        <f t="shared" si="122"/>
        <v>0.96303901437372019</v>
      </c>
      <c r="M607" s="43">
        <f>VLOOKUP(H607,Data!$P$3:$X$122,9)</f>
        <v>0</v>
      </c>
      <c r="N607" s="43">
        <f t="shared" si="125"/>
        <v>0</v>
      </c>
      <c r="O607" s="43">
        <f t="shared" si="126"/>
        <v>0</v>
      </c>
      <c r="P607" s="30">
        <f t="shared" si="127"/>
        <v>0</v>
      </c>
      <c r="Q607" s="31">
        <f t="shared" si="129"/>
        <v>848340.75061972369</v>
      </c>
    </row>
    <row r="608" spans="1:17" x14ac:dyDescent="0.25">
      <c r="A608" s="6">
        <f t="shared" si="128"/>
        <v>61697</v>
      </c>
      <c r="B608" s="30">
        <f>IFERROR(VLOOKUP(A608, Data!$L$3:$N$123, 3),1)*Pension</f>
        <v>245107.29921864142</v>
      </c>
      <c r="C608" s="37">
        <f t="shared" si="117"/>
        <v>50.42026009582478</v>
      </c>
      <c r="D608" s="37">
        <f>IFERROR(VLOOKUP(A608,Data!$I$3:$J$1442,2),0)</f>
        <v>8.5765162000000006E-2</v>
      </c>
      <c r="E608" s="37">
        <f t="shared" si="118"/>
        <v>8.5565162E-2</v>
      </c>
      <c r="F608" s="37">
        <f t="shared" si="123"/>
        <v>1.337700991887936E-2</v>
      </c>
      <c r="G608" s="30">
        <f t="shared" si="124"/>
        <v>3278.8027728374977</v>
      </c>
      <c r="H608" s="38">
        <f t="shared" si="119"/>
        <v>146</v>
      </c>
      <c r="I608" s="39">
        <f t="shared" si="120"/>
        <v>146.04517453798769</v>
      </c>
      <c r="J608" s="40">
        <f t="shared" si="121"/>
        <v>51</v>
      </c>
      <c r="K608" s="43">
        <f>VLOOKUP(J608,Data!$Z$3:$AA$122,2)</f>
        <v>0</v>
      </c>
      <c r="L608" s="41">
        <f t="shared" si="122"/>
        <v>4.517453798769111E-2</v>
      </c>
      <c r="M608" s="43">
        <f>VLOOKUP(H608,Data!$P$3:$X$122,9)</f>
        <v>0</v>
      </c>
      <c r="N608" s="43">
        <f t="shared" si="125"/>
        <v>0</v>
      </c>
      <c r="O608" s="43">
        <f t="shared" si="126"/>
        <v>0</v>
      </c>
      <c r="P608" s="30">
        <f t="shared" si="127"/>
        <v>0</v>
      </c>
      <c r="Q608" s="31">
        <f t="shared" si="129"/>
        <v>848340.75061972369</v>
      </c>
    </row>
    <row r="609" spans="1:17" x14ac:dyDescent="0.25">
      <c r="A609" s="6">
        <f t="shared" si="128"/>
        <v>61728</v>
      </c>
      <c r="B609" s="30">
        <f>IFERROR(VLOOKUP(A609, Data!$L$3:$N$123, 3),1)*Pension</f>
        <v>257362.66417957348</v>
      </c>
      <c r="C609" s="37">
        <f t="shared" si="117"/>
        <v>50.505133470225871</v>
      </c>
      <c r="D609" s="37">
        <f>IFERROR(VLOOKUP(A609,Data!$I$3:$J$1442,2),0)</f>
        <v>8.5738670000000003E-2</v>
      </c>
      <c r="E609" s="37">
        <f t="shared" si="118"/>
        <v>8.5538669999999997E-2</v>
      </c>
      <c r="F609" s="37">
        <f t="shared" si="123"/>
        <v>1.329799582158645E-2</v>
      </c>
      <c r="G609" s="30">
        <f t="shared" si="124"/>
        <v>3422.4076328923247</v>
      </c>
      <c r="H609" s="38">
        <f t="shared" si="119"/>
        <v>146</v>
      </c>
      <c r="I609" s="39">
        <f t="shared" si="120"/>
        <v>146.13004791238876</v>
      </c>
      <c r="J609" s="40">
        <f t="shared" si="121"/>
        <v>51</v>
      </c>
      <c r="K609" s="43">
        <f>VLOOKUP(J609,Data!$Z$3:$AA$122,2)</f>
        <v>0</v>
      </c>
      <c r="L609" s="41">
        <f t="shared" si="122"/>
        <v>0.13004791238876123</v>
      </c>
      <c r="M609" s="43">
        <f>VLOOKUP(H609,Data!$P$3:$X$122,9)</f>
        <v>0</v>
      </c>
      <c r="N609" s="43">
        <f t="shared" si="125"/>
        <v>0</v>
      </c>
      <c r="O609" s="43">
        <f t="shared" si="126"/>
        <v>0</v>
      </c>
      <c r="P609" s="30">
        <f t="shared" si="127"/>
        <v>0</v>
      </c>
      <c r="Q609" s="31">
        <f t="shared" si="129"/>
        <v>848340.75061972369</v>
      </c>
    </row>
    <row r="610" spans="1:17" x14ac:dyDescent="0.25">
      <c r="A610" s="6">
        <f t="shared" si="128"/>
        <v>61759</v>
      </c>
      <c r="B610" s="30">
        <f>IFERROR(VLOOKUP(A610, Data!$L$3:$N$123, 3),1)*Pension</f>
        <v>257362.66417957348</v>
      </c>
      <c r="C610" s="37">
        <f t="shared" si="117"/>
        <v>50.59000684462697</v>
      </c>
      <c r="D610" s="37">
        <f>IFERROR(VLOOKUP(A610,Data!$I$3:$J$1442,2),0)</f>
        <v>8.5712266999999995E-2</v>
      </c>
      <c r="E610" s="37">
        <f t="shared" si="118"/>
        <v>8.5512266999999989E-2</v>
      </c>
      <c r="F610" s="37">
        <f t="shared" si="123"/>
        <v>1.3219448363767249E-2</v>
      </c>
      <c r="G610" s="30">
        <f t="shared" si="124"/>
        <v>3402.1924498834424</v>
      </c>
      <c r="H610" s="38">
        <f t="shared" si="119"/>
        <v>146</v>
      </c>
      <c r="I610" s="39">
        <f t="shared" si="120"/>
        <v>146.21492128678986</v>
      </c>
      <c r="J610" s="40">
        <f t="shared" si="121"/>
        <v>51</v>
      </c>
      <c r="K610" s="43">
        <f>VLOOKUP(J610,Data!$Z$3:$AA$122,2)</f>
        <v>0</v>
      </c>
      <c r="L610" s="41">
        <f t="shared" si="122"/>
        <v>0.21492128678985978</v>
      </c>
      <c r="M610" s="43">
        <f>VLOOKUP(H610,Data!$P$3:$X$122,9)</f>
        <v>0</v>
      </c>
      <c r="N610" s="43">
        <f t="shared" si="125"/>
        <v>0</v>
      </c>
      <c r="O610" s="43">
        <f t="shared" si="126"/>
        <v>0</v>
      </c>
      <c r="P610" s="30">
        <f t="shared" si="127"/>
        <v>0</v>
      </c>
      <c r="Q610" s="31">
        <f t="shared" si="129"/>
        <v>848340.75061972369</v>
      </c>
    </row>
    <row r="611" spans="1:17" x14ac:dyDescent="0.25">
      <c r="A611" s="6">
        <f t="shared" si="128"/>
        <v>61787</v>
      </c>
      <c r="B611" s="30">
        <f>IFERROR(VLOOKUP(A611, Data!$L$3:$N$123, 3),1)*Pension</f>
        <v>257362.66417957348</v>
      </c>
      <c r="C611" s="37">
        <f t="shared" si="117"/>
        <v>50.666666666666664</v>
      </c>
      <c r="D611" s="37">
        <f>IFERROR(VLOOKUP(A611,Data!$I$3:$J$1442,2),0)</f>
        <v>8.5688496000000003E-2</v>
      </c>
      <c r="E611" s="37">
        <f t="shared" si="118"/>
        <v>8.5488495999999997E-2</v>
      </c>
      <c r="F611" s="37">
        <f t="shared" si="123"/>
        <v>1.3148900570408286E-2</v>
      </c>
      <c r="G611" s="30">
        <f t="shared" si="124"/>
        <v>3384.0360818325898</v>
      </c>
      <c r="H611" s="38">
        <f t="shared" si="119"/>
        <v>146</v>
      </c>
      <c r="I611" s="39">
        <f t="shared" si="120"/>
        <v>146.29158110882958</v>
      </c>
      <c r="J611" s="40">
        <f t="shared" si="121"/>
        <v>51</v>
      </c>
      <c r="K611" s="43">
        <f>VLOOKUP(J611,Data!$Z$3:$AA$122,2)</f>
        <v>0</v>
      </c>
      <c r="L611" s="41">
        <f t="shared" si="122"/>
        <v>0.29158110882957544</v>
      </c>
      <c r="M611" s="43">
        <f>VLOOKUP(H611,Data!$P$3:$X$122,9)</f>
        <v>0</v>
      </c>
      <c r="N611" s="43">
        <f t="shared" si="125"/>
        <v>0</v>
      </c>
      <c r="O611" s="43">
        <f t="shared" si="126"/>
        <v>0</v>
      </c>
      <c r="P611" s="30">
        <f t="shared" si="127"/>
        <v>0</v>
      </c>
      <c r="Q611" s="31">
        <f t="shared" si="129"/>
        <v>848340.75061972369</v>
      </c>
    </row>
    <row r="612" spans="1:17" x14ac:dyDescent="0.25">
      <c r="A612" s="6">
        <f t="shared" si="128"/>
        <v>61818</v>
      </c>
      <c r="B612" s="30">
        <f>IFERROR(VLOOKUP(A612, Data!$L$3:$N$123, 3),1)*Pension</f>
        <v>257362.66417957348</v>
      </c>
      <c r="C612" s="37">
        <f t="shared" si="117"/>
        <v>50.751540041067763</v>
      </c>
      <c r="D612" s="37">
        <f>IFERROR(VLOOKUP(A612,Data!$I$3:$J$1442,2),0)</f>
        <v>8.5662261000000003E-2</v>
      </c>
      <c r="E612" s="37">
        <f t="shared" si="118"/>
        <v>8.5462260999999998E-2</v>
      </c>
      <c r="F612" s="37">
        <f t="shared" si="123"/>
        <v>1.3071233738195978E-2</v>
      </c>
      <c r="G612" s="30">
        <f t="shared" si="124"/>
        <v>3364.0475389760422</v>
      </c>
      <c r="H612" s="38">
        <f t="shared" si="119"/>
        <v>146</v>
      </c>
      <c r="I612" s="39">
        <f t="shared" si="120"/>
        <v>146.37645448323067</v>
      </c>
      <c r="J612" s="40">
        <f t="shared" si="121"/>
        <v>51</v>
      </c>
      <c r="K612" s="43">
        <f>VLOOKUP(J612,Data!$Z$3:$AA$122,2)</f>
        <v>0</v>
      </c>
      <c r="L612" s="41">
        <f t="shared" si="122"/>
        <v>0.37645448323067399</v>
      </c>
      <c r="M612" s="43">
        <f>VLOOKUP(H612,Data!$P$3:$X$122,9)</f>
        <v>0</v>
      </c>
      <c r="N612" s="43">
        <f t="shared" si="125"/>
        <v>0</v>
      </c>
      <c r="O612" s="43">
        <f t="shared" si="126"/>
        <v>0</v>
      </c>
      <c r="P612" s="30">
        <f t="shared" si="127"/>
        <v>0</v>
      </c>
      <c r="Q612" s="31">
        <f t="shared" si="129"/>
        <v>848340.75061972369</v>
      </c>
    </row>
    <row r="613" spans="1:17" x14ac:dyDescent="0.25">
      <c r="A613" s="6">
        <f t="shared" si="128"/>
        <v>61848</v>
      </c>
      <c r="B613" s="30">
        <f>IFERROR(VLOOKUP(A613, Data!$L$3:$N$123, 3),1)*Pension</f>
        <v>257362.66417957348</v>
      </c>
      <c r="C613" s="37">
        <f t="shared" si="117"/>
        <v>50.833675564681727</v>
      </c>
      <c r="D613" s="37">
        <f>IFERROR(VLOOKUP(A613,Data!$I$3:$J$1442,2),0)</f>
        <v>8.5636955000000001E-2</v>
      </c>
      <c r="E613" s="37">
        <f t="shared" si="118"/>
        <v>8.5436954999999995E-2</v>
      </c>
      <c r="F613" s="37">
        <f t="shared" si="123"/>
        <v>1.2996509576274786E-2</v>
      </c>
      <c r="G613" s="30">
        <f t="shared" si="124"/>
        <v>3344.8163295854188</v>
      </c>
      <c r="H613" s="38">
        <f t="shared" si="119"/>
        <v>146</v>
      </c>
      <c r="I613" s="39">
        <f t="shared" si="120"/>
        <v>146.45859000684462</v>
      </c>
      <c r="J613" s="40">
        <f t="shared" si="121"/>
        <v>51</v>
      </c>
      <c r="K613" s="43">
        <f>VLOOKUP(J613,Data!$Z$3:$AA$122,2)</f>
        <v>0</v>
      </c>
      <c r="L613" s="41">
        <f t="shared" si="122"/>
        <v>0.45859000684461648</v>
      </c>
      <c r="M613" s="43">
        <f>VLOOKUP(H613,Data!$P$3:$X$122,9)</f>
        <v>0</v>
      </c>
      <c r="N613" s="43">
        <f t="shared" si="125"/>
        <v>0</v>
      </c>
      <c r="O613" s="43">
        <f t="shared" si="126"/>
        <v>0</v>
      </c>
      <c r="P613" s="30">
        <f t="shared" si="127"/>
        <v>0</v>
      </c>
      <c r="Q613" s="31">
        <f t="shared" si="129"/>
        <v>848340.75061972369</v>
      </c>
    </row>
    <row r="614" spans="1:17" x14ac:dyDescent="0.25">
      <c r="A614" s="6">
        <f t="shared" si="128"/>
        <v>61879</v>
      </c>
      <c r="B614" s="30">
        <f>IFERROR(VLOOKUP(A614, Data!$L$3:$N$123, 3),1)*Pension</f>
        <v>257362.66417957348</v>
      </c>
      <c r="C614" s="37">
        <f t="shared" si="117"/>
        <v>50.918548939082818</v>
      </c>
      <c r="D614" s="37">
        <f>IFERROR(VLOOKUP(A614,Data!$I$3:$J$1442,2),0)</f>
        <v>8.5610891999999994E-2</v>
      </c>
      <c r="E614" s="37">
        <f t="shared" si="118"/>
        <v>8.5410891999999988E-2</v>
      </c>
      <c r="F614" s="37">
        <f t="shared" si="123"/>
        <v>1.2919742847982078E-2</v>
      </c>
      <c r="G614" s="30">
        <f t="shared" si="124"/>
        <v>3325.059439871658</v>
      </c>
      <c r="H614" s="38">
        <f t="shared" si="119"/>
        <v>146</v>
      </c>
      <c r="I614" s="39">
        <f t="shared" si="120"/>
        <v>146.54346338124572</v>
      </c>
      <c r="J614" s="40">
        <f t="shared" si="121"/>
        <v>51</v>
      </c>
      <c r="K614" s="43">
        <f>VLOOKUP(J614,Data!$Z$3:$AA$122,2)</f>
        <v>0</v>
      </c>
      <c r="L614" s="41">
        <f t="shared" si="122"/>
        <v>0.54346338124571503</v>
      </c>
      <c r="M614" s="43">
        <f>VLOOKUP(H614,Data!$P$3:$X$122,9)</f>
        <v>0</v>
      </c>
      <c r="N614" s="43">
        <f t="shared" si="125"/>
        <v>0</v>
      </c>
      <c r="O614" s="43">
        <f t="shared" si="126"/>
        <v>0</v>
      </c>
      <c r="P614" s="30">
        <f t="shared" si="127"/>
        <v>0</v>
      </c>
      <c r="Q614" s="31">
        <f t="shared" si="129"/>
        <v>848340.75061972369</v>
      </c>
    </row>
    <row r="615" spans="1:17" x14ac:dyDescent="0.25">
      <c r="A615" s="6">
        <f t="shared" si="128"/>
        <v>61909</v>
      </c>
      <c r="B615" s="30">
        <f>IFERROR(VLOOKUP(A615, Data!$L$3:$N$123, 3),1)*Pension</f>
        <v>257362.66417957348</v>
      </c>
      <c r="C615" s="37">
        <f t="shared" si="117"/>
        <v>51.000684462696782</v>
      </c>
      <c r="D615" s="37">
        <f>IFERROR(VLOOKUP(A615,Data!$I$3:$J$1442,2),0)</f>
        <v>8.5585753000000001E-2</v>
      </c>
      <c r="E615" s="37">
        <f t="shared" si="118"/>
        <v>8.5385752999999995E-2</v>
      </c>
      <c r="F615" s="37">
        <f t="shared" si="123"/>
        <v>1.2845883792831947E-2</v>
      </c>
      <c r="G615" s="30">
        <f t="shared" si="124"/>
        <v>3306.0508766644339</v>
      </c>
      <c r="H615" s="38">
        <f t="shared" si="119"/>
        <v>146</v>
      </c>
      <c r="I615" s="39">
        <f t="shared" si="120"/>
        <v>146.62559890485969</v>
      </c>
      <c r="J615" s="40">
        <f t="shared" si="121"/>
        <v>51</v>
      </c>
      <c r="K615" s="43">
        <f>VLOOKUP(J615,Data!$Z$3:$AA$122,2)</f>
        <v>0</v>
      </c>
      <c r="L615" s="41">
        <f t="shared" si="122"/>
        <v>0.62559890485968594</v>
      </c>
      <c r="M615" s="43">
        <f>VLOOKUP(H615,Data!$P$3:$X$122,9)</f>
        <v>0</v>
      </c>
      <c r="N615" s="43">
        <f t="shared" si="125"/>
        <v>0</v>
      </c>
      <c r="O615" s="43">
        <f t="shared" si="126"/>
        <v>0</v>
      </c>
      <c r="P615" s="30">
        <f t="shared" si="127"/>
        <v>0</v>
      </c>
      <c r="Q615" s="31">
        <f t="shared" si="129"/>
        <v>848340.75061972369</v>
      </c>
    </row>
    <row r="616" spans="1:17" x14ac:dyDescent="0.25">
      <c r="A616" s="6">
        <f t="shared" si="128"/>
        <v>61940</v>
      </c>
      <c r="B616" s="30">
        <f>IFERROR(VLOOKUP(A616, Data!$L$3:$N$123, 3),1)*Pension</f>
        <v>257362.66417957348</v>
      </c>
      <c r="C616" s="37">
        <f t="shared" si="117"/>
        <v>51.08555783709788</v>
      </c>
      <c r="D616" s="37">
        <f>IFERROR(VLOOKUP(A616,Data!$I$3:$J$1442,2),0)</f>
        <v>8.5559860000000001E-2</v>
      </c>
      <c r="E616" s="37">
        <f t="shared" si="118"/>
        <v>8.5359859999999996E-2</v>
      </c>
      <c r="F616" s="37">
        <f t="shared" si="123"/>
        <v>1.2770006946129885E-2</v>
      </c>
      <c r="G616" s="30">
        <f t="shared" si="124"/>
        <v>3286.5230092476463</v>
      </c>
      <c r="H616" s="38">
        <f t="shared" si="119"/>
        <v>146</v>
      </c>
      <c r="I616" s="39">
        <f t="shared" si="120"/>
        <v>146.71047227926078</v>
      </c>
      <c r="J616" s="40">
        <f t="shared" si="121"/>
        <v>51</v>
      </c>
      <c r="K616" s="43">
        <f>VLOOKUP(J616,Data!$Z$3:$AA$122,2)</f>
        <v>0</v>
      </c>
      <c r="L616" s="41">
        <f t="shared" si="122"/>
        <v>0.71047227926078449</v>
      </c>
      <c r="M616" s="43">
        <f>VLOOKUP(H616,Data!$P$3:$X$122,9)</f>
        <v>0</v>
      </c>
      <c r="N616" s="43">
        <f t="shared" si="125"/>
        <v>0</v>
      </c>
      <c r="O616" s="43">
        <f t="shared" si="126"/>
        <v>0</v>
      </c>
      <c r="P616" s="30">
        <f t="shared" si="127"/>
        <v>0</v>
      </c>
      <c r="Q616" s="31">
        <f t="shared" si="129"/>
        <v>848340.75061972369</v>
      </c>
    </row>
    <row r="617" spans="1:17" x14ac:dyDescent="0.25">
      <c r="A617" s="6">
        <f t="shared" si="128"/>
        <v>61971</v>
      </c>
      <c r="B617" s="30">
        <f>IFERROR(VLOOKUP(A617, Data!$L$3:$N$123, 3),1)*Pension</f>
        <v>257362.66417957348</v>
      </c>
      <c r="C617" s="37">
        <f t="shared" si="117"/>
        <v>51.170431211498972</v>
      </c>
      <c r="D617" s="37">
        <f>IFERROR(VLOOKUP(A617,Data!$I$3:$J$1442,2),0)</f>
        <v>8.5534052999999999E-2</v>
      </c>
      <c r="E617" s="37">
        <f t="shared" si="118"/>
        <v>8.5334052999999993E-2</v>
      </c>
      <c r="F617" s="37">
        <f t="shared" si="123"/>
        <v>1.2694578212973538E-2</v>
      </c>
      <c r="G617" s="30">
        <f t="shared" si="124"/>
        <v>3267.1104695268386</v>
      </c>
      <c r="H617" s="38">
        <f t="shared" si="119"/>
        <v>146</v>
      </c>
      <c r="I617" s="39">
        <f t="shared" si="120"/>
        <v>146.79534565366188</v>
      </c>
      <c r="J617" s="40">
        <f t="shared" si="121"/>
        <v>51</v>
      </c>
      <c r="K617" s="43">
        <f>VLOOKUP(J617,Data!$Z$3:$AA$122,2)</f>
        <v>0</v>
      </c>
      <c r="L617" s="41">
        <f t="shared" si="122"/>
        <v>0.79534565366188303</v>
      </c>
      <c r="M617" s="43">
        <f>VLOOKUP(H617,Data!$P$3:$X$122,9)</f>
        <v>0</v>
      </c>
      <c r="N617" s="43">
        <f t="shared" si="125"/>
        <v>0</v>
      </c>
      <c r="O617" s="43">
        <f t="shared" si="126"/>
        <v>0</v>
      </c>
      <c r="P617" s="30">
        <f t="shared" si="127"/>
        <v>0</v>
      </c>
      <c r="Q617" s="31">
        <f t="shared" si="129"/>
        <v>848340.75061972369</v>
      </c>
    </row>
    <row r="618" spans="1:17" x14ac:dyDescent="0.25">
      <c r="A618" s="6">
        <f t="shared" si="128"/>
        <v>62001</v>
      </c>
      <c r="B618" s="30">
        <f>IFERROR(VLOOKUP(A618, Data!$L$3:$N$123, 3),1)*Pension</f>
        <v>257362.66417957348</v>
      </c>
      <c r="C618" s="37">
        <f t="shared" si="117"/>
        <v>51.252566735112936</v>
      </c>
      <c r="D618" s="37">
        <f>IFERROR(VLOOKUP(A618,Data!$I$3:$J$1442,2),0)</f>
        <v>8.5509160000000001E-2</v>
      </c>
      <c r="E618" s="37">
        <f t="shared" si="118"/>
        <v>8.5309159999999995E-2</v>
      </c>
      <c r="F618" s="37">
        <f t="shared" si="123"/>
        <v>1.2622006813403667E-2</v>
      </c>
      <c r="G618" s="30">
        <f t="shared" si="124"/>
        <v>3248.4333007902965</v>
      </c>
      <c r="H618" s="38">
        <f t="shared" si="119"/>
        <v>146</v>
      </c>
      <c r="I618" s="39">
        <f t="shared" si="120"/>
        <v>146.87748117727583</v>
      </c>
      <c r="J618" s="40">
        <f t="shared" si="121"/>
        <v>51</v>
      </c>
      <c r="K618" s="43">
        <f>VLOOKUP(J618,Data!$Z$3:$AA$122,2)</f>
        <v>0</v>
      </c>
      <c r="L618" s="41">
        <f t="shared" si="122"/>
        <v>0.87748117727582553</v>
      </c>
      <c r="M618" s="43">
        <f>VLOOKUP(H618,Data!$P$3:$X$122,9)</f>
        <v>0</v>
      </c>
      <c r="N618" s="43">
        <f t="shared" si="125"/>
        <v>0</v>
      </c>
      <c r="O618" s="43">
        <f t="shared" si="126"/>
        <v>0</v>
      </c>
      <c r="P618" s="30">
        <f t="shared" si="127"/>
        <v>0</v>
      </c>
      <c r="Q618" s="31">
        <f t="shared" si="129"/>
        <v>848340.75061972369</v>
      </c>
    </row>
    <row r="619" spans="1:17" x14ac:dyDescent="0.25">
      <c r="A619" s="6">
        <f t="shared" si="128"/>
        <v>62032</v>
      </c>
      <c r="B619" s="30">
        <f>IFERROR(VLOOKUP(A619, Data!$L$3:$N$123, 3),1)*Pension</f>
        <v>257362.66417957348</v>
      </c>
      <c r="C619" s="37">
        <f t="shared" si="117"/>
        <v>51.337440109514034</v>
      </c>
      <c r="D619" s="37">
        <f>IFERROR(VLOOKUP(A619,Data!$I$3:$J$1442,2),0)</f>
        <v>8.5483521000000007E-2</v>
      </c>
      <c r="E619" s="37">
        <f t="shared" si="118"/>
        <v>8.5283521000000001E-2</v>
      </c>
      <c r="F619" s="37">
        <f t="shared" si="123"/>
        <v>1.2547452128482888E-2</v>
      </c>
      <c r="G619" s="30">
        <f t="shared" si="124"/>
        <v>3229.2457084520161</v>
      </c>
      <c r="H619" s="38">
        <f t="shared" si="119"/>
        <v>146</v>
      </c>
      <c r="I619" s="39">
        <f t="shared" si="120"/>
        <v>146.96235455167692</v>
      </c>
      <c r="J619" s="40">
        <f t="shared" si="121"/>
        <v>51</v>
      </c>
      <c r="K619" s="43">
        <f>VLOOKUP(J619,Data!$Z$3:$AA$122,2)</f>
        <v>0</v>
      </c>
      <c r="L619" s="41">
        <f t="shared" si="122"/>
        <v>0.96235455167692407</v>
      </c>
      <c r="M619" s="43">
        <f>VLOOKUP(H619,Data!$P$3:$X$122,9)</f>
        <v>0</v>
      </c>
      <c r="N619" s="43">
        <f t="shared" si="125"/>
        <v>0</v>
      </c>
      <c r="O619" s="43">
        <f t="shared" si="126"/>
        <v>0</v>
      </c>
      <c r="P619" s="30">
        <f t="shared" si="127"/>
        <v>0</v>
      </c>
      <c r="Q619" s="31">
        <f t="shared" si="129"/>
        <v>848340.75061972369</v>
      </c>
    </row>
    <row r="620" spans="1:17" x14ac:dyDescent="0.25">
      <c r="A620" s="6">
        <f t="shared" si="128"/>
        <v>62062</v>
      </c>
      <c r="B620" s="30">
        <f>IFERROR(VLOOKUP(A620, Data!$L$3:$N$123, 3),1)*Pension</f>
        <v>257362.66417957348</v>
      </c>
      <c r="C620" s="37">
        <f t="shared" si="117"/>
        <v>51.419575633127998</v>
      </c>
      <c r="D620" s="37">
        <f>IFERROR(VLOOKUP(A620,Data!$I$3:$J$1442,2),0)</f>
        <v>8.5458790000000007E-2</v>
      </c>
      <c r="E620" s="37">
        <f t="shared" si="118"/>
        <v>8.5258790000000001E-2</v>
      </c>
      <c r="F620" s="37">
        <f t="shared" si="123"/>
        <v>1.2475721531833706E-2</v>
      </c>
      <c r="G620" s="30">
        <f t="shared" si="124"/>
        <v>3210.7849309951921</v>
      </c>
      <c r="H620" s="38">
        <f t="shared" si="119"/>
        <v>147</v>
      </c>
      <c r="I620" s="39">
        <f t="shared" si="120"/>
        <v>147.04449007529089</v>
      </c>
      <c r="J620" s="40">
        <f t="shared" si="121"/>
        <v>52</v>
      </c>
      <c r="K620" s="43">
        <f>VLOOKUP(J620,Data!$Z$3:$AA$122,2)</f>
        <v>0</v>
      </c>
      <c r="L620" s="41">
        <f t="shared" si="122"/>
        <v>4.4490075290894993E-2</v>
      </c>
      <c r="M620" s="43">
        <f>VLOOKUP(H620,Data!$P$3:$X$122,9)</f>
        <v>0</v>
      </c>
      <c r="N620" s="43">
        <f t="shared" si="125"/>
        <v>0</v>
      </c>
      <c r="O620" s="43">
        <f t="shared" si="126"/>
        <v>0</v>
      </c>
      <c r="P620" s="30">
        <f t="shared" si="127"/>
        <v>0</v>
      </c>
      <c r="Q620" s="31">
        <f t="shared" si="129"/>
        <v>848340.75061972369</v>
      </c>
    </row>
    <row r="621" spans="1:17" x14ac:dyDescent="0.25">
      <c r="A621" s="6">
        <f t="shared" si="128"/>
        <v>62093</v>
      </c>
      <c r="B621" s="30">
        <f>IFERROR(VLOOKUP(A621, Data!$L$3:$N$123, 3),1)*Pension</f>
        <v>270230.79738855216</v>
      </c>
      <c r="C621" s="37">
        <f t="shared" si="117"/>
        <v>51.504449007529089</v>
      </c>
      <c r="D621" s="37">
        <f>IFERROR(VLOOKUP(A621,Data!$I$3:$J$1442,2),0)</f>
        <v>8.5433316999999995E-2</v>
      </c>
      <c r="E621" s="37">
        <f t="shared" si="118"/>
        <v>8.5233316999999989E-2</v>
      </c>
      <c r="F621" s="37">
        <f t="shared" si="123"/>
        <v>1.2402031003617345E-2</v>
      </c>
      <c r="G621" s="30">
        <f t="shared" si="124"/>
        <v>3351.4107273450609</v>
      </c>
      <c r="H621" s="38">
        <f t="shared" si="119"/>
        <v>147</v>
      </c>
      <c r="I621" s="39">
        <f t="shared" si="120"/>
        <v>147.12936344969199</v>
      </c>
      <c r="J621" s="40">
        <f t="shared" si="121"/>
        <v>52</v>
      </c>
      <c r="K621" s="43">
        <f>VLOOKUP(J621,Data!$Z$3:$AA$122,2)</f>
        <v>0</v>
      </c>
      <c r="L621" s="41">
        <f t="shared" si="122"/>
        <v>0.12936344969199354</v>
      </c>
      <c r="M621" s="43">
        <f>VLOOKUP(H621,Data!$P$3:$X$122,9)</f>
        <v>0</v>
      </c>
      <c r="N621" s="43">
        <f t="shared" si="125"/>
        <v>0</v>
      </c>
      <c r="O621" s="43">
        <f t="shared" si="126"/>
        <v>0</v>
      </c>
      <c r="P621" s="30">
        <f t="shared" si="127"/>
        <v>0</v>
      </c>
      <c r="Q621" s="31">
        <f t="shared" si="129"/>
        <v>848340.75061972369</v>
      </c>
    </row>
    <row r="622" spans="1:17" x14ac:dyDescent="0.25">
      <c r="A622" s="6">
        <f t="shared" si="128"/>
        <v>62124</v>
      </c>
      <c r="B622" s="30">
        <f>IFERROR(VLOOKUP(A622, Data!$L$3:$N$123, 3),1)*Pension</f>
        <v>270230.79738855216</v>
      </c>
      <c r="C622" s="37">
        <f t="shared" si="117"/>
        <v>51.589322381930188</v>
      </c>
      <c r="D622" s="37">
        <f>IFERROR(VLOOKUP(A622,Data!$I$3:$J$1442,2),0)</f>
        <v>8.5407927999999994E-2</v>
      </c>
      <c r="E622" s="37">
        <f t="shared" si="118"/>
        <v>8.5207927999999988E-2</v>
      </c>
      <c r="F622" s="37">
        <f t="shared" si="123"/>
        <v>1.232877562666225E-2</v>
      </c>
      <c r="G622" s="30">
        <f t="shared" si="124"/>
        <v>3331.6148684174868</v>
      </c>
      <c r="H622" s="38">
        <f t="shared" si="119"/>
        <v>147</v>
      </c>
      <c r="I622" s="39">
        <f t="shared" si="120"/>
        <v>147.21423682409309</v>
      </c>
      <c r="J622" s="40">
        <f t="shared" si="121"/>
        <v>52</v>
      </c>
      <c r="K622" s="43">
        <f>VLOOKUP(J622,Data!$Z$3:$AA$122,2)</f>
        <v>0</v>
      </c>
      <c r="L622" s="41">
        <f t="shared" si="122"/>
        <v>0.21423682409309208</v>
      </c>
      <c r="M622" s="43">
        <f>VLOOKUP(H622,Data!$P$3:$X$122,9)</f>
        <v>0</v>
      </c>
      <c r="N622" s="43">
        <f t="shared" si="125"/>
        <v>0</v>
      </c>
      <c r="O622" s="43">
        <f t="shared" si="126"/>
        <v>0</v>
      </c>
      <c r="P622" s="30">
        <f t="shared" si="127"/>
        <v>0</v>
      </c>
      <c r="Q622" s="31">
        <f t="shared" si="129"/>
        <v>848340.75061972369</v>
      </c>
    </row>
    <row r="623" spans="1:17" x14ac:dyDescent="0.25">
      <c r="A623" s="6">
        <f t="shared" si="128"/>
        <v>62152</v>
      </c>
      <c r="B623" s="30">
        <f>IFERROR(VLOOKUP(A623, Data!$L$3:$N$123, 3),1)*Pension</f>
        <v>270230.79738855216</v>
      </c>
      <c r="C623" s="37">
        <f t="shared" si="117"/>
        <v>51.665982203969882</v>
      </c>
      <c r="D623" s="37">
        <f>IFERROR(VLOOKUP(A623,Data!$I$3:$J$1442,2),0)</f>
        <v>8.5385066999999995E-2</v>
      </c>
      <c r="E623" s="37">
        <f t="shared" si="118"/>
        <v>8.5185066999999989E-2</v>
      </c>
      <c r="F623" s="37">
        <f t="shared" si="123"/>
        <v>1.226298190640158E-2</v>
      </c>
      <c r="G623" s="30">
        <f t="shared" si="124"/>
        <v>3313.8353789282864</v>
      </c>
      <c r="H623" s="38">
        <f t="shared" si="119"/>
        <v>147</v>
      </c>
      <c r="I623" s="39">
        <f t="shared" si="120"/>
        <v>147.29089664613278</v>
      </c>
      <c r="J623" s="40">
        <f t="shared" si="121"/>
        <v>52</v>
      </c>
      <c r="K623" s="43">
        <f>VLOOKUP(J623,Data!$Z$3:$AA$122,2)</f>
        <v>0</v>
      </c>
      <c r="L623" s="41">
        <f t="shared" si="122"/>
        <v>0.29089664613277932</v>
      </c>
      <c r="M623" s="43">
        <f>VLOOKUP(H623,Data!$P$3:$X$122,9)</f>
        <v>0</v>
      </c>
      <c r="N623" s="43">
        <f t="shared" si="125"/>
        <v>0</v>
      </c>
      <c r="O623" s="43">
        <f t="shared" si="126"/>
        <v>0</v>
      </c>
      <c r="P623" s="30">
        <f t="shared" si="127"/>
        <v>0</v>
      </c>
      <c r="Q623" s="31">
        <f t="shared" si="129"/>
        <v>848340.75061972369</v>
      </c>
    </row>
    <row r="624" spans="1:17" x14ac:dyDescent="0.25">
      <c r="A624" s="6">
        <f t="shared" si="128"/>
        <v>62183</v>
      </c>
      <c r="B624" s="30">
        <f>IFERROR(VLOOKUP(A624, Data!$L$3:$N$123, 3),1)*Pension</f>
        <v>270230.79738855216</v>
      </c>
      <c r="C624" s="37">
        <f t="shared" si="117"/>
        <v>51.750855578370981</v>
      </c>
      <c r="D624" s="37">
        <f>IFERROR(VLOOKUP(A624,Data!$I$3:$J$1442,2),0)</f>
        <v>8.5359835999999994E-2</v>
      </c>
      <c r="E624" s="37">
        <f t="shared" si="118"/>
        <v>8.5159835999999989E-2</v>
      </c>
      <c r="F624" s="37">
        <f t="shared" si="123"/>
        <v>1.219054809392317E-2</v>
      </c>
      <c r="G624" s="30">
        <f t="shared" si="124"/>
        <v>3294.2615320243531</v>
      </c>
      <c r="H624" s="38">
        <f t="shared" si="119"/>
        <v>147</v>
      </c>
      <c r="I624" s="39">
        <f t="shared" si="120"/>
        <v>147.37577002053388</v>
      </c>
      <c r="J624" s="40">
        <f t="shared" si="121"/>
        <v>52</v>
      </c>
      <c r="K624" s="43">
        <f>VLOOKUP(J624,Data!$Z$3:$AA$122,2)</f>
        <v>0</v>
      </c>
      <c r="L624" s="41">
        <f t="shared" si="122"/>
        <v>0.37577002053387787</v>
      </c>
      <c r="M624" s="43">
        <f>VLOOKUP(H624,Data!$P$3:$X$122,9)</f>
        <v>0</v>
      </c>
      <c r="N624" s="43">
        <f t="shared" si="125"/>
        <v>0</v>
      </c>
      <c r="O624" s="43">
        <f t="shared" si="126"/>
        <v>0</v>
      </c>
      <c r="P624" s="30">
        <f t="shared" si="127"/>
        <v>0</v>
      </c>
      <c r="Q624" s="31">
        <f t="shared" si="129"/>
        <v>848340.75061972369</v>
      </c>
    </row>
    <row r="625" spans="1:17" x14ac:dyDescent="0.25">
      <c r="A625" s="6">
        <f t="shared" si="128"/>
        <v>62213</v>
      </c>
      <c r="B625" s="30">
        <f>IFERROR(VLOOKUP(A625, Data!$L$3:$N$123, 3),1)*Pension</f>
        <v>270230.79738855216</v>
      </c>
      <c r="C625" s="37">
        <f t="shared" si="117"/>
        <v>51.832991101984945</v>
      </c>
      <c r="D625" s="37">
        <f>IFERROR(VLOOKUP(A625,Data!$I$3:$J$1442,2),0)</f>
        <v>8.5335497999999996E-2</v>
      </c>
      <c r="E625" s="37">
        <f t="shared" si="118"/>
        <v>8.513549799999999E-2</v>
      </c>
      <c r="F625" s="37">
        <f t="shared" si="123"/>
        <v>1.2120857981459275E-2</v>
      </c>
      <c r="G625" s="30">
        <f t="shared" si="124"/>
        <v>3275.4291173631368</v>
      </c>
      <c r="H625" s="38">
        <f t="shared" si="119"/>
        <v>147</v>
      </c>
      <c r="I625" s="39">
        <f t="shared" si="120"/>
        <v>147.45790554414785</v>
      </c>
      <c r="J625" s="40">
        <f t="shared" si="121"/>
        <v>52</v>
      </c>
      <c r="K625" s="43">
        <f>VLOOKUP(J625,Data!$Z$3:$AA$122,2)</f>
        <v>0</v>
      </c>
      <c r="L625" s="41">
        <f t="shared" si="122"/>
        <v>0.45790554414784879</v>
      </c>
      <c r="M625" s="43">
        <f>VLOOKUP(H625,Data!$P$3:$X$122,9)</f>
        <v>0</v>
      </c>
      <c r="N625" s="43">
        <f t="shared" si="125"/>
        <v>0</v>
      </c>
      <c r="O625" s="43">
        <f t="shared" si="126"/>
        <v>0</v>
      </c>
      <c r="P625" s="30">
        <f t="shared" si="127"/>
        <v>0</v>
      </c>
      <c r="Q625" s="31">
        <f t="shared" si="129"/>
        <v>848340.75061972369</v>
      </c>
    </row>
    <row r="626" spans="1:17" x14ac:dyDescent="0.25">
      <c r="A626" s="6">
        <f t="shared" si="128"/>
        <v>62244</v>
      </c>
      <c r="B626" s="30">
        <f>IFERROR(VLOOKUP(A626, Data!$L$3:$N$123, 3),1)*Pension</f>
        <v>270230.79738855216</v>
      </c>
      <c r="C626" s="37">
        <f t="shared" si="117"/>
        <v>51.917864476386036</v>
      </c>
      <c r="D626" s="37">
        <f>IFERROR(VLOOKUP(A626,Data!$I$3:$J$1442,2),0)</f>
        <v>8.5310430000000007E-2</v>
      </c>
      <c r="E626" s="37">
        <f t="shared" si="118"/>
        <v>8.5110430000000001E-2</v>
      </c>
      <c r="F626" s="37">
        <f t="shared" si="123"/>
        <v>1.2049263150311178E-2</v>
      </c>
      <c r="G626" s="30">
        <f t="shared" si="124"/>
        <v>3256.0819890530875</v>
      </c>
      <c r="H626" s="38">
        <f t="shared" si="119"/>
        <v>147</v>
      </c>
      <c r="I626" s="39">
        <f t="shared" si="120"/>
        <v>147.54277891854895</v>
      </c>
      <c r="J626" s="40">
        <f t="shared" si="121"/>
        <v>52</v>
      </c>
      <c r="K626" s="43">
        <f>VLOOKUP(J626,Data!$Z$3:$AA$122,2)</f>
        <v>0</v>
      </c>
      <c r="L626" s="41">
        <f t="shared" si="122"/>
        <v>0.54277891854894733</v>
      </c>
      <c r="M626" s="43">
        <f>VLOOKUP(H626,Data!$P$3:$X$122,9)</f>
        <v>0</v>
      </c>
      <c r="N626" s="43">
        <f t="shared" si="125"/>
        <v>0</v>
      </c>
      <c r="O626" s="43">
        <f t="shared" si="126"/>
        <v>0</v>
      </c>
      <c r="P626" s="30">
        <f t="shared" si="127"/>
        <v>0</v>
      </c>
      <c r="Q626" s="31">
        <f t="shared" si="129"/>
        <v>848340.75061972369</v>
      </c>
    </row>
    <row r="627" spans="1:17" x14ac:dyDescent="0.25">
      <c r="A627" s="6">
        <f t="shared" si="128"/>
        <v>62274</v>
      </c>
      <c r="B627" s="30">
        <f>IFERROR(VLOOKUP(A627, Data!$L$3:$N$123, 3),1)*Pension</f>
        <v>270230.79738855216</v>
      </c>
      <c r="C627" s="37">
        <f t="shared" si="117"/>
        <v>52</v>
      </c>
      <c r="D627" s="37">
        <f>IFERROR(VLOOKUP(A627,Data!$I$3:$J$1442,2),0)</f>
        <v>8.5286247999999995E-2</v>
      </c>
      <c r="E627" s="37">
        <f t="shared" si="118"/>
        <v>8.5086247999999989E-2</v>
      </c>
      <c r="F627" s="37">
        <f t="shared" si="123"/>
        <v>1.1980380853785813E-2</v>
      </c>
      <c r="G627" s="30">
        <f t="shared" si="124"/>
        <v>3237.4678711370839</v>
      </c>
      <c r="H627" s="38">
        <f t="shared" si="119"/>
        <v>147</v>
      </c>
      <c r="I627" s="39">
        <f t="shared" si="120"/>
        <v>147.62491444216289</v>
      </c>
      <c r="J627" s="40">
        <f t="shared" si="121"/>
        <v>52</v>
      </c>
      <c r="K627" s="43">
        <f>VLOOKUP(J627,Data!$Z$3:$AA$122,2)</f>
        <v>0</v>
      </c>
      <c r="L627" s="41">
        <f t="shared" si="122"/>
        <v>0.62491444216288983</v>
      </c>
      <c r="M627" s="43">
        <f>VLOOKUP(H627,Data!$P$3:$X$122,9)</f>
        <v>0</v>
      </c>
      <c r="N627" s="43">
        <f t="shared" si="125"/>
        <v>0</v>
      </c>
      <c r="O627" s="43">
        <f t="shared" si="126"/>
        <v>0</v>
      </c>
      <c r="P627" s="30">
        <f t="shared" si="127"/>
        <v>0</v>
      </c>
      <c r="Q627" s="31">
        <f t="shared" si="129"/>
        <v>848340.75061972369</v>
      </c>
    </row>
    <row r="628" spans="1:17" x14ac:dyDescent="0.25">
      <c r="A628" s="6">
        <f t="shared" si="128"/>
        <v>62305</v>
      </c>
      <c r="B628" s="30">
        <f>IFERROR(VLOOKUP(A628, Data!$L$3:$N$123, 3),1)*Pension</f>
        <v>270230.79738855216</v>
      </c>
      <c r="C628" s="37">
        <f t="shared" si="117"/>
        <v>52.084873374401099</v>
      </c>
      <c r="D628" s="37">
        <f>IFERROR(VLOOKUP(A628,Data!$I$3:$J$1442,2),0)</f>
        <v>8.5261340000000005E-2</v>
      </c>
      <c r="E628" s="37">
        <f t="shared" si="118"/>
        <v>8.5061339999999999E-2</v>
      </c>
      <c r="F628" s="37">
        <f t="shared" si="123"/>
        <v>1.1909616178542169E-2</v>
      </c>
      <c r="G628" s="30">
        <f t="shared" si="124"/>
        <v>3218.3450765190514</v>
      </c>
      <c r="H628" s="38">
        <f t="shared" si="119"/>
        <v>147</v>
      </c>
      <c r="I628" s="39">
        <f t="shared" si="120"/>
        <v>147.70978781656399</v>
      </c>
      <c r="J628" s="40">
        <f t="shared" si="121"/>
        <v>52</v>
      </c>
      <c r="K628" s="43">
        <f>VLOOKUP(J628,Data!$Z$3:$AA$122,2)</f>
        <v>0</v>
      </c>
      <c r="L628" s="41">
        <f t="shared" si="122"/>
        <v>0.70978781656398837</v>
      </c>
      <c r="M628" s="43">
        <f>VLOOKUP(H628,Data!$P$3:$X$122,9)</f>
        <v>0</v>
      </c>
      <c r="N628" s="43">
        <f t="shared" si="125"/>
        <v>0</v>
      </c>
      <c r="O628" s="43">
        <f t="shared" si="126"/>
        <v>0</v>
      </c>
      <c r="P628" s="30">
        <f t="shared" si="127"/>
        <v>0</v>
      </c>
      <c r="Q628" s="31">
        <f t="shared" si="129"/>
        <v>848340.75061972369</v>
      </c>
    </row>
    <row r="629" spans="1:17" x14ac:dyDescent="0.25">
      <c r="A629" s="6">
        <f t="shared" si="128"/>
        <v>62336</v>
      </c>
      <c r="B629" s="30">
        <f>IFERROR(VLOOKUP(A629, Data!$L$3:$N$123, 3),1)*Pension</f>
        <v>270230.79738855216</v>
      </c>
      <c r="C629" s="37">
        <f t="shared" si="117"/>
        <v>52.16974674880219</v>
      </c>
      <c r="D629" s="37">
        <f>IFERROR(VLOOKUP(A629,Data!$I$3:$J$1442,2),0)</f>
        <v>8.5236513E-2</v>
      </c>
      <c r="E629" s="37">
        <f t="shared" si="118"/>
        <v>8.5036512999999994E-2</v>
      </c>
      <c r="F629" s="37">
        <f t="shared" si="123"/>
        <v>1.1839269517209152E-2</v>
      </c>
      <c r="G629" s="30">
        <f t="shared" si="124"/>
        <v>3199.335242133408</v>
      </c>
      <c r="H629" s="38">
        <f t="shared" si="119"/>
        <v>147</v>
      </c>
      <c r="I629" s="39">
        <f t="shared" si="120"/>
        <v>147.79466119096509</v>
      </c>
      <c r="J629" s="40">
        <f t="shared" si="121"/>
        <v>52</v>
      </c>
      <c r="K629" s="43">
        <f>VLOOKUP(J629,Data!$Z$3:$AA$122,2)</f>
        <v>0</v>
      </c>
      <c r="L629" s="41">
        <f t="shared" si="122"/>
        <v>0.79466119096508692</v>
      </c>
      <c r="M629" s="43">
        <f>VLOOKUP(H629,Data!$P$3:$X$122,9)</f>
        <v>0</v>
      </c>
      <c r="N629" s="43">
        <f t="shared" si="125"/>
        <v>0</v>
      </c>
      <c r="O629" s="43">
        <f t="shared" si="126"/>
        <v>0</v>
      </c>
      <c r="P629" s="30">
        <f t="shared" si="127"/>
        <v>0</v>
      </c>
      <c r="Q629" s="31">
        <f t="shared" si="129"/>
        <v>848340.75061972369</v>
      </c>
    </row>
    <row r="630" spans="1:17" x14ac:dyDescent="0.25">
      <c r="A630" s="6">
        <f t="shared" si="128"/>
        <v>62366</v>
      </c>
      <c r="B630" s="30">
        <f>IFERROR(VLOOKUP(A630, Data!$L$3:$N$123, 3),1)*Pension</f>
        <v>270230.79738855216</v>
      </c>
      <c r="C630" s="37">
        <f t="shared" si="117"/>
        <v>52.251882272416154</v>
      </c>
      <c r="D630" s="37">
        <f>IFERROR(VLOOKUP(A630,Data!$I$3:$J$1442,2),0)</f>
        <v>8.5212564000000005E-2</v>
      </c>
      <c r="E630" s="37">
        <f t="shared" si="118"/>
        <v>8.5012563999999999E-2</v>
      </c>
      <c r="F630" s="37">
        <f t="shared" si="123"/>
        <v>1.1771587549385685E-2</v>
      </c>
      <c r="G630" s="30">
        <f t="shared" si="124"/>
        <v>3181.0454899996462</v>
      </c>
      <c r="H630" s="38">
        <f t="shared" si="119"/>
        <v>147</v>
      </c>
      <c r="I630" s="39">
        <f t="shared" si="120"/>
        <v>147.87679671457906</v>
      </c>
      <c r="J630" s="40">
        <f t="shared" si="121"/>
        <v>52</v>
      </c>
      <c r="K630" s="43">
        <f>VLOOKUP(J630,Data!$Z$3:$AA$122,2)</f>
        <v>0</v>
      </c>
      <c r="L630" s="41">
        <f t="shared" si="122"/>
        <v>0.87679671457905783</v>
      </c>
      <c r="M630" s="43">
        <f>VLOOKUP(H630,Data!$P$3:$X$122,9)</f>
        <v>0</v>
      </c>
      <c r="N630" s="43">
        <f t="shared" si="125"/>
        <v>0</v>
      </c>
      <c r="O630" s="43">
        <f t="shared" si="126"/>
        <v>0</v>
      </c>
      <c r="P630" s="30">
        <f t="shared" si="127"/>
        <v>0</v>
      </c>
      <c r="Q630" s="31">
        <f t="shared" si="129"/>
        <v>848340.75061972369</v>
      </c>
    </row>
    <row r="631" spans="1:17" x14ac:dyDescent="0.25">
      <c r="A631" s="6">
        <f t="shared" si="128"/>
        <v>62397</v>
      </c>
      <c r="B631" s="30">
        <f>IFERROR(VLOOKUP(A631, Data!$L$3:$N$123, 3),1)*Pension</f>
        <v>270230.79738855216</v>
      </c>
      <c r="C631" s="37">
        <f t="shared" si="117"/>
        <v>52.336755646817245</v>
      </c>
      <c r="D631" s="37">
        <f>IFERROR(VLOOKUP(A631,Data!$I$3:$J$1442,2),0)</f>
        <v>8.5187895E-2</v>
      </c>
      <c r="E631" s="37">
        <f t="shared" si="118"/>
        <v>8.4987894999999994E-2</v>
      </c>
      <c r="F631" s="37">
        <f t="shared" si="123"/>
        <v>1.170205638111761E-2</v>
      </c>
      <c r="G631" s="30">
        <f t="shared" si="124"/>
        <v>3162.2560269552068</v>
      </c>
      <c r="H631" s="38">
        <f t="shared" si="119"/>
        <v>147</v>
      </c>
      <c r="I631" s="39">
        <f t="shared" si="120"/>
        <v>147.96167008898016</v>
      </c>
      <c r="J631" s="40">
        <f t="shared" si="121"/>
        <v>52</v>
      </c>
      <c r="K631" s="43">
        <f>VLOOKUP(J631,Data!$Z$3:$AA$122,2)</f>
        <v>0</v>
      </c>
      <c r="L631" s="41">
        <f t="shared" si="122"/>
        <v>0.96167008898015638</v>
      </c>
      <c r="M631" s="43">
        <f>VLOOKUP(H631,Data!$P$3:$X$122,9)</f>
        <v>0</v>
      </c>
      <c r="N631" s="43">
        <f t="shared" si="125"/>
        <v>0</v>
      </c>
      <c r="O631" s="43">
        <f t="shared" si="126"/>
        <v>0</v>
      </c>
      <c r="P631" s="30">
        <f t="shared" si="127"/>
        <v>0</v>
      </c>
      <c r="Q631" s="31">
        <f t="shared" si="129"/>
        <v>848340.75061972369</v>
      </c>
    </row>
    <row r="632" spans="1:17" x14ac:dyDescent="0.25">
      <c r="A632" s="6">
        <f t="shared" si="128"/>
        <v>62427</v>
      </c>
      <c r="B632" s="30">
        <f>IFERROR(VLOOKUP(A632, Data!$L$3:$N$123, 3),1)*Pension</f>
        <v>270230.79738855216</v>
      </c>
      <c r="C632" s="37">
        <f t="shared" si="117"/>
        <v>52.418891170431209</v>
      </c>
      <c r="D632" s="37">
        <f>IFERROR(VLOOKUP(A632,Data!$I$3:$J$1442,2),0)</f>
        <v>8.5164097999999994E-2</v>
      </c>
      <c r="E632" s="37">
        <f t="shared" si="118"/>
        <v>8.4964097999999988E-2</v>
      </c>
      <c r="F632" s="37">
        <f t="shared" si="123"/>
        <v>1.1635159118695608E-2</v>
      </c>
      <c r="G632" s="30">
        <f t="shared" si="124"/>
        <v>3144.1783263877978</v>
      </c>
      <c r="H632" s="38">
        <f t="shared" si="119"/>
        <v>148</v>
      </c>
      <c r="I632" s="39">
        <f t="shared" si="120"/>
        <v>148.04380561259413</v>
      </c>
      <c r="J632" s="40">
        <f t="shared" si="121"/>
        <v>53</v>
      </c>
      <c r="K632" s="43">
        <f>VLOOKUP(J632,Data!$Z$3:$AA$122,2)</f>
        <v>0</v>
      </c>
      <c r="L632" s="41">
        <f t="shared" si="122"/>
        <v>4.3805612594127297E-2</v>
      </c>
      <c r="M632" s="43">
        <f>VLOOKUP(H632,Data!$P$3:$X$122,9)</f>
        <v>0</v>
      </c>
      <c r="N632" s="43">
        <f t="shared" si="125"/>
        <v>0</v>
      </c>
      <c r="O632" s="43">
        <f t="shared" si="126"/>
        <v>0</v>
      </c>
      <c r="P632" s="30">
        <f t="shared" si="127"/>
        <v>0</v>
      </c>
      <c r="Q632" s="31">
        <f t="shared" si="129"/>
        <v>848340.75061972369</v>
      </c>
    </row>
    <row r="633" spans="1:17" x14ac:dyDescent="0.25">
      <c r="A633" s="6">
        <f t="shared" si="128"/>
        <v>62458</v>
      </c>
      <c r="B633" s="30">
        <f>IFERROR(VLOOKUP(A633, Data!$L$3:$N$123, 3),1)*Pension</f>
        <v>283742.33725797973</v>
      </c>
      <c r="C633" s="37">
        <f t="shared" si="117"/>
        <v>52.503764544832308</v>
      </c>
      <c r="D633" s="37">
        <f>IFERROR(VLOOKUP(A633,Data!$I$3:$J$1442,2),0)</f>
        <v>8.5139586000000003E-2</v>
      </c>
      <c r="E633" s="37">
        <f t="shared" si="118"/>
        <v>8.4939585999999997E-2</v>
      </c>
      <c r="F633" s="37">
        <f t="shared" si="123"/>
        <v>1.1566433679540255E-2</v>
      </c>
      <c r="G633" s="30">
        <f t="shared" si="124"/>
        <v>3281.8869259721664</v>
      </c>
      <c r="H633" s="38">
        <f t="shared" si="119"/>
        <v>148</v>
      </c>
      <c r="I633" s="39">
        <f t="shared" si="120"/>
        <v>148.1286789869952</v>
      </c>
      <c r="J633" s="40">
        <f t="shared" si="121"/>
        <v>53</v>
      </c>
      <c r="K633" s="43">
        <f>VLOOKUP(J633,Data!$Z$3:$AA$122,2)</f>
        <v>0</v>
      </c>
      <c r="L633" s="41">
        <f t="shared" si="122"/>
        <v>0.12867898699519742</v>
      </c>
      <c r="M633" s="43">
        <f>VLOOKUP(H633,Data!$P$3:$X$122,9)</f>
        <v>0</v>
      </c>
      <c r="N633" s="43">
        <f t="shared" si="125"/>
        <v>0</v>
      </c>
      <c r="O633" s="43">
        <f t="shared" si="126"/>
        <v>0</v>
      </c>
      <c r="P633" s="30">
        <f t="shared" si="127"/>
        <v>0</v>
      </c>
      <c r="Q633" s="31">
        <f t="shared" si="129"/>
        <v>848340.75061972369</v>
      </c>
    </row>
    <row r="634" spans="1:17" x14ac:dyDescent="0.25">
      <c r="A634" s="6">
        <f t="shared" si="128"/>
        <v>62489</v>
      </c>
      <c r="B634" s="30">
        <f>IFERROR(VLOOKUP(A634, Data!$L$3:$N$123, 3),1)*Pension</f>
        <v>283742.33725797973</v>
      </c>
      <c r="C634" s="37">
        <f t="shared" si="117"/>
        <v>52.588637919233399</v>
      </c>
      <c r="D634" s="37">
        <f>IFERROR(VLOOKUP(A634,Data!$I$3:$J$1442,2),0)</f>
        <v>8.5115153999999998E-2</v>
      </c>
      <c r="E634" s="37">
        <f t="shared" si="118"/>
        <v>8.4915153999999993E-2</v>
      </c>
      <c r="F634" s="37">
        <f t="shared" si="123"/>
        <v>1.149811364931282E-2</v>
      </c>
      <c r="G634" s="30">
        <f t="shared" si="124"/>
        <v>3262.501640913898</v>
      </c>
      <c r="H634" s="38">
        <f t="shared" si="119"/>
        <v>148</v>
      </c>
      <c r="I634" s="39">
        <f t="shared" si="120"/>
        <v>148.2135523613963</v>
      </c>
      <c r="J634" s="40">
        <f t="shared" si="121"/>
        <v>53</v>
      </c>
      <c r="K634" s="43">
        <f>VLOOKUP(J634,Data!$Z$3:$AA$122,2)</f>
        <v>0</v>
      </c>
      <c r="L634" s="41">
        <f t="shared" si="122"/>
        <v>0.21355236139629596</v>
      </c>
      <c r="M634" s="43">
        <f>VLOOKUP(H634,Data!$P$3:$X$122,9)</f>
        <v>0</v>
      </c>
      <c r="N634" s="43">
        <f t="shared" si="125"/>
        <v>0</v>
      </c>
      <c r="O634" s="43">
        <f t="shared" si="126"/>
        <v>0</v>
      </c>
      <c r="P634" s="30">
        <f t="shared" si="127"/>
        <v>0</v>
      </c>
      <c r="Q634" s="31">
        <f t="shared" si="129"/>
        <v>848340.75061972369</v>
      </c>
    </row>
    <row r="635" spans="1:17" x14ac:dyDescent="0.25">
      <c r="A635" s="6">
        <f t="shared" si="128"/>
        <v>62517</v>
      </c>
      <c r="B635" s="30">
        <f>IFERROR(VLOOKUP(A635, Data!$L$3:$N$123, 3),1)*Pension</f>
        <v>283742.33725797973</v>
      </c>
      <c r="C635" s="37">
        <f t="shared" si="117"/>
        <v>52.6652977412731</v>
      </c>
      <c r="D635" s="37">
        <f>IFERROR(VLOOKUP(A635,Data!$I$3:$J$1442,2),0)</f>
        <v>8.5093153000000005E-2</v>
      </c>
      <c r="E635" s="37">
        <f t="shared" si="118"/>
        <v>8.4893152999999999E-2</v>
      </c>
      <c r="F635" s="37">
        <f t="shared" si="123"/>
        <v>1.1436752806128084E-2</v>
      </c>
      <c r="G635" s="30">
        <f t="shared" si="124"/>
        <v>3245.0909718525409</v>
      </c>
      <c r="H635" s="38">
        <f t="shared" si="119"/>
        <v>148</v>
      </c>
      <c r="I635" s="39">
        <f t="shared" si="120"/>
        <v>148.29021218343601</v>
      </c>
      <c r="J635" s="40">
        <f t="shared" si="121"/>
        <v>53</v>
      </c>
      <c r="K635" s="43">
        <f>VLOOKUP(J635,Data!$Z$3:$AA$122,2)</f>
        <v>0</v>
      </c>
      <c r="L635" s="41">
        <f t="shared" si="122"/>
        <v>0.29021218343601163</v>
      </c>
      <c r="M635" s="43">
        <f>VLOOKUP(H635,Data!$P$3:$X$122,9)</f>
        <v>0</v>
      </c>
      <c r="N635" s="43">
        <f t="shared" si="125"/>
        <v>0</v>
      </c>
      <c r="O635" s="43">
        <f t="shared" si="126"/>
        <v>0</v>
      </c>
      <c r="P635" s="30">
        <f t="shared" si="127"/>
        <v>0</v>
      </c>
      <c r="Q635" s="31">
        <f t="shared" si="129"/>
        <v>848340.75061972369</v>
      </c>
    </row>
    <row r="636" spans="1:17" x14ac:dyDescent="0.25">
      <c r="A636" s="6">
        <f t="shared" si="128"/>
        <v>62548</v>
      </c>
      <c r="B636" s="30">
        <f>IFERROR(VLOOKUP(A636, Data!$L$3:$N$123, 3),1)*Pension</f>
        <v>283742.33725797973</v>
      </c>
      <c r="C636" s="37">
        <f t="shared" si="117"/>
        <v>52.750171115674199</v>
      </c>
      <c r="D636" s="37">
        <f>IFERROR(VLOOKUP(A636,Data!$I$3:$J$1442,2),0)</f>
        <v>8.5068870000000005E-2</v>
      </c>
      <c r="E636" s="37">
        <f t="shared" si="118"/>
        <v>8.4868869999999999E-2</v>
      </c>
      <c r="F636" s="37">
        <f t="shared" si="123"/>
        <v>1.1369199083634237E-2</v>
      </c>
      <c r="G636" s="30">
        <f t="shared" si="124"/>
        <v>3225.9231207416597</v>
      </c>
      <c r="H636" s="38">
        <f t="shared" si="119"/>
        <v>148</v>
      </c>
      <c r="I636" s="39">
        <f t="shared" si="120"/>
        <v>148.37508555783711</v>
      </c>
      <c r="J636" s="40">
        <f t="shared" si="121"/>
        <v>53</v>
      </c>
      <c r="K636" s="43">
        <f>VLOOKUP(J636,Data!$Z$3:$AA$122,2)</f>
        <v>0</v>
      </c>
      <c r="L636" s="41">
        <f t="shared" si="122"/>
        <v>0.37508555783711017</v>
      </c>
      <c r="M636" s="43">
        <f>VLOOKUP(H636,Data!$P$3:$X$122,9)</f>
        <v>0</v>
      </c>
      <c r="N636" s="43">
        <f t="shared" si="125"/>
        <v>0</v>
      </c>
      <c r="O636" s="43">
        <f t="shared" si="126"/>
        <v>0</v>
      </c>
      <c r="P636" s="30">
        <f t="shared" si="127"/>
        <v>0</v>
      </c>
      <c r="Q636" s="31">
        <f t="shared" si="129"/>
        <v>848340.75061972369</v>
      </c>
    </row>
    <row r="637" spans="1:17" x14ac:dyDescent="0.25">
      <c r="A637" s="6">
        <f t="shared" si="128"/>
        <v>62578</v>
      </c>
      <c r="B637" s="30">
        <f>IFERROR(VLOOKUP(A637, Data!$L$3:$N$123, 3),1)*Pension</f>
        <v>283742.33725797973</v>
      </c>
      <c r="C637" s="37">
        <f t="shared" si="117"/>
        <v>52.832306639288156</v>
      </c>
      <c r="D637" s="37">
        <f>IFERROR(VLOOKUP(A637,Data!$I$3:$J$1442,2),0)</f>
        <v>8.5045444999999997E-2</v>
      </c>
      <c r="E637" s="37">
        <f t="shared" si="118"/>
        <v>8.4845444999999992E-2</v>
      </c>
      <c r="F637" s="37">
        <f t="shared" si="123"/>
        <v>1.1304204224577947E-2</v>
      </c>
      <c r="G637" s="30">
        <f t="shared" si="124"/>
        <v>3207.481327523275</v>
      </c>
      <c r="H637" s="38">
        <f t="shared" si="119"/>
        <v>148</v>
      </c>
      <c r="I637" s="39">
        <f t="shared" si="120"/>
        <v>148.45722108145105</v>
      </c>
      <c r="J637" s="40">
        <f t="shared" si="121"/>
        <v>53</v>
      </c>
      <c r="K637" s="43">
        <f>VLOOKUP(J637,Data!$Z$3:$AA$122,2)</f>
        <v>0</v>
      </c>
      <c r="L637" s="41">
        <f t="shared" si="122"/>
        <v>0.45722108145105267</v>
      </c>
      <c r="M637" s="43">
        <f>VLOOKUP(H637,Data!$P$3:$X$122,9)</f>
        <v>0</v>
      </c>
      <c r="N637" s="43">
        <f t="shared" si="125"/>
        <v>0</v>
      </c>
      <c r="O637" s="43">
        <f t="shared" si="126"/>
        <v>0</v>
      </c>
      <c r="P637" s="30">
        <f t="shared" si="127"/>
        <v>0</v>
      </c>
      <c r="Q637" s="31">
        <f t="shared" si="129"/>
        <v>848340.75061972369</v>
      </c>
    </row>
    <row r="638" spans="1:17" x14ac:dyDescent="0.25">
      <c r="A638" s="6">
        <f t="shared" si="128"/>
        <v>62609</v>
      </c>
      <c r="B638" s="30">
        <f>IFERROR(VLOOKUP(A638, Data!$L$3:$N$123, 3),1)*Pension</f>
        <v>283742.33725797973</v>
      </c>
      <c r="C638" s="37">
        <f t="shared" si="117"/>
        <v>52.917180013689254</v>
      </c>
      <c r="D638" s="37">
        <f>IFERROR(VLOOKUP(A638,Data!$I$3:$J$1442,2),0)</f>
        <v>8.5021315E-2</v>
      </c>
      <c r="E638" s="37">
        <f t="shared" si="118"/>
        <v>8.4821314999999994E-2</v>
      </c>
      <c r="F638" s="37">
        <f t="shared" si="123"/>
        <v>1.1237433522872512E-2</v>
      </c>
      <c r="G638" s="30">
        <f t="shared" si="124"/>
        <v>3188.5356525610196</v>
      </c>
      <c r="H638" s="38">
        <f t="shared" si="119"/>
        <v>148</v>
      </c>
      <c r="I638" s="39">
        <f t="shared" si="120"/>
        <v>148.54209445585215</v>
      </c>
      <c r="J638" s="40">
        <f t="shared" si="121"/>
        <v>53</v>
      </c>
      <c r="K638" s="43">
        <f>VLOOKUP(J638,Data!$Z$3:$AA$122,2)</f>
        <v>0</v>
      </c>
      <c r="L638" s="41">
        <f t="shared" si="122"/>
        <v>0.54209445585215121</v>
      </c>
      <c r="M638" s="43">
        <f>VLOOKUP(H638,Data!$P$3:$X$122,9)</f>
        <v>0</v>
      </c>
      <c r="N638" s="43">
        <f t="shared" si="125"/>
        <v>0</v>
      </c>
      <c r="O638" s="43">
        <f t="shared" si="126"/>
        <v>0</v>
      </c>
      <c r="P638" s="30">
        <f t="shared" si="127"/>
        <v>0</v>
      </c>
      <c r="Q638" s="31">
        <f t="shared" si="129"/>
        <v>848340.75061972369</v>
      </c>
    </row>
    <row r="639" spans="1:17" x14ac:dyDescent="0.25">
      <c r="A639" s="6">
        <f t="shared" si="128"/>
        <v>62639</v>
      </c>
      <c r="B639" s="30">
        <f>IFERROR(VLOOKUP(A639, Data!$L$3:$N$123, 3),1)*Pension</f>
        <v>283742.33725797973</v>
      </c>
      <c r="C639" s="37">
        <f t="shared" si="117"/>
        <v>52.999315537303218</v>
      </c>
      <c r="D639" s="37">
        <f>IFERROR(VLOOKUP(A639,Data!$I$3:$J$1442,2),0)</f>
        <v>8.4998036999999999E-2</v>
      </c>
      <c r="E639" s="37">
        <f t="shared" si="118"/>
        <v>8.4798036999999993E-2</v>
      </c>
      <c r="F639" s="37">
        <f t="shared" si="123"/>
        <v>1.1173192238817273E-2</v>
      </c>
      <c r="G639" s="30">
        <f t="shared" si="124"/>
        <v>3170.3076804747325</v>
      </c>
      <c r="H639" s="38">
        <f t="shared" si="119"/>
        <v>148</v>
      </c>
      <c r="I639" s="39">
        <f t="shared" si="120"/>
        <v>148.62422997946612</v>
      </c>
      <c r="J639" s="40">
        <f t="shared" si="121"/>
        <v>53</v>
      </c>
      <c r="K639" s="43">
        <f>VLOOKUP(J639,Data!$Z$3:$AA$122,2)</f>
        <v>0</v>
      </c>
      <c r="L639" s="41">
        <f t="shared" si="122"/>
        <v>0.62422997946612213</v>
      </c>
      <c r="M639" s="43">
        <f>VLOOKUP(H639,Data!$P$3:$X$122,9)</f>
        <v>0</v>
      </c>
      <c r="N639" s="43">
        <f t="shared" si="125"/>
        <v>0</v>
      </c>
      <c r="O639" s="43">
        <f t="shared" si="126"/>
        <v>0</v>
      </c>
      <c r="P639" s="30">
        <f t="shared" si="127"/>
        <v>0</v>
      </c>
      <c r="Q639" s="31">
        <f t="shared" si="129"/>
        <v>848340.75061972369</v>
      </c>
    </row>
    <row r="640" spans="1:17" x14ac:dyDescent="0.25">
      <c r="A640" s="6">
        <f t="shared" si="128"/>
        <v>62670</v>
      </c>
      <c r="B640" s="30">
        <f>IFERROR(VLOOKUP(A640, Data!$L$3:$N$123, 3),1)*Pension</f>
        <v>283742.33725797973</v>
      </c>
      <c r="C640" s="37">
        <f t="shared" si="117"/>
        <v>53.08418891170431</v>
      </c>
      <c r="D640" s="37">
        <f>IFERROR(VLOOKUP(A640,Data!$I$3:$J$1442,2),0)</f>
        <v>8.4974058000000005E-2</v>
      </c>
      <c r="E640" s="37">
        <f t="shared" si="118"/>
        <v>8.4774057999999999E-2</v>
      </c>
      <c r="F640" s="37">
        <f t="shared" si="123"/>
        <v>1.1107195808288227E-2</v>
      </c>
      <c r="G640" s="30">
        <f t="shared" si="124"/>
        <v>3151.5816990257367</v>
      </c>
      <c r="H640" s="38">
        <f t="shared" si="119"/>
        <v>148</v>
      </c>
      <c r="I640" s="39">
        <f t="shared" si="120"/>
        <v>148.70910335386722</v>
      </c>
      <c r="J640" s="40">
        <f t="shared" si="121"/>
        <v>53</v>
      </c>
      <c r="K640" s="43">
        <f>VLOOKUP(J640,Data!$Z$3:$AA$122,2)</f>
        <v>0</v>
      </c>
      <c r="L640" s="41">
        <f t="shared" si="122"/>
        <v>0.70910335386722068</v>
      </c>
      <c r="M640" s="43">
        <f>VLOOKUP(H640,Data!$P$3:$X$122,9)</f>
        <v>0</v>
      </c>
      <c r="N640" s="43">
        <f t="shared" si="125"/>
        <v>0</v>
      </c>
      <c r="O640" s="43">
        <f t="shared" si="126"/>
        <v>0</v>
      </c>
      <c r="P640" s="30">
        <f t="shared" si="127"/>
        <v>0</v>
      </c>
      <c r="Q640" s="31">
        <f t="shared" si="129"/>
        <v>848340.75061972369</v>
      </c>
    </row>
    <row r="641" spans="1:17" x14ac:dyDescent="0.25">
      <c r="A641" s="6">
        <f t="shared" si="128"/>
        <v>62701</v>
      </c>
      <c r="B641" s="30">
        <f>IFERROR(VLOOKUP(A641, Data!$L$3:$N$123, 3),1)*Pension</f>
        <v>283742.33725797973</v>
      </c>
      <c r="C641" s="37">
        <f t="shared" si="117"/>
        <v>53.169062286105408</v>
      </c>
      <c r="D641" s="37">
        <f>IFERROR(VLOOKUP(A641,Data!$I$3:$J$1442,2),0)</f>
        <v>8.4950155999999999E-2</v>
      </c>
      <c r="E641" s="37">
        <f t="shared" si="118"/>
        <v>8.4750155999999993E-2</v>
      </c>
      <c r="F641" s="37">
        <f t="shared" si="123"/>
        <v>1.104158893606604E-2</v>
      </c>
      <c r="G641" s="30">
        <f t="shared" si="124"/>
        <v>3132.9662517612278</v>
      </c>
      <c r="H641" s="38">
        <f t="shared" si="119"/>
        <v>148</v>
      </c>
      <c r="I641" s="39">
        <f t="shared" si="120"/>
        <v>148.79397672826832</v>
      </c>
      <c r="J641" s="40">
        <f t="shared" si="121"/>
        <v>53</v>
      </c>
      <c r="K641" s="43">
        <f>VLOOKUP(J641,Data!$Z$3:$AA$122,2)</f>
        <v>0</v>
      </c>
      <c r="L641" s="41">
        <f t="shared" si="122"/>
        <v>0.79397672826831922</v>
      </c>
      <c r="M641" s="43">
        <f>VLOOKUP(H641,Data!$P$3:$X$122,9)</f>
        <v>0</v>
      </c>
      <c r="N641" s="43">
        <f t="shared" si="125"/>
        <v>0</v>
      </c>
      <c r="O641" s="43">
        <f t="shared" si="126"/>
        <v>0</v>
      </c>
      <c r="P641" s="30">
        <f t="shared" si="127"/>
        <v>0</v>
      </c>
      <c r="Q641" s="31">
        <f t="shared" si="129"/>
        <v>848340.75061972369</v>
      </c>
    </row>
    <row r="642" spans="1:17" x14ac:dyDescent="0.25">
      <c r="A642" s="6">
        <f t="shared" si="128"/>
        <v>62731</v>
      </c>
      <c r="B642" s="30">
        <f>IFERROR(VLOOKUP(A642, Data!$L$3:$N$123, 3),1)*Pension</f>
        <v>283742.33725797973</v>
      </c>
      <c r="C642" s="37">
        <f t="shared" si="117"/>
        <v>53.251197809719372</v>
      </c>
      <c r="D642" s="37">
        <f>IFERROR(VLOOKUP(A642,Data!$I$3:$J$1442,2),0)</f>
        <v>8.4927098000000006E-2</v>
      </c>
      <c r="E642" s="37">
        <f t="shared" si="118"/>
        <v>8.4727098000000001E-2</v>
      </c>
      <c r="F642" s="37">
        <f t="shared" si="123"/>
        <v>1.0978467161307072E-2</v>
      </c>
      <c r="G642" s="30">
        <f t="shared" si="124"/>
        <v>3115.0559318592468</v>
      </c>
      <c r="H642" s="38">
        <f t="shared" si="119"/>
        <v>148</v>
      </c>
      <c r="I642" s="39">
        <f t="shared" si="120"/>
        <v>148.87611225188226</v>
      </c>
      <c r="J642" s="40">
        <f t="shared" si="121"/>
        <v>53</v>
      </c>
      <c r="K642" s="43">
        <f>VLOOKUP(J642,Data!$Z$3:$AA$122,2)</f>
        <v>0</v>
      </c>
      <c r="L642" s="41">
        <f t="shared" si="122"/>
        <v>0.87611225188226172</v>
      </c>
      <c r="M642" s="43">
        <f>VLOOKUP(H642,Data!$P$3:$X$122,9)</f>
        <v>0</v>
      </c>
      <c r="N642" s="43">
        <f t="shared" si="125"/>
        <v>0</v>
      </c>
      <c r="O642" s="43">
        <f t="shared" si="126"/>
        <v>0</v>
      </c>
      <c r="P642" s="30">
        <f t="shared" si="127"/>
        <v>0</v>
      </c>
      <c r="Q642" s="31">
        <f t="shared" si="129"/>
        <v>848340.75061972369</v>
      </c>
    </row>
    <row r="643" spans="1:17" x14ac:dyDescent="0.25">
      <c r="A643" s="6">
        <f t="shared" si="128"/>
        <v>62762</v>
      </c>
      <c r="B643" s="30">
        <f>IFERROR(VLOOKUP(A643, Data!$L$3:$N$123, 3),1)*Pension</f>
        <v>283742.33725797973</v>
      </c>
      <c r="C643" s="37">
        <f t="shared" ref="C643:C706" si="130">(A643-EffDate)/365.25</f>
        <v>53.336071184120463</v>
      </c>
      <c r="D643" s="37">
        <f>IFERROR(VLOOKUP(A643,Data!$I$3:$J$1442,2),0)</f>
        <v>8.4903346000000005E-2</v>
      </c>
      <c r="E643" s="37">
        <f t="shared" ref="E643:E706" si="131">D643-Fees</f>
        <v>8.4703345999999999E-2</v>
      </c>
      <c r="F643" s="37">
        <f t="shared" si="123"/>
        <v>1.0913620400534712E-2</v>
      </c>
      <c r="G643" s="30">
        <f t="shared" si="124"/>
        <v>3096.6561603940881</v>
      </c>
      <c r="H643" s="38">
        <f t="shared" ref="H643:H706" si="132">IF(OR(A643 = DATE(YEAR(A643), MONTH(Date_of_Birth), DAY(Date_of_Birth)),AND(A643 = DATE(YEAR(A643), MONTH(Date_of_Birth), DAY(Date_of_Birth)-1), AND(MONTH(Date_of_Birth)=2, DAY(Date_of_Birth) = 29))), ROUND((A643-Date_of_Birth)/365.25,0),ROUNDDOWN((A643-Date_of_Birth)/365.25,0))</f>
        <v>148</v>
      </c>
      <c r="I643" s="39">
        <f t="shared" ref="I643:I706" si="133">IF(OR(A643 = DATE(YEAR(A643), MONTH(Date_of_Birth), DAY(Date_of_Birth)),AND(A643 = DATE(YEAR(A643), MONTH(Date_of_Birth), DAY(Date_of_Birth)-1), AND(MONTH(Date_of_Birth)=2, DAY(Date_of_Birth) = 29))), ROUND((A643-Date_of_Birth)/365.25,0),(A643-Date_of_Birth)/365.25)</f>
        <v>148.96098562628336</v>
      </c>
      <c r="J643" s="40">
        <f t="shared" ref="J643:J706" si="134">H643-StartAge</f>
        <v>53</v>
      </c>
      <c r="K643" s="43">
        <f>VLOOKUP(J643,Data!$Z$3:$AA$122,2)</f>
        <v>0</v>
      </c>
      <c r="L643" s="41">
        <f t="shared" ref="L643:L706" si="135">IF(A643&lt;=NextBirth,(A643-EffDate)/365.25,(I643-H643))</f>
        <v>0.96098562628336026</v>
      </c>
      <c r="M643" s="43">
        <f>VLOOKUP(H643,Data!$P$3:$X$122,9)</f>
        <v>0</v>
      </c>
      <c r="N643" s="43">
        <f t="shared" si="125"/>
        <v>0</v>
      </c>
      <c r="O643" s="43">
        <f t="shared" si="126"/>
        <v>0</v>
      </c>
      <c r="P643" s="30">
        <f t="shared" si="127"/>
        <v>0</v>
      </c>
      <c r="Q643" s="31">
        <f t="shared" si="129"/>
        <v>848340.75061972369</v>
      </c>
    </row>
    <row r="644" spans="1:17" x14ac:dyDescent="0.25">
      <c r="A644" s="6">
        <f t="shared" si="128"/>
        <v>62792</v>
      </c>
      <c r="B644" s="30">
        <f>IFERROR(VLOOKUP(A644, Data!$L$3:$N$123, 3),1)*Pension</f>
        <v>283742.33725797973</v>
      </c>
      <c r="C644" s="37">
        <f t="shared" si="130"/>
        <v>53.418206707734427</v>
      </c>
      <c r="D644" s="37">
        <f>IFERROR(VLOOKUP(A644,Data!$I$3:$J$1442,2),0)</f>
        <v>8.4880432000000006E-2</v>
      </c>
      <c r="E644" s="37">
        <f t="shared" si="131"/>
        <v>8.4680432E-2</v>
      </c>
      <c r="F644" s="37">
        <f t="shared" ref="F644:F707" si="136">EXP(-E644*C644)</f>
        <v>1.0851230224504774E-2</v>
      </c>
      <c r="G644" s="30">
        <f t="shared" ref="G644:G707" si="137">B644*F644</f>
        <v>3078.9534260254168</v>
      </c>
      <c r="H644" s="38">
        <f t="shared" si="132"/>
        <v>149</v>
      </c>
      <c r="I644" s="39">
        <f t="shared" si="133"/>
        <v>149.04312114989733</v>
      </c>
      <c r="J644" s="40">
        <f t="shared" si="134"/>
        <v>54</v>
      </c>
      <c r="K644" s="43">
        <f>VLOOKUP(J644,Data!$Z$3:$AA$122,2)</f>
        <v>0</v>
      </c>
      <c r="L644" s="41">
        <f t="shared" si="135"/>
        <v>4.3121149897331179E-2</v>
      </c>
      <c r="M644" s="43">
        <f>VLOOKUP(H644,Data!$P$3:$X$122,9)</f>
        <v>0</v>
      </c>
      <c r="N644" s="43">
        <f t="shared" ref="N644:N707" si="138">IF(M644=0, 0, EXP(-L644*M644))</f>
        <v>0</v>
      </c>
      <c r="O644" s="43">
        <f t="shared" ref="O644:O707" si="139">K644*N644</f>
        <v>0</v>
      </c>
      <c r="P644" s="30">
        <f t="shared" ref="P644:P707" si="140">G644*O644</f>
        <v>0</v>
      </c>
      <c r="Q644" s="31">
        <f t="shared" si="129"/>
        <v>848340.75061972369</v>
      </c>
    </row>
    <row r="645" spans="1:17" x14ac:dyDescent="0.25">
      <c r="A645" s="6">
        <f t="shared" ref="A645:A708" si="141">EOMONTH(A644,1)</f>
        <v>62823</v>
      </c>
      <c r="B645" s="30">
        <f>IFERROR(VLOOKUP(A645, Data!$L$3:$N$123, 3),1)*Pension</f>
        <v>297929.45412087871</v>
      </c>
      <c r="C645" s="37">
        <f t="shared" si="130"/>
        <v>53.503080082135526</v>
      </c>
      <c r="D645" s="37">
        <f>IFERROR(VLOOKUP(A645,Data!$I$3:$J$1442,2),0)</f>
        <v>8.4856827999999995E-2</v>
      </c>
      <c r="E645" s="37">
        <f t="shared" si="131"/>
        <v>8.465682799999999E-2</v>
      </c>
      <c r="F645" s="37">
        <f t="shared" si="136"/>
        <v>1.0787135114550267E-2</v>
      </c>
      <c r="G645" s="30">
        <f t="shared" si="137"/>
        <v>3213.8052762061234</v>
      </c>
      <c r="H645" s="38">
        <f t="shared" si="132"/>
        <v>149</v>
      </c>
      <c r="I645" s="39">
        <f t="shared" si="133"/>
        <v>149.12799452429843</v>
      </c>
      <c r="J645" s="40">
        <f t="shared" si="134"/>
        <v>54</v>
      </c>
      <c r="K645" s="43">
        <f>VLOOKUP(J645,Data!$Z$3:$AA$122,2)</f>
        <v>0</v>
      </c>
      <c r="L645" s="41">
        <f t="shared" si="135"/>
        <v>0.12799452429842972</v>
      </c>
      <c r="M645" s="43">
        <f>VLOOKUP(H645,Data!$P$3:$X$122,9)</f>
        <v>0</v>
      </c>
      <c r="N645" s="43">
        <f t="shared" si="138"/>
        <v>0</v>
      </c>
      <c r="O645" s="43">
        <f t="shared" si="139"/>
        <v>0</v>
      </c>
      <c r="P645" s="30">
        <f t="shared" si="140"/>
        <v>0</v>
      </c>
      <c r="Q645" s="31">
        <f t="shared" ref="Q645:Q708" si="142">Q644+P645</f>
        <v>848340.75061972369</v>
      </c>
    </row>
    <row r="646" spans="1:17" x14ac:dyDescent="0.25">
      <c r="A646" s="6">
        <f t="shared" si="141"/>
        <v>62854</v>
      </c>
      <c r="B646" s="30">
        <f>IFERROR(VLOOKUP(A646, Data!$L$3:$N$123, 3),1)*Pension</f>
        <v>297929.45412087871</v>
      </c>
      <c r="C646" s="37">
        <f t="shared" si="130"/>
        <v>53.587953456536617</v>
      </c>
      <c r="D646" s="37">
        <f>IFERROR(VLOOKUP(A646,Data!$I$3:$J$1442,2),0)</f>
        <v>8.4833299000000001E-2</v>
      </c>
      <c r="E646" s="37">
        <f t="shared" si="131"/>
        <v>8.4633298999999995E-2</v>
      </c>
      <c r="F646" s="37">
        <f t="shared" si="136"/>
        <v>1.0723418463149469E-2</v>
      </c>
      <c r="G646" s="30">
        <f t="shared" si="137"/>
        <v>3194.8222090358731</v>
      </c>
      <c r="H646" s="38">
        <f t="shared" si="132"/>
        <v>149</v>
      </c>
      <c r="I646" s="39">
        <f t="shared" si="133"/>
        <v>149.21286789869953</v>
      </c>
      <c r="J646" s="40">
        <f t="shared" si="134"/>
        <v>54</v>
      </c>
      <c r="K646" s="43">
        <f>VLOOKUP(J646,Data!$Z$3:$AA$122,2)</f>
        <v>0</v>
      </c>
      <c r="L646" s="41">
        <f t="shared" si="135"/>
        <v>0.21286789869952827</v>
      </c>
      <c r="M646" s="43">
        <f>VLOOKUP(H646,Data!$P$3:$X$122,9)</f>
        <v>0</v>
      </c>
      <c r="N646" s="43">
        <f t="shared" si="138"/>
        <v>0</v>
      </c>
      <c r="O646" s="43">
        <f t="shared" si="139"/>
        <v>0</v>
      </c>
      <c r="P646" s="30">
        <f t="shared" si="140"/>
        <v>0</v>
      </c>
      <c r="Q646" s="31">
        <f t="shared" si="142"/>
        <v>848340.75061972369</v>
      </c>
    </row>
    <row r="647" spans="1:17" x14ac:dyDescent="0.25">
      <c r="A647" s="6">
        <f t="shared" si="141"/>
        <v>62883</v>
      </c>
      <c r="B647" s="30">
        <f>IFERROR(VLOOKUP(A647, Data!$L$3:$N$123, 3),1)*Pension</f>
        <v>297929.45412087871</v>
      </c>
      <c r="C647" s="37">
        <f t="shared" si="130"/>
        <v>53.667351129363446</v>
      </c>
      <c r="D647" s="37">
        <f>IFERROR(VLOOKUP(A647,Data!$I$3:$J$1442,2),0)</f>
        <v>8.4811355000000005E-2</v>
      </c>
      <c r="E647" s="37">
        <f t="shared" si="131"/>
        <v>8.4611354999999999E-2</v>
      </c>
      <c r="F647" s="37">
        <f t="shared" si="136"/>
        <v>1.0664153539132628E-2</v>
      </c>
      <c r="G647" s="30">
        <f t="shared" si="137"/>
        <v>3177.1654425750207</v>
      </c>
      <c r="H647" s="38">
        <f t="shared" si="132"/>
        <v>149</v>
      </c>
      <c r="I647" s="39">
        <f t="shared" si="133"/>
        <v>149.29226557152634</v>
      </c>
      <c r="J647" s="40">
        <f t="shared" si="134"/>
        <v>54</v>
      </c>
      <c r="K647" s="43">
        <f>VLOOKUP(J647,Data!$Z$3:$AA$122,2)</f>
        <v>0</v>
      </c>
      <c r="L647" s="41">
        <f t="shared" si="135"/>
        <v>0.29226557152634314</v>
      </c>
      <c r="M647" s="43">
        <f>VLOOKUP(H647,Data!$P$3:$X$122,9)</f>
        <v>0</v>
      </c>
      <c r="N647" s="43">
        <f t="shared" si="138"/>
        <v>0</v>
      </c>
      <c r="O647" s="43">
        <f t="shared" si="139"/>
        <v>0</v>
      </c>
      <c r="P647" s="30">
        <f t="shared" si="140"/>
        <v>0</v>
      </c>
      <c r="Q647" s="31">
        <f t="shared" si="142"/>
        <v>848340.75061972369</v>
      </c>
    </row>
    <row r="648" spans="1:17" x14ac:dyDescent="0.25">
      <c r="A648" s="6">
        <f t="shared" si="141"/>
        <v>62914</v>
      </c>
      <c r="B648" s="30">
        <f>IFERROR(VLOOKUP(A648, Data!$L$3:$N$123, 3),1)*Pension</f>
        <v>297929.45412087871</v>
      </c>
      <c r="C648" s="37">
        <f t="shared" si="130"/>
        <v>53.752224503764545</v>
      </c>
      <c r="D648" s="37">
        <f>IFERROR(VLOOKUP(A648,Data!$I$3:$J$1442,2),0)</f>
        <v>8.4787969000000005E-2</v>
      </c>
      <c r="E648" s="37">
        <f t="shared" si="131"/>
        <v>8.4587968999999999E-2</v>
      </c>
      <c r="F648" s="37">
        <f t="shared" si="136"/>
        <v>1.0601163709175162E-2</v>
      </c>
      <c r="G648" s="30">
        <f t="shared" si="137"/>
        <v>3158.3989169206257</v>
      </c>
      <c r="H648" s="38">
        <f t="shared" si="132"/>
        <v>149</v>
      </c>
      <c r="I648" s="39">
        <f t="shared" si="133"/>
        <v>149.37713894592744</v>
      </c>
      <c r="J648" s="40">
        <f t="shared" si="134"/>
        <v>54</v>
      </c>
      <c r="K648" s="43">
        <f>VLOOKUP(J648,Data!$Z$3:$AA$122,2)</f>
        <v>0</v>
      </c>
      <c r="L648" s="41">
        <f t="shared" si="135"/>
        <v>0.37713894592744168</v>
      </c>
      <c r="M648" s="43">
        <f>VLOOKUP(H648,Data!$P$3:$X$122,9)</f>
        <v>0</v>
      </c>
      <c r="N648" s="43">
        <f t="shared" si="138"/>
        <v>0</v>
      </c>
      <c r="O648" s="43">
        <f t="shared" si="139"/>
        <v>0</v>
      </c>
      <c r="P648" s="30">
        <f t="shared" si="140"/>
        <v>0</v>
      </c>
      <c r="Q648" s="31">
        <f t="shared" si="142"/>
        <v>848340.75061972369</v>
      </c>
    </row>
    <row r="649" spans="1:17" x14ac:dyDescent="0.25">
      <c r="A649" s="6">
        <f t="shared" si="141"/>
        <v>62944</v>
      </c>
      <c r="B649" s="30">
        <f>IFERROR(VLOOKUP(A649, Data!$L$3:$N$123, 3),1)*Pension</f>
        <v>297929.45412087871</v>
      </c>
      <c r="C649" s="37">
        <f t="shared" si="130"/>
        <v>53.834360027378509</v>
      </c>
      <c r="D649" s="37">
        <f>IFERROR(VLOOKUP(A649,Data!$I$3:$J$1442,2),0)</f>
        <v>8.4765408E-2</v>
      </c>
      <c r="E649" s="37">
        <f t="shared" si="131"/>
        <v>8.4565407999999995E-2</v>
      </c>
      <c r="F649" s="37">
        <f t="shared" si="136"/>
        <v>1.0540559854712851E-2</v>
      </c>
      <c r="G649" s="30">
        <f t="shared" si="137"/>
        <v>3140.343243643048</v>
      </c>
      <c r="H649" s="38">
        <f t="shared" si="132"/>
        <v>149</v>
      </c>
      <c r="I649" s="39">
        <f t="shared" si="133"/>
        <v>149.45927446954141</v>
      </c>
      <c r="J649" s="40">
        <f t="shared" si="134"/>
        <v>54</v>
      </c>
      <c r="K649" s="43">
        <f>VLOOKUP(J649,Data!$Z$3:$AA$122,2)</f>
        <v>0</v>
      </c>
      <c r="L649" s="41">
        <f t="shared" si="135"/>
        <v>0.4592744695414126</v>
      </c>
      <c r="M649" s="43">
        <f>VLOOKUP(H649,Data!$P$3:$X$122,9)</f>
        <v>0</v>
      </c>
      <c r="N649" s="43">
        <f t="shared" si="138"/>
        <v>0</v>
      </c>
      <c r="O649" s="43">
        <f t="shared" si="139"/>
        <v>0</v>
      </c>
      <c r="P649" s="30">
        <f t="shared" si="140"/>
        <v>0</v>
      </c>
      <c r="Q649" s="31">
        <f t="shared" si="142"/>
        <v>848340.75061972369</v>
      </c>
    </row>
    <row r="650" spans="1:17" x14ac:dyDescent="0.25">
      <c r="A650" s="6">
        <f t="shared" si="141"/>
        <v>62975</v>
      </c>
      <c r="B650" s="30">
        <f>IFERROR(VLOOKUP(A650, Data!$L$3:$N$123, 3),1)*Pension</f>
        <v>297929.45412087871</v>
      </c>
      <c r="C650" s="37">
        <f t="shared" si="130"/>
        <v>53.9192334017796</v>
      </c>
      <c r="D650" s="37">
        <f>IFERROR(VLOOKUP(A650,Data!$I$3:$J$1442,2),0)</f>
        <v>8.4742168000000007E-2</v>
      </c>
      <c r="E650" s="37">
        <f t="shared" si="131"/>
        <v>8.4542168000000001E-2</v>
      </c>
      <c r="F650" s="37">
        <f t="shared" si="136"/>
        <v>1.0478299353523577E-2</v>
      </c>
      <c r="G650" s="30">
        <f t="shared" si="137"/>
        <v>3121.7940065104353</v>
      </c>
      <c r="H650" s="38">
        <f t="shared" si="132"/>
        <v>149</v>
      </c>
      <c r="I650" s="39">
        <f t="shared" si="133"/>
        <v>149.54414784394251</v>
      </c>
      <c r="J650" s="40">
        <f t="shared" si="134"/>
        <v>54</v>
      </c>
      <c r="K650" s="43">
        <f>VLOOKUP(J650,Data!$Z$3:$AA$122,2)</f>
        <v>0</v>
      </c>
      <c r="L650" s="41">
        <f t="shared" si="135"/>
        <v>0.54414784394251114</v>
      </c>
      <c r="M650" s="43">
        <f>VLOOKUP(H650,Data!$P$3:$X$122,9)</f>
        <v>0</v>
      </c>
      <c r="N650" s="43">
        <f t="shared" si="138"/>
        <v>0</v>
      </c>
      <c r="O650" s="43">
        <f t="shared" si="139"/>
        <v>0</v>
      </c>
      <c r="P650" s="30">
        <f t="shared" si="140"/>
        <v>0</v>
      </c>
      <c r="Q650" s="31">
        <f t="shared" si="142"/>
        <v>848340.75061972369</v>
      </c>
    </row>
    <row r="651" spans="1:17" x14ac:dyDescent="0.25">
      <c r="A651" s="6">
        <f t="shared" si="141"/>
        <v>63005</v>
      </c>
      <c r="B651" s="30">
        <f>IFERROR(VLOOKUP(A651, Data!$L$3:$N$123, 3),1)*Pension</f>
        <v>297929.45412087871</v>
      </c>
      <c r="C651" s="37">
        <f t="shared" si="130"/>
        <v>54.001368925393564</v>
      </c>
      <c r="D651" s="37">
        <f>IFERROR(VLOOKUP(A651,Data!$I$3:$J$1442,2),0)</f>
        <v>8.4719745999999999E-2</v>
      </c>
      <c r="E651" s="37">
        <f t="shared" si="131"/>
        <v>8.4519745999999993E-2</v>
      </c>
      <c r="F651" s="37">
        <f t="shared" si="136"/>
        <v>1.0418398125565645E-2</v>
      </c>
      <c r="G651" s="30">
        <f t="shared" si="137"/>
        <v>3103.9476663637588</v>
      </c>
      <c r="H651" s="38">
        <f t="shared" si="132"/>
        <v>149</v>
      </c>
      <c r="I651" s="39">
        <f t="shared" si="133"/>
        <v>149.62628336755648</v>
      </c>
      <c r="J651" s="40">
        <f t="shared" si="134"/>
        <v>54</v>
      </c>
      <c r="K651" s="43">
        <f>VLOOKUP(J651,Data!$Z$3:$AA$122,2)</f>
        <v>0</v>
      </c>
      <c r="L651" s="41">
        <f t="shared" si="135"/>
        <v>0.62628336755648206</v>
      </c>
      <c r="M651" s="43">
        <f>VLOOKUP(H651,Data!$P$3:$X$122,9)</f>
        <v>0</v>
      </c>
      <c r="N651" s="43">
        <f t="shared" si="138"/>
        <v>0</v>
      </c>
      <c r="O651" s="43">
        <f t="shared" si="139"/>
        <v>0</v>
      </c>
      <c r="P651" s="30">
        <f t="shared" si="140"/>
        <v>0</v>
      </c>
      <c r="Q651" s="31">
        <f t="shared" si="142"/>
        <v>848340.75061972369</v>
      </c>
    </row>
    <row r="652" spans="1:17" x14ac:dyDescent="0.25">
      <c r="A652" s="6">
        <f t="shared" si="141"/>
        <v>63036</v>
      </c>
      <c r="B652" s="30">
        <f>IFERROR(VLOOKUP(A652, Data!$L$3:$N$123, 3),1)*Pension</f>
        <v>297929.45412087871</v>
      </c>
      <c r="C652" s="37">
        <f t="shared" si="130"/>
        <v>54.086242299794662</v>
      </c>
      <c r="D652" s="37">
        <f>IFERROR(VLOOKUP(A652,Data!$I$3:$J$1442,2),0)</f>
        <v>8.4696648999999999E-2</v>
      </c>
      <c r="E652" s="37">
        <f t="shared" si="131"/>
        <v>8.4496648999999993E-2</v>
      </c>
      <c r="F652" s="37">
        <f t="shared" si="136"/>
        <v>1.0356859436171329E-2</v>
      </c>
      <c r="G652" s="30">
        <f t="shared" si="137"/>
        <v>3085.6134782251956</v>
      </c>
      <c r="H652" s="38">
        <f t="shared" si="132"/>
        <v>149</v>
      </c>
      <c r="I652" s="39">
        <f t="shared" si="133"/>
        <v>149.71115674195755</v>
      </c>
      <c r="J652" s="40">
        <f t="shared" si="134"/>
        <v>54</v>
      </c>
      <c r="K652" s="43">
        <f>VLOOKUP(J652,Data!$Z$3:$AA$122,2)</f>
        <v>0</v>
      </c>
      <c r="L652" s="41">
        <f t="shared" si="135"/>
        <v>0.71115674195755219</v>
      </c>
      <c r="M652" s="43">
        <f>VLOOKUP(H652,Data!$P$3:$X$122,9)</f>
        <v>0</v>
      </c>
      <c r="N652" s="43">
        <f t="shared" si="138"/>
        <v>0</v>
      </c>
      <c r="O652" s="43">
        <f t="shared" si="139"/>
        <v>0</v>
      </c>
      <c r="P652" s="30">
        <f t="shared" si="140"/>
        <v>0</v>
      </c>
      <c r="Q652" s="31">
        <f t="shared" si="142"/>
        <v>848340.75061972369</v>
      </c>
    </row>
    <row r="653" spans="1:17" x14ac:dyDescent="0.25">
      <c r="A653" s="6">
        <f t="shared" si="141"/>
        <v>63067</v>
      </c>
      <c r="B653" s="30">
        <f>IFERROR(VLOOKUP(A653, Data!$L$3:$N$123, 3),1)*Pension</f>
        <v>297929.45412087871</v>
      </c>
      <c r="C653" s="37">
        <f t="shared" si="130"/>
        <v>54.171115674195754</v>
      </c>
      <c r="D653" s="37">
        <f>IFERROR(VLOOKUP(A653,Data!$I$3:$J$1442,2),0)</f>
        <v>8.4673624000000003E-2</v>
      </c>
      <c r="E653" s="37">
        <f t="shared" si="131"/>
        <v>8.4473623999999997E-2</v>
      </c>
      <c r="F653" s="37">
        <f t="shared" si="136"/>
        <v>1.0295684448557005E-2</v>
      </c>
      <c r="G653" s="30">
        <f t="shared" si="137"/>
        <v>3067.3876475594088</v>
      </c>
      <c r="H653" s="38">
        <f t="shared" si="132"/>
        <v>149</v>
      </c>
      <c r="I653" s="39">
        <f t="shared" si="133"/>
        <v>149.79603011635865</v>
      </c>
      <c r="J653" s="40">
        <f t="shared" si="134"/>
        <v>54</v>
      </c>
      <c r="K653" s="43">
        <f>VLOOKUP(J653,Data!$Z$3:$AA$122,2)</f>
        <v>0</v>
      </c>
      <c r="L653" s="41">
        <f t="shared" si="135"/>
        <v>0.79603011635865073</v>
      </c>
      <c r="M653" s="43">
        <f>VLOOKUP(H653,Data!$P$3:$X$122,9)</f>
        <v>0</v>
      </c>
      <c r="N653" s="43">
        <f t="shared" si="138"/>
        <v>0</v>
      </c>
      <c r="O653" s="43">
        <f t="shared" si="139"/>
        <v>0</v>
      </c>
      <c r="P653" s="30">
        <f t="shared" si="140"/>
        <v>0</v>
      </c>
      <c r="Q653" s="31">
        <f t="shared" si="142"/>
        <v>848340.75061972369</v>
      </c>
    </row>
    <row r="654" spans="1:17" x14ac:dyDescent="0.25">
      <c r="A654" s="6">
        <f t="shared" si="141"/>
        <v>63097</v>
      </c>
      <c r="B654" s="30">
        <f>IFERROR(VLOOKUP(A654, Data!$L$3:$N$123, 3),1)*Pension</f>
        <v>297929.45412087871</v>
      </c>
      <c r="C654" s="37">
        <f t="shared" si="130"/>
        <v>54.253251197809718</v>
      </c>
      <c r="D654" s="37">
        <f>IFERROR(VLOOKUP(A654,Data!$I$3:$J$1442,2),0)</f>
        <v>8.4651409999999996E-2</v>
      </c>
      <c r="E654" s="37">
        <f t="shared" si="131"/>
        <v>8.4451409999999991E-2</v>
      </c>
      <c r="F654" s="37">
        <f t="shared" si="136"/>
        <v>1.0236827101655299E-2</v>
      </c>
      <c r="G654" s="30">
        <f t="shared" si="137"/>
        <v>3049.8523103259804</v>
      </c>
      <c r="H654" s="38">
        <f t="shared" si="132"/>
        <v>149</v>
      </c>
      <c r="I654" s="39">
        <f t="shared" si="133"/>
        <v>149.87816563997262</v>
      </c>
      <c r="J654" s="40">
        <f t="shared" si="134"/>
        <v>54</v>
      </c>
      <c r="K654" s="43">
        <f>VLOOKUP(J654,Data!$Z$3:$AA$122,2)</f>
        <v>0</v>
      </c>
      <c r="L654" s="41">
        <f t="shared" si="135"/>
        <v>0.87816563997262165</v>
      </c>
      <c r="M654" s="43">
        <f>VLOOKUP(H654,Data!$P$3:$X$122,9)</f>
        <v>0</v>
      </c>
      <c r="N654" s="43">
        <f t="shared" si="138"/>
        <v>0</v>
      </c>
      <c r="O654" s="43">
        <f t="shared" si="139"/>
        <v>0</v>
      </c>
      <c r="P654" s="30">
        <f t="shared" si="140"/>
        <v>0</v>
      </c>
      <c r="Q654" s="31">
        <f t="shared" si="142"/>
        <v>848340.75061972369</v>
      </c>
    </row>
    <row r="655" spans="1:17" x14ac:dyDescent="0.25">
      <c r="A655" s="6">
        <f t="shared" si="141"/>
        <v>63128</v>
      </c>
      <c r="B655" s="30">
        <f>IFERROR(VLOOKUP(A655, Data!$L$3:$N$123, 3),1)*Pension</f>
        <v>297929.45412087871</v>
      </c>
      <c r="C655" s="37">
        <f t="shared" si="130"/>
        <v>54.338124572210816</v>
      </c>
      <c r="D655" s="37">
        <f>IFERROR(VLOOKUP(A655,Data!$I$3:$J$1442,2),0)</f>
        <v>8.4628525999999996E-2</v>
      </c>
      <c r="E655" s="37">
        <f t="shared" si="131"/>
        <v>8.442852599999999E-2</v>
      </c>
      <c r="F655" s="37">
        <f t="shared" si="136"/>
        <v>1.0176361347507939E-2</v>
      </c>
      <c r="G655" s="30">
        <f t="shared" si="137"/>
        <v>3031.8377811998498</v>
      </c>
      <c r="H655" s="38">
        <f t="shared" si="132"/>
        <v>149</v>
      </c>
      <c r="I655" s="39">
        <f t="shared" si="133"/>
        <v>149.96303901437372</v>
      </c>
      <c r="J655" s="40">
        <f t="shared" si="134"/>
        <v>54</v>
      </c>
      <c r="K655" s="43">
        <f>VLOOKUP(J655,Data!$Z$3:$AA$122,2)</f>
        <v>0</v>
      </c>
      <c r="L655" s="41">
        <f t="shared" si="135"/>
        <v>0.96303901437372019</v>
      </c>
      <c r="M655" s="43">
        <f>VLOOKUP(H655,Data!$P$3:$X$122,9)</f>
        <v>0</v>
      </c>
      <c r="N655" s="43">
        <f t="shared" si="138"/>
        <v>0</v>
      </c>
      <c r="O655" s="43">
        <f t="shared" si="139"/>
        <v>0</v>
      </c>
      <c r="P655" s="30">
        <f t="shared" si="140"/>
        <v>0</v>
      </c>
      <c r="Q655" s="31">
        <f t="shared" si="142"/>
        <v>848340.75061972369</v>
      </c>
    </row>
    <row r="656" spans="1:17" x14ac:dyDescent="0.25">
      <c r="A656" s="6">
        <f t="shared" si="141"/>
        <v>63158</v>
      </c>
      <c r="B656" s="30">
        <f>IFERROR(VLOOKUP(A656, Data!$L$3:$N$123, 3),1)*Pension</f>
        <v>297929.45412087871</v>
      </c>
      <c r="C656" s="37">
        <f t="shared" si="130"/>
        <v>54.42026009582478</v>
      </c>
      <c r="D656" s="37">
        <f>IFERROR(VLOOKUP(A656,Data!$I$3:$J$1442,2),0)</f>
        <v>8.4606449E-2</v>
      </c>
      <c r="E656" s="37">
        <f t="shared" si="131"/>
        <v>8.4406448999999995E-2</v>
      </c>
      <c r="F656" s="37">
        <f t="shared" si="136"/>
        <v>1.0118185715241167E-2</v>
      </c>
      <c r="G656" s="30">
        <f t="shared" si="137"/>
        <v>3014.5055468354735</v>
      </c>
      <c r="H656" s="38">
        <f t="shared" si="132"/>
        <v>150</v>
      </c>
      <c r="I656" s="39">
        <f t="shared" si="133"/>
        <v>150.04517453798769</v>
      </c>
      <c r="J656" s="40">
        <f t="shared" si="134"/>
        <v>55</v>
      </c>
      <c r="K656" s="43">
        <f>VLOOKUP(J656,Data!$Z$3:$AA$122,2)</f>
        <v>0</v>
      </c>
      <c r="L656" s="41">
        <f t="shared" si="135"/>
        <v>4.517453798769111E-2</v>
      </c>
      <c r="M656" s="43">
        <f>VLOOKUP(H656,Data!$P$3:$X$122,9)</f>
        <v>0</v>
      </c>
      <c r="N656" s="43">
        <f t="shared" si="138"/>
        <v>0</v>
      </c>
      <c r="O656" s="43">
        <f t="shared" si="139"/>
        <v>0</v>
      </c>
      <c r="P656" s="30">
        <f t="shared" si="140"/>
        <v>0</v>
      </c>
      <c r="Q656" s="31">
        <f t="shared" si="142"/>
        <v>848340.75061972369</v>
      </c>
    </row>
    <row r="657" spans="1:17" x14ac:dyDescent="0.25">
      <c r="A657" s="6">
        <f t="shared" si="141"/>
        <v>63189</v>
      </c>
      <c r="B657" s="30">
        <f>IFERROR(VLOOKUP(A657, Data!$L$3:$N$123, 3),1)*Pension</f>
        <v>312825.92682692269</v>
      </c>
      <c r="C657" s="37">
        <f t="shared" si="130"/>
        <v>54.505133470225871</v>
      </c>
      <c r="D657" s="37">
        <f>IFERROR(VLOOKUP(A657,Data!$I$3:$J$1442,2),0)</f>
        <v>8.4583704999999995E-2</v>
      </c>
      <c r="E657" s="37">
        <f t="shared" si="131"/>
        <v>8.4383704999999989E-2</v>
      </c>
      <c r="F657" s="37">
        <f t="shared" si="136"/>
        <v>1.0058420810329465E-2</v>
      </c>
      <c r="G657" s="30">
        <f t="shared" si="137"/>
        <v>3146.5348124065217</v>
      </c>
      <c r="H657" s="38">
        <f t="shared" si="132"/>
        <v>150</v>
      </c>
      <c r="I657" s="39">
        <f t="shared" si="133"/>
        <v>150.13004791238876</v>
      </c>
      <c r="J657" s="40">
        <f t="shared" si="134"/>
        <v>55</v>
      </c>
      <c r="K657" s="43">
        <f>VLOOKUP(J657,Data!$Z$3:$AA$122,2)</f>
        <v>0</v>
      </c>
      <c r="L657" s="41">
        <f t="shared" si="135"/>
        <v>0.13004791238876123</v>
      </c>
      <c r="M657" s="43">
        <f>VLOOKUP(H657,Data!$P$3:$X$122,9)</f>
        <v>0</v>
      </c>
      <c r="N657" s="43">
        <f t="shared" si="138"/>
        <v>0</v>
      </c>
      <c r="O657" s="43">
        <f t="shared" si="139"/>
        <v>0</v>
      </c>
      <c r="P657" s="30">
        <f t="shared" si="140"/>
        <v>0</v>
      </c>
      <c r="Q657" s="31">
        <f t="shared" si="142"/>
        <v>848340.75061972369</v>
      </c>
    </row>
    <row r="658" spans="1:17" x14ac:dyDescent="0.25">
      <c r="A658" s="6">
        <f t="shared" si="141"/>
        <v>63220</v>
      </c>
      <c r="B658" s="30">
        <f>IFERROR(VLOOKUP(A658, Data!$L$3:$N$123, 3),1)*Pension</f>
        <v>312825.92682692269</v>
      </c>
      <c r="C658" s="37">
        <f t="shared" si="130"/>
        <v>54.59000684462697</v>
      </c>
      <c r="D658" s="37">
        <f>IFERROR(VLOOKUP(A658,Data!$I$3:$J$1442,2),0)</f>
        <v>8.4561032999999994E-2</v>
      </c>
      <c r="E658" s="37">
        <f t="shared" si="131"/>
        <v>8.4361032999999988E-2</v>
      </c>
      <c r="F658" s="37">
        <f t="shared" si="136"/>
        <v>9.9990082201675146E-3</v>
      </c>
      <c r="G658" s="30">
        <f t="shared" si="137"/>
        <v>3127.9490138239212</v>
      </c>
      <c r="H658" s="38">
        <f t="shared" si="132"/>
        <v>150</v>
      </c>
      <c r="I658" s="39">
        <f t="shared" si="133"/>
        <v>150.21492128678986</v>
      </c>
      <c r="J658" s="40">
        <f t="shared" si="134"/>
        <v>55</v>
      </c>
      <c r="K658" s="43">
        <f>VLOOKUP(J658,Data!$Z$3:$AA$122,2)</f>
        <v>0</v>
      </c>
      <c r="L658" s="41">
        <f t="shared" si="135"/>
        <v>0.21492128678985978</v>
      </c>
      <c r="M658" s="43">
        <f>VLOOKUP(H658,Data!$P$3:$X$122,9)</f>
        <v>0</v>
      </c>
      <c r="N658" s="43">
        <f t="shared" si="138"/>
        <v>0</v>
      </c>
      <c r="O658" s="43">
        <f t="shared" si="139"/>
        <v>0</v>
      </c>
      <c r="P658" s="30">
        <f t="shared" si="140"/>
        <v>0</v>
      </c>
      <c r="Q658" s="31">
        <f t="shared" si="142"/>
        <v>848340.75061972369</v>
      </c>
    </row>
    <row r="659" spans="1:17" x14ac:dyDescent="0.25">
      <c r="A659" s="6">
        <f t="shared" si="141"/>
        <v>63248</v>
      </c>
      <c r="B659" s="30">
        <f>IFERROR(VLOOKUP(A659, Data!$L$3:$N$123, 3),1)*Pension</f>
        <v>312825.92682692269</v>
      </c>
      <c r="C659" s="37">
        <f t="shared" si="130"/>
        <v>54.666666666666664</v>
      </c>
      <c r="D659" s="37">
        <f>IFERROR(VLOOKUP(A659,Data!$I$3:$J$1442,2),0)</f>
        <v>8.4540614E-2</v>
      </c>
      <c r="E659" s="37">
        <f t="shared" si="131"/>
        <v>8.4340613999999994E-2</v>
      </c>
      <c r="F659" s="37">
        <f t="shared" si="136"/>
        <v>9.9456477854512476E-3</v>
      </c>
      <c r="G659" s="30">
        <f t="shared" si="137"/>
        <v>3111.2564863779176</v>
      </c>
      <c r="H659" s="38">
        <f t="shared" si="132"/>
        <v>150</v>
      </c>
      <c r="I659" s="39">
        <f t="shared" si="133"/>
        <v>150.29158110882958</v>
      </c>
      <c r="J659" s="40">
        <f t="shared" si="134"/>
        <v>55</v>
      </c>
      <c r="K659" s="43">
        <f>VLOOKUP(J659,Data!$Z$3:$AA$122,2)</f>
        <v>0</v>
      </c>
      <c r="L659" s="41">
        <f t="shared" si="135"/>
        <v>0.29158110882957544</v>
      </c>
      <c r="M659" s="43">
        <f>VLOOKUP(H659,Data!$P$3:$X$122,9)</f>
        <v>0</v>
      </c>
      <c r="N659" s="43">
        <f t="shared" si="138"/>
        <v>0</v>
      </c>
      <c r="O659" s="43">
        <f t="shared" si="139"/>
        <v>0</v>
      </c>
      <c r="P659" s="30">
        <f t="shared" si="140"/>
        <v>0</v>
      </c>
      <c r="Q659" s="31">
        <f t="shared" si="142"/>
        <v>848340.75061972369</v>
      </c>
    </row>
    <row r="660" spans="1:17" x14ac:dyDescent="0.25">
      <c r="A660" s="6">
        <f t="shared" si="141"/>
        <v>63279</v>
      </c>
      <c r="B660" s="30">
        <f>IFERROR(VLOOKUP(A660, Data!$L$3:$N$123, 3),1)*Pension</f>
        <v>312825.92682692269</v>
      </c>
      <c r="C660" s="37">
        <f t="shared" si="130"/>
        <v>54.751540041067763</v>
      </c>
      <c r="D660" s="37">
        <f>IFERROR(VLOOKUP(A660,Data!$I$3:$J$1442,2),0)</f>
        <v>8.4518074999999998E-2</v>
      </c>
      <c r="E660" s="37">
        <f t="shared" si="131"/>
        <v>8.4318074999999992E-2</v>
      </c>
      <c r="F660" s="37">
        <f t="shared" si="136"/>
        <v>9.8869016892910149E-3</v>
      </c>
      <c r="G660" s="30">
        <f t="shared" si="137"/>
        <v>3092.8791843991294</v>
      </c>
      <c r="H660" s="38">
        <f t="shared" si="132"/>
        <v>150</v>
      </c>
      <c r="I660" s="39">
        <f t="shared" si="133"/>
        <v>150.37645448323067</v>
      </c>
      <c r="J660" s="40">
        <f t="shared" si="134"/>
        <v>55</v>
      </c>
      <c r="K660" s="43">
        <f>VLOOKUP(J660,Data!$Z$3:$AA$122,2)</f>
        <v>0</v>
      </c>
      <c r="L660" s="41">
        <f t="shared" si="135"/>
        <v>0.37645448323067399</v>
      </c>
      <c r="M660" s="43">
        <f>VLOOKUP(H660,Data!$P$3:$X$122,9)</f>
        <v>0</v>
      </c>
      <c r="N660" s="43">
        <f t="shared" si="138"/>
        <v>0</v>
      </c>
      <c r="O660" s="43">
        <f t="shared" si="139"/>
        <v>0</v>
      </c>
      <c r="P660" s="30">
        <f t="shared" si="140"/>
        <v>0</v>
      </c>
      <c r="Q660" s="31">
        <f t="shared" si="142"/>
        <v>848340.75061972369</v>
      </c>
    </row>
    <row r="661" spans="1:17" x14ac:dyDescent="0.25">
      <c r="A661" s="6">
        <f t="shared" si="141"/>
        <v>63309</v>
      </c>
      <c r="B661" s="30">
        <f>IFERROR(VLOOKUP(A661, Data!$L$3:$N$123, 3),1)*Pension</f>
        <v>312825.92682692269</v>
      </c>
      <c r="C661" s="37">
        <f t="shared" si="130"/>
        <v>54.833675564681727</v>
      </c>
      <c r="D661" s="37">
        <f>IFERROR(VLOOKUP(A661,Data!$I$3:$J$1442,2),0)</f>
        <v>8.4496329999999994E-2</v>
      </c>
      <c r="E661" s="37">
        <f t="shared" si="131"/>
        <v>8.4296329999999989E-2</v>
      </c>
      <c r="F661" s="37">
        <f t="shared" si="136"/>
        <v>9.8303807656387968E-3</v>
      </c>
      <c r="G661" s="30">
        <f t="shared" si="137"/>
        <v>3075.1979740725105</v>
      </c>
      <c r="H661" s="38">
        <f t="shared" si="132"/>
        <v>150</v>
      </c>
      <c r="I661" s="39">
        <f t="shared" si="133"/>
        <v>150.45859000684462</v>
      </c>
      <c r="J661" s="40">
        <f t="shared" si="134"/>
        <v>55</v>
      </c>
      <c r="K661" s="43">
        <f>VLOOKUP(J661,Data!$Z$3:$AA$122,2)</f>
        <v>0</v>
      </c>
      <c r="L661" s="41">
        <f t="shared" si="135"/>
        <v>0.45859000684461648</v>
      </c>
      <c r="M661" s="43">
        <f>VLOOKUP(H661,Data!$P$3:$X$122,9)</f>
        <v>0</v>
      </c>
      <c r="N661" s="43">
        <f t="shared" si="138"/>
        <v>0</v>
      </c>
      <c r="O661" s="43">
        <f t="shared" si="139"/>
        <v>0</v>
      </c>
      <c r="P661" s="30">
        <f t="shared" si="140"/>
        <v>0</v>
      </c>
      <c r="Q661" s="31">
        <f t="shared" si="142"/>
        <v>848340.75061972369</v>
      </c>
    </row>
    <row r="662" spans="1:17" x14ac:dyDescent="0.25">
      <c r="A662" s="6">
        <f t="shared" si="141"/>
        <v>63340</v>
      </c>
      <c r="B662" s="30">
        <f>IFERROR(VLOOKUP(A662, Data!$L$3:$N$123, 3),1)*Pension</f>
        <v>312825.92682692269</v>
      </c>
      <c r="C662" s="37">
        <f t="shared" si="130"/>
        <v>54.918548939082818</v>
      </c>
      <c r="D662" s="37">
        <f>IFERROR(VLOOKUP(A662,Data!$I$3:$J$1442,2),0)</f>
        <v>8.4473928000000004E-2</v>
      </c>
      <c r="E662" s="37">
        <f t="shared" si="131"/>
        <v>8.4273927999999998E-2</v>
      </c>
      <c r="F662" s="37">
        <f t="shared" si="136"/>
        <v>9.7723155080862798E-3</v>
      </c>
      <c r="G662" s="30">
        <f t="shared" si="137"/>
        <v>3057.0336560622004</v>
      </c>
      <c r="H662" s="38">
        <f t="shared" si="132"/>
        <v>150</v>
      </c>
      <c r="I662" s="39">
        <f t="shared" si="133"/>
        <v>150.54346338124572</v>
      </c>
      <c r="J662" s="40">
        <f t="shared" si="134"/>
        <v>55</v>
      </c>
      <c r="K662" s="43">
        <f>VLOOKUP(J662,Data!$Z$3:$AA$122,2)</f>
        <v>0</v>
      </c>
      <c r="L662" s="41">
        <f t="shared" si="135"/>
        <v>0.54346338124571503</v>
      </c>
      <c r="M662" s="43">
        <f>VLOOKUP(H662,Data!$P$3:$X$122,9)</f>
        <v>0</v>
      </c>
      <c r="N662" s="43">
        <f t="shared" si="138"/>
        <v>0</v>
      </c>
      <c r="O662" s="43">
        <f t="shared" si="139"/>
        <v>0</v>
      </c>
      <c r="P662" s="30">
        <f t="shared" si="140"/>
        <v>0</v>
      </c>
      <c r="Q662" s="31">
        <f t="shared" si="142"/>
        <v>848340.75061972369</v>
      </c>
    </row>
    <row r="663" spans="1:17" x14ac:dyDescent="0.25">
      <c r="A663" s="6">
        <f t="shared" si="141"/>
        <v>63370</v>
      </c>
      <c r="B663" s="30">
        <f>IFERROR(VLOOKUP(A663, Data!$L$3:$N$123, 3),1)*Pension</f>
        <v>312825.92682692269</v>
      </c>
      <c r="C663" s="37">
        <f t="shared" si="130"/>
        <v>55.000684462696782</v>
      </c>
      <c r="D663" s="37">
        <f>IFERROR(VLOOKUP(A663,Data!$I$3:$J$1442,2),0)</f>
        <v>8.4452314000000001E-2</v>
      </c>
      <c r="E663" s="37">
        <f t="shared" si="131"/>
        <v>8.4252313999999995E-2</v>
      </c>
      <c r="F663" s="37">
        <f t="shared" si="136"/>
        <v>9.7164501553910054E-3</v>
      </c>
      <c r="G663" s="30">
        <f t="shared" si="137"/>
        <v>3039.5575253277884</v>
      </c>
      <c r="H663" s="38">
        <f t="shared" si="132"/>
        <v>150</v>
      </c>
      <c r="I663" s="39">
        <f t="shared" si="133"/>
        <v>150.62559890485969</v>
      </c>
      <c r="J663" s="40">
        <f t="shared" si="134"/>
        <v>55</v>
      </c>
      <c r="K663" s="43">
        <f>VLOOKUP(J663,Data!$Z$3:$AA$122,2)</f>
        <v>0</v>
      </c>
      <c r="L663" s="41">
        <f t="shared" si="135"/>
        <v>0.62559890485968594</v>
      </c>
      <c r="M663" s="43">
        <f>VLOOKUP(H663,Data!$P$3:$X$122,9)</f>
        <v>0</v>
      </c>
      <c r="N663" s="43">
        <f t="shared" si="138"/>
        <v>0</v>
      </c>
      <c r="O663" s="43">
        <f t="shared" si="139"/>
        <v>0</v>
      </c>
      <c r="P663" s="30">
        <f t="shared" si="140"/>
        <v>0</v>
      </c>
      <c r="Q663" s="31">
        <f t="shared" si="142"/>
        <v>848340.75061972369</v>
      </c>
    </row>
    <row r="664" spans="1:17" x14ac:dyDescent="0.25">
      <c r="A664" s="6">
        <f t="shared" si="141"/>
        <v>63401</v>
      </c>
      <c r="B664" s="30">
        <f>IFERROR(VLOOKUP(A664, Data!$L$3:$N$123, 3),1)*Pension</f>
        <v>312825.92682692269</v>
      </c>
      <c r="C664" s="37">
        <f t="shared" si="130"/>
        <v>55.08555783709788</v>
      </c>
      <c r="D664" s="37">
        <f>IFERROR(VLOOKUP(A664,Data!$I$3:$J$1442,2),0)</f>
        <v>8.4430047999999994E-2</v>
      </c>
      <c r="E664" s="37">
        <f t="shared" si="131"/>
        <v>8.4230047999999988E-2</v>
      </c>
      <c r="F664" s="37">
        <f t="shared" si="136"/>
        <v>9.6590577132716297E-3</v>
      </c>
      <c r="G664" s="30">
        <f t="shared" si="137"/>
        <v>3021.6036814289341</v>
      </c>
      <c r="H664" s="38">
        <f t="shared" si="132"/>
        <v>150</v>
      </c>
      <c r="I664" s="39">
        <f t="shared" si="133"/>
        <v>150.71047227926078</v>
      </c>
      <c r="J664" s="40">
        <f t="shared" si="134"/>
        <v>55</v>
      </c>
      <c r="K664" s="43">
        <f>VLOOKUP(J664,Data!$Z$3:$AA$122,2)</f>
        <v>0</v>
      </c>
      <c r="L664" s="41">
        <f t="shared" si="135"/>
        <v>0.71047227926078449</v>
      </c>
      <c r="M664" s="43">
        <f>VLOOKUP(H664,Data!$P$3:$X$122,9)</f>
        <v>0</v>
      </c>
      <c r="N664" s="43">
        <f t="shared" si="138"/>
        <v>0</v>
      </c>
      <c r="O664" s="43">
        <f t="shared" si="139"/>
        <v>0</v>
      </c>
      <c r="P664" s="30">
        <f t="shared" si="140"/>
        <v>0</v>
      </c>
      <c r="Q664" s="31">
        <f t="shared" si="142"/>
        <v>848340.75061972369</v>
      </c>
    </row>
    <row r="665" spans="1:17" x14ac:dyDescent="0.25">
      <c r="A665" s="6">
        <f t="shared" si="141"/>
        <v>63432</v>
      </c>
      <c r="B665" s="30">
        <f>IFERROR(VLOOKUP(A665, Data!$L$3:$N$123, 3),1)*Pension</f>
        <v>312825.92682692269</v>
      </c>
      <c r="C665" s="37">
        <f t="shared" si="130"/>
        <v>55.170431211498972</v>
      </c>
      <c r="D665" s="37">
        <f>IFERROR(VLOOKUP(A665,Data!$I$3:$J$1442,2),0)</f>
        <v>8.4407850000000006E-2</v>
      </c>
      <c r="E665" s="37">
        <f t="shared" si="131"/>
        <v>8.4207850000000001E-2</v>
      </c>
      <c r="F665" s="37">
        <f t="shared" si="136"/>
        <v>9.6020045415566146E-3</v>
      </c>
      <c r="G665" s="30">
        <f t="shared" si="137"/>
        <v>3003.7559701087689</v>
      </c>
      <c r="H665" s="38">
        <f t="shared" si="132"/>
        <v>150</v>
      </c>
      <c r="I665" s="39">
        <f t="shared" si="133"/>
        <v>150.79534565366188</v>
      </c>
      <c r="J665" s="40">
        <f t="shared" si="134"/>
        <v>55</v>
      </c>
      <c r="K665" s="43">
        <f>VLOOKUP(J665,Data!$Z$3:$AA$122,2)</f>
        <v>0</v>
      </c>
      <c r="L665" s="41">
        <f t="shared" si="135"/>
        <v>0.79534565366188303</v>
      </c>
      <c r="M665" s="43">
        <f>VLOOKUP(H665,Data!$P$3:$X$122,9)</f>
        <v>0</v>
      </c>
      <c r="N665" s="43">
        <f t="shared" si="138"/>
        <v>0</v>
      </c>
      <c r="O665" s="43">
        <f t="shared" si="139"/>
        <v>0</v>
      </c>
      <c r="P665" s="30">
        <f t="shared" si="140"/>
        <v>0</v>
      </c>
      <c r="Q665" s="31">
        <f t="shared" si="142"/>
        <v>848340.75061972369</v>
      </c>
    </row>
    <row r="666" spans="1:17" x14ac:dyDescent="0.25">
      <c r="A666" s="6">
        <f t="shared" si="141"/>
        <v>63462</v>
      </c>
      <c r="B666" s="30">
        <f>IFERROR(VLOOKUP(A666, Data!$L$3:$N$123, 3),1)*Pension</f>
        <v>312825.92682692269</v>
      </c>
      <c r="C666" s="37">
        <f t="shared" si="130"/>
        <v>55.252566735112936</v>
      </c>
      <c r="D666" s="37">
        <f>IFERROR(VLOOKUP(A666,Data!$I$3:$J$1442,2),0)</f>
        <v>8.4386432999999997E-2</v>
      </c>
      <c r="E666" s="37">
        <f t="shared" si="131"/>
        <v>8.4186432999999991E-2</v>
      </c>
      <c r="F666" s="37">
        <f t="shared" si="136"/>
        <v>9.5471126785847057E-3</v>
      </c>
      <c r="G666" s="30">
        <f t="shared" si="137"/>
        <v>2986.5843721993251</v>
      </c>
      <c r="H666" s="38">
        <f t="shared" si="132"/>
        <v>150</v>
      </c>
      <c r="I666" s="39">
        <f t="shared" si="133"/>
        <v>150.87748117727583</v>
      </c>
      <c r="J666" s="40">
        <f t="shared" si="134"/>
        <v>55</v>
      </c>
      <c r="K666" s="43">
        <f>VLOOKUP(J666,Data!$Z$3:$AA$122,2)</f>
        <v>0</v>
      </c>
      <c r="L666" s="41">
        <f t="shared" si="135"/>
        <v>0.87748117727582553</v>
      </c>
      <c r="M666" s="43">
        <f>VLOOKUP(H666,Data!$P$3:$X$122,9)</f>
        <v>0</v>
      </c>
      <c r="N666" s="43">
        <f t="shared" si="138"/>
        <v>0</v>
      </c>
      <c r="O666" s="43">
        <f t="shared" si="139"/>
        <v>0</v>
      </c>
      <c r="P666" s="30">
        <f t="shared" si="140"/>
        <v>0</v>
      </c>
      <c r="Q666" s="31">
        <f t="shared" si="142"/>
        <v>848340.75061972369</v>
      </c>
    </row>
    <row r="667" spans="1:17" x14ac:dyDescent="0.25">
      <c r="A667" s="6">
        <f t="shared" si="141"/>
        <v>63493</v>
      </c>
      <c r="B667" s="30">
        <f>IFERROR(VLOOKUP(A667, Data!$L$3:$N$123, 3),1)*Pension</f>
        <v>312825.92682692269</v>
      </c>
      <c r="C667" s="37">
        <f t="shared" si="130"/>
        <v>55.337440109514034</v>
      </c>
      <c r="D667" s="37">
        <f>IFERROR(VLOOKUP(A667,Data!$I$3:$J$1442,2),0)</f>
        <v>8.4364368999999995E-2</v>
      </c>
      <c r="E667" s="37">
        <f t="shared" si="131"/>
        <v>8.4164368999999989E-2</v>
      </c>
      <c r="F667" s="37">
        <f t="shared" si="136"/>
        <v>9.4907206739317917E-3</v>
      </c>
      <c r="G667" s="30">
        <f t="shared" si="137"/>
        <v>2968.9434910781492</v>
      </c>
      <c r="H667" s="38">
        <f t="shared" si="132"/>
        <v>150</v>
      </c>
      <c r="I667" s="39">
        <f t="shared" si="133"/>
        <v>150.96235455167692</v>
      </c>
      <c r="J667" s="40">
        <f t="shared" si="134"/>
        <v>55</v>
      </c>
      <c r="K667" s="43">
        <f>VLOOKUP(J667,Data!$Z$3:$AA$122,2)</f>
        <v>0</v>
      </c>
      <c r="L667" s="41">
        <f t="shared" si="135"/>
        <v>0.96235455167692407</v>
      </c>
      <c r="M667" s="43">
        <f>VLOOKUP(H667,Data!$P$3:$X$122,9)</f>
        <v>0</v>
      </c>
      <c r="N667" s="43">
        <f t="shared" si="138"/>
        <v>0</v>
      </c>
      <c r="O667" s="43">
        <f t="shared" si="139"/>
        <v>0</v>
      </c>
      <c r="P667" s="30">
        <f t="shared" si="140"/>
        <v>0</v>
      </c>
      <c r="Q667" s="31">
        <f t="shared" si="142"/>
        <v>848340.75061972369</v>
      </c>
    </row>
    <row r="668" spans="1:17" x14ac:dyDescent="0.25">
      <c r="A668" s="6">
        <f t="shared" si="141"/>
        <v>63523</v>
      </c>
      <c r="B668" s="30">
        <f>IFERROR(VLOOKUP(A668, Data!$L$3:$N$123, 3),1)*Pension</f>
        <v>312825.92682692269</v>
      </c>
      <c r="C668" s="37">
        <f t="shared" si="130"/>
        <v>55.419575633127998</v>
      </c>
      <c r="D668" s="37">
        <f>IFERROR(VLOOKUP(A668,Data!$I$3:$J$1442,2),0)</f>
        <v>8.4343081E-2</v>
      </c>
      <c r="E668" s="37">
        <f t="shared" si="131"/>
        <v>8.4143080999999995E-2</v>
      </c>
      <c r="F668" s="37">
        <f t="shared" si="136"/>
        <v>9.4364649793466145E-3</v>
      </c>
      <c r="G668" s="30">
        <f t="shared" si="137"/>
        <v>2951.9709031339025</v>
      </c>
      <c r="H668" s="38">
        <f t="shared" si="132"/>
        <v>151</v>
      </c>
      <c r="I668" s="39">
        <f t="shared" si="133"/>
        <v>151.04449007529089</v>
      </c>
      <c r="J668" s="40">
        <f t="shared" si="134"/>
        <v>56</v>
      </c>
      <c r="K668" s="43">
        <f>VLOOKUP(J668,Data!$Z$3:$AA$122,2)</f>
        <v>0</v>
      </c>
      <c r="L668" s="41">
        <f t="shared" si="135"/>
        <v>4.4490075290894993E-2</v>
      </c>
      <c r="M668" s="43">
        <f>VLOOKUP(H668,Data!$P$3:$X$122,9)</f>
        <v>0</v>
      </c>
      <c r="N668" s="43">
        <f t="shared" si="138"/>
        <v>0</v>
      </c>
      <c r="O668" s="43">
        <f t="shared" si="139"/>
        <v>0</v>
      </c>
      <c r="P668" s="30">
        <f t="shared" si="140"/>
        <v>0</v>
      </c>
      <c r="Q668" s="31">
        <f t="shared" si="142"/>
        <v>848340.75061972369</v>
      </c>
    </row>
    <row r="669" spans="1:17" x14ac:dyDescent="0.25">
      <c r="A669" s="6">
        <f t="shared" si="141"/>
        <v>63554</v>
      </c>
      <c r="B669" s="30">
        <f>IFERROR(VLOOKUP(A669, Data!$L$3:$N$123, 3),1)*Pension</f>
        <v>328467.2231682688</v>
      </c>
      <c r="C669" s="37">
        <f t="shared" si="130"/>
        <v>55.504449007529089</v>
      </c>
      <c r="D669" s="37">
        <f>IFERROR(VLOOKUP(A669,Data!$I$3:$J$1442,2),0)</f>
        <v>8.4321149999999997E-2</v>
      </c>
      <c r="E669" s="37">
        <f t="shared" si="131"/>
        <v>8.4121149999999992E-2</v>
      </c>
      <c r="F669" s="37">
        <f t="shared" si="136"/>
        <v>9.3807263715587671E-3</v>
      </c>
      <c r="G669" s="30">
        <f t="shared" si="137"/>
        <v>3081.261142567258</v>
      </c>
      <c r="H669" s="38">
        <f t="shared" si="132"/>
        <v>151</v>
      </c>
      <c r="I669" s="39">
        <f t="shared" si="133"/>
        <v>151.12936344969199</v>
      </c>
      <c r="J669" s="40">
        <f t="shared" si="134"/>
        <v>56</v>
      </c>
      <c r="K669" s="43">
        <f>VLOOKUP(J669,Data!$Z$3:$AA$122,2)</f>
        <v>0</v>
      </c>
      <c r="L669" s="41">
        <f t="shared" si="135"/>
        <v>0.12936344969199354</v>
      </c>
      <c r="M669" s="43">
        <f>VLOOKUP(H669,Data!$P$3:$X$122,9)</f>
        <v>0</v>
      </c>
      <c r="N669" s="43">
        <f t="shared" si="138"/>
        <v>0</v>
      </c>
      <c r="O669" s="43">
        <f t="shared" si="139"/>
        <v>0</v>
      </c>
      <c r="P669" s="30">
        <f t="shared" si="140"/>
        <v>0</v>
      </c>
      <c r="Q669" s="31">
        <f t="shared" si="142"/>
        <v>848340.75061972369</v>
      </c>
    </row>
    <row r="670" spans="1:17" x14ac:dyDescent="0.25">
      <c r="A670" s="6">
        <f t="shared" si="141"/>
        <v>63585</v>
      </c>
      <c r="B670" s="30">
        <f>IFERROR(VLOOKUP(A670, Data!$L$3:$N$123, 3),1)*Pension</f>
        <v>328467.2231682688</v>
      </c>
      <c r="C670" s="37">
        <f t="shared" si="130"/>
        <v>55.589322381930188</v>
      </c>
      <c r="D670" s="37">
        <f>IFERROR(VLOOKUP(A670,Data!$I$3:$J$1442,2),0)</f>
        <v>8.4299285000000002E-2</v>
      </c>
      <c r="E670" s="37">
        <f t="shared" si="131"/>
        <v>8.4099284999999996E-2</v>
      </c>
      <c r="F670" s="37">
        <f t="shared" si="136"/>
        <v>9.3253174983185371E-3</v>
      </c>
      <c r="G670" s="30">
        <f t="shared" si="137"/>
        <v>3063.0611438351571</v>
      </c>
      <c r="H670" s="38">
        <f t="shared" si="132"/>
        <v>151</v>
      </c>
      <c r="I670" s="39">
        <f t="shared" si="133"/>
        <v>151.21423682409309</v>
      </c>
      <c r="J670" s="40">
        <f t="shared" si="134"/>
        <v>56</v>
      </c>
      <c r="K670" s="43">
        <f>VLOOKUP(J670,Data!$Z$3:$AA$122,2)</f>
        <v>0</v>
      </c>
      <c r="L670" s="41">
        <f t="shared" si="135"/>
        <v>0.21423682409309208</v>
      </c>
      <c r="M670" s="43">
        <f>VLOOKUP(H670,Data!$P$3:$X$122,9)</f>
        <v>0</v>
      </c>
      <c r="N670" s="43">
        <f t="shared" si="138"/>
        <v>0</v>
      </c>
      <c r="O670" s="43">
        <f t="shared" si="139"/>
        <v>0</v>
      </c>
      <c r="P670" s="30">
        <f t="shared" si="140"/>
        <v>0</v>
      </c>
      <c r="Q670" s="31">
        <f t="shared" si="142"/>
        <v>848340.75061972369</v>
      </c>
    </row>
    <row r="671" spans="1:17" x14ac:dyDescent="0.25">
      <c r="A671" s="6">
        <f t="shared" si="141"/>
        <v>63613</v>
      </c>
      <c r="B671" s="30">
        <f>IFERROR(VLOOKUP(A671, Data!$L$3:$N$123, 3),1)*Pension</f>
        <v>328467.2231682688</v>
      </c>
      <c r="C671" s="37">
        <f t="shared" si="130"/>
        <v>55.665982203969882</v>
      </c>
      <c r="D671" s="37">
        <f>IFERROR(VLOOKUP(A671,Data!$I$3:$J$1442,2),0)</f>
        <v>8.4279593999999999E-2</v>
      </c>
      <c r="E671" s="37">
        <f t="shared" si="131"/>
        <v>8.4079593999999994E-2</v>
      </c>
      <c r="F671" s="37">
        <f t="shared" si="136"/>
        <v>9.2755517598908776E-3</v>
      </c>
      <c r="G671" s="30">
        <f t="shared" si="137"/>
        <v>3046.7147299249054</v>
      </c>
      <c r="H671" s="38">
        <f t="shared" si="132"/>
        <v>151</v>
      </c>
      <c r="I671" s="39">
        <f t="shared" si="133"/>
        <v>151.29089664613278</v>
      </c>
      <c r="J671" s="40">
        <f t="shared" si="134"/>
        <v>56</v>
      </c>
      <c r="K671" s="43">
        <f>VLOOKUP(J671,Data!$Z$3:$AA$122,2)</f>
        <v>0</v>
      </c>
      <c r="L671" s="41">
        <f t="shared" si="135"/>
        <v>0.29089664613277932</v>
      </c>
      <c r="M671" s="43">
        <f>VLOOKUP(H671,Data!$P$3:$X$122,9)</f>
        <v>0</v>
      </c>
      <c r="N671" s="43">
        <f t="shared" si="138"/>
        <v>0</v>
      </c>
      <c r="O671" s="43">
        <f t="shared" si="139"/>
        <v>0</v>
      </c>
      <c r="P671" s="30">
        <f t="shared" si="140"/>
        <v>0</v>
      </c>
      <c r="Q671" s="31">
        <f t="shared" si="142"/>
        <v>848340.75061972369</v>
      </c>
    </row>
    <row r="672" spans="1:17" x14ac:dyDescent="0.25">
      <c r="A672" s="6">
        <f t="shared" si="141"/>
        <v>63644</v>
      </c>
      <c r="B672" s="30">
        <f>IFERROR(VLOOKUP(A672, Data!$L$3:$N$123, 3),1)*Pension</f>
        <v>328467.2231682688</v>
      </c>
      <c r="C672" s="37">
        <f t="shared" si="130"/>
        <v>55.750855578370981</v>
      </c>
      <c r="D672" s="37">
        <f>IFERROR(VLOOKUP(A672,Data!$I$3:$J$1442,2),0)</f>
        <v>8.4257856000000006E-2</v>
      </c>
      <c r="E672" s="37">
        <f t="shared" si="131"/>
        <v>8.4057856E-2</v>
      </c>
      <c r="F672" s="37">
        <f t="shared" si="136"/>
        <v>9.2207639209092914E-3</v>
      </c>
      <c r="G672" s="30">
        <f t="shared" si="137"/>
        <v>3028.7187205912333</v>
      </c>
      <c r="H672" s="38">
        <f t="shared" si="132"/>
        <v>151</v>
      </c>
      <c r="I672" s="39">
        <f t="shared" si="133"/>
        <v>151.37577002053388</v>
      </c>
      <c r="J672" s="40">
        <f t="shared" si="134"/>
        <v>56</v>
      </c>
      <c r="K672" s="43">
        <f>VLOOKUP(J672,Data!$Z$3:$AA$122,2)</f>
        <v>0</v>
      </c>
      <c r="L672" s="41">
        <f t="shared" si="135"/>
        <v>0.37577002053387787</v>
      </c>
      <c r="M672" s="43">
        <f>VLOOKUP(H672,Data!$P$3:$X$122,9)</f>
        <v>0</v>
      </c>
      <c r="N672" s="43">
        <f t="shared" si="138"/>
        <v>0</v>
      </c>
      <c r="O672" s="43">
        <f t="shared" si="139"/>
        <v>0</v>
      </c>
      <c r="P672" s="30">
        <f t="shared" si="140"/>
        <v>0</v>
      </c>
      <c r="Q672" s="31">
        <f t="shared" si="142"/>
        <v>848340.75061972369</v>
      </c>
    </row>
    <row r="673" spans="1:17" x14ac:dyDescent="0.25">
      <c r="A673" s="6">
        <f t="shared" si="141"/>
        <v>63674</v>
      </c>
      <c r="B673" s="30">
        <f>IFERROR(VLOOKUP(A673, Data!$L$3:$N$123, 3),1)*Pension</f>
        <v>328467.2231682688</v>
      </c>
      <c r="C673" s="37">
        <f t="shared" si="130"/>
        <v>55.832991101984945</v>
      </c>
      <c r="D673" s="37">
        <f>IFERROR(VLOOKUP(A673,Data!$I$3:$J$1442,2),0)</f>
        <v>8.4236882999999999E-2</v>
      </c>
      <c r="E673" s="37">
        <f t="shared" si="131"/>
        <v>8.4036882999999993E-2</v>
      </c>
      <c r="F673" s="37">
        <f t="shared" si="136"/>
        <v>9.1680511413754807E-3</v>
      </c>
      <c r="G673" s="30">
        <f t="shared" si="137"/>
        <v>3011.4043002722815</v>
      </c>
      <c r="H673" s="38">
        <f t="shared" si="132"/>
        <v>151</v>
      </c>
      <c r="I673" s="39">
        <f t="shared" si="133"/>
        <v>151.45790554414785</v>
      </c>
      <c r="J673" s="40">
        <f t="shared" si="134"/>
        <v>56</v>
      </c>
      <c r="K673" s="43">
        <f>VLOOKUP(J673,Data!$Z$3:$AA$122,2)</f>
        <v>0</v>
      </c>
      <c r="L673" s="41">
        <f t="shared" si="135"/>
        <v>0.45790554414784879</v>
      </c>
      <c r="M673" s="43">
        <f>VLOOKUP(H673,Data!$P$3:$X$122,9)</f>
        <v>0</v>
      </c>
      <c r="N673" s="43">
        <f t="shared" si="138"/>
        <v>0</v>
      </c>
      <c r="O673" s="43">
        <f t="shared" si="139"/>
        <v>0</v>
      </c>
      <c r="P673" s="30">
        <f t="shared" si="140"/>
        <v>0</v>
      </c>
      <c r="Q673" s="31">
        <f t="shared" si="142"/>
        <v>848340.75061972369</v>
      </c>
    </row>
    <row r="674" spans="1:17" x14ac:dyDescent="0.25">
      <c r="A674" s="6">
        <f t="shared" si="141"/>
        <v>63705</v>
      </c>
      <c r="B674" s="30">
        <f>IFERROR(VLOOKUP(A674, Data!$L$3:$N$123, 3),1)*Pension</f>
        <v>328467.2231682688</v>
      </c>
      <c r="C674" s="37">
        <f t="shared" si="130"/>
        <v>55.917864476386036</v>
      </c>
      <c r="D674" s="37">
        <f>IFERROR(VLOOKUP(A674,Data!$I$3:$J$1442,2),0)</f>
        <v>8.4215275000000006E-2</v>
      </c>
      <c r="E674" s="37">
        <f t="shared" si="131"/>
        <v>8.4015275E-2</v>
      </c>
      <c r="F674" s="37">
        <f t="shared" si="136"/>
        <v>9.113898149287222E-3</v>
      </c>
      <c r="G674" s="30">
        <f t="shared" si="137"/>
        <v>2993.6168173347978</v>
      </c>
      <c r="H674" s="38">
        <f t="shared" si="132"/>
        <v>151</v>
      </c>
      <c r="I674" s="39">
        <f t="shared" si="133"/>
        <v>151.54277891854895</v>
      </c>
      <c r="J674" s="40">
        <f t="shared" si="134"/>
        <v>56</v>
      </c>
      <c r="K674" s="43">
        <f>VLOOKUP(J674,Data!$Z$3:$AA$122,2)</f>
        <v>0</v>
      </c>
      <c r="L674" s="41">
        <f t="shared" si="135"/>
        <v>0.54277891854894733</v>
      </c>
      <c r="M674" s="43">
        <f>VLOOKUP(H674,Data!$P$3:$X$122,9)</f>
        <v>0</v>
      </c>
      <c r="N674" s="43">
        <f t="shared" si="138"/>
        <v>0</v>
      </c>
      <c r="O674" s="43">
        <f t="shared" si="139"/>
        <v>0</v>
      </c>
      <c r="P674" s="30">
        <f t="shared" si="140"/>
        <v>0</v>
      </c>
      <c r="Q674" s="31">
        <f t="shared" si="142"/>
        <v>848340.75061972369</v>
      </c>
    </row>
    <row r="675" spans="1:17" x14ac:dyDescent="0.25">
      <c r="A675" s="6">
        <f t="shared" si="141"/>
        <v>63735</v>
      </c>
      <c r="B675" s="30">
        <f>IFERROR(VLOOKUP(A675, Data!$L$3:$N$123, 3),1)*Pension</f>
        <v>328467.2231682688</v>
      </c>
      <c r="C675" s="37">
        <f t="shared" si="130"/>
        <v>56</v>
      </c>
      <c r="D675" s="37">
        <f>IFERROR(VLOOKUP(A675,Data!$I$3:$J$1442,2),0)</f>
        <v>8.4194426000000003E-2</v>
      </c>
      <c r="E675" s="37">
        <f t="shared" si="131"/>
        <v>8.3994425999999997E-2</v>
      </c>
      <c r="F675" s="37">
        <f t="shared" si="136"/>
        <v>9.0617968026706023E-3</v>
      </c>
      <c r="G675" s="30">
        <f t="shared" si="137"/>
        <v>2976.5032326883093</v>
      </c>
      <c r="H675" s="38">
        <f t="shared" si="132"/>
        <v>151</v>
      </c>
      <c r="I675" s="39">
        <f t="shared" si="133"/>
        <v>151.62491444216289</v>
      </c>
      <c r="J675" s="40">
        <f t="shared" si="134"/>
        <v>56</v>
      </c>
      <c r="K675" s="43">
        <f>VLOOKUP(J675,Data!$Z$3:$AA$122,2)</f>
        <v>0</v>
      </c>
      <c r="L675" s="41">
        <f t="shared" si="135"/>
        <v>0.62491444216288983</v>
      </c>
      <c r="M675" s="43">
        <f>VLOOKUP(H675,Data!$P$3:$X$122,9)</f>
        <v>0</v>
      </c>
      <c r="N675" s="43">
        <f t="shared" si="138"/>
        <v>0</v>
      </c>
      <c r="O675" s="43">
        <f t="shared" si="139"/>
        <v>0</v>
      </c>
      <c r="P675" s="30">
        <f t="shared" si="140"/>
        <v>0</v>
      </c>
      <c r="Q675" s="31">
        <f t="shared" si="142"/>
        <v>848340.75061972369</v>
      </c>
    </row>
    <row r="676" spans="1:17" x14ac:dyDescent="0.25">
      <c r="A676" s="6">
        <f t="shared" si="141"/>
        <v>63766</v>
      </c>
      <c r="B676" s="30">
        <f>IFERROR(VLOOKUP(A676, Data!$L$3:$N$123, 3),1)*Pension</f>
        <v>328467.2231682688</v>
      </c>
      <c r="C676" s="37">
        <f t="shared" si="130"/>
        <v>56.084873374401099</v>
      </c>
      <c r="D676" s="37">
        <f>IFERROR(VLOOKUP(A676,Data!$I$3:$J$1442,2),0)</f>
        <v>8.4172946999999998E-2</v>
      </c>
      <c r="E676" s="37">
        <f t="shared" si="131"/>
        <v>8.3972946999999992E-2</v>
      </c>
      <c r="F676" s="37">
        <f t="shared" si="136"/>
        <v>9.008271218879229E-3</v>
      </c>
      <c r="G676" s="30">
        <f t="shared" si="137"/>
        <v>2958.9218328118964</v>
      </c>
      <c r="H676" s="38">
        <f t="shared" si="132"/>
        <v>151</v>
      </c>
      <c r="I676" s="39">
        <f t="shared" si="133"/>
        <v>151.70978781656399</v>
      </c>
      <c r="J676" s="40">
        <f t="shared" si="134"/>
        <v>56</v>
      </c>
      <c r="K676" s="43">
        <f>VLOOKUP(J676,Data!$Z$3:$AA$122,2)</f>
        <v>0</v>
      </c>
      <c r="L676" s="41">
        <f t="shared" si="135"/>
        <v>0.70978781656398837</v>
      </c>
      <c r="M676" s="43">
        <f>VLOOKUP(H676,Data!$P$3:$X$122,9)</f>
        <v>0</v>
      </c>
      <c r="N676" s="43">
        <f t="shared" si="138"/>
        <v>0</v>
      </c>
      <c r="O676" s="43">
        <f t="shared" si="139"/>
        <v>0</v>
      </c>
      <c r="P676" s="30">
        <f t="shared" si="140"/>
        <v>0</v>
      </c>
      <c r="Q676" s="31">
        <f t="shared" si="142"/>
        <v>848340.75061972369</v>
      </c>
    </row>
    <row r="677" spans="1:17" x14ac:dyDescent="0.25">
      <c r="A677" s="6">
        <f t="shared" si="141"/>
        <v>63797</v>
      </c>
      <c r="B677" s="30">
        <f>IFERROR(VLOOKUP(A677, Data!$L$3:$N$123, 3),1)*Pension</f>
        <v>328467.2231682688</v>
      </c>
      <c r="C677" s="37">
        <f t="shared" si="130"/>
        <v>56.16974674880219</v>
      </c>
      <c r="D677" s="37">
        <f>IFERROR(VLOOKUP(A677,Data!$I$3:$J$1442,2),0)</f>
        <v>8.4151532000000001E-2</v>
      </c>
      <c r="E677" s="37">
        <f t="shared" si="131"/>
        <v>8.3951531999999995E-2</v>
      </c>
      <c r="F677" s="37">
        <f t="shared" si="136"/>
        <v>8.9550622540823886E-3</v>
      </c>
      <c r="G677" s="30">
        <f t="shared" si="137"/>
        <v>2941.4444318974201</v>
      </c>
      <c r="H677" s="38">
        <f t="shared" si="132"/>
        <v>151</v>
      </c>
      <c r="I677" s="39">
        <f t="shared" si="133"/>
        <v>151.79466119096509</v>
      </c>
      <c r="J677" s="40">
        <f t="shared" si="134"/>
        <v>56</v>
      </c>
      <c r="K677" s="43">
        <f>VLOOKUP(J677,Data!$Z$3:$AA$122,2)</f>
        <v>0</v>
      </c>
      <c r="L677" s="41">
        <f t="shared" si="135"/>
        <v>0.79466119096508692</v>
      </c>
      <c r="M677" s="43">
        <f>VLOOKUP(H677,Data!$P$3:$X$122,9)</f>
        <v>0</v>
      </c>
      <c r="N677" s="43">
        <f t="shared" si="138"/>
        <v>0</v>
      </c>
      <c r="O677" s="43">
        <f t="shared" si="139"/>
        <v>0</v>
      </c>
      <c r="P677" s="30">
        <f t="shared" si="140"/>
        <v>0</v>
      </c>
      <c r="Q677" s="31">
        <f t="shared" si="142"/>
        <v>848340.75061972369</v>
      </c>
    </row>
    <row r="678" spans="1:17" x14ac:dyDescent="0.25">
      <c r="A678" s="6">
        <f t="shared" si="141"/>
        <v>63827</v>
      </c>
      <c r="B678" s="30">
        <f>IFERROR(VLOOKUP(A678, Data!$L$3:$N$123, 3),1)*Pension</f>
        <v>328467.2231682688</v>
      </c>
      <c r="C678" s="37">
        <f t="shared" si="130"/>
        <v>56.251882272416154</v>
      </c>
      <c r="D678" s="37">
        <f>IFERROR(VLOOKUP(A678,Data!$I$3:$J$1442,2),0)</f>
        <v>8.4130869999999996E-2</v>
      </c>
      <c r="E678" s="37">
        <f t="shared" si="131"/>
        <v>8.3930869999999991E-2</v>
      </c>
      <c r="F678" s="37">
        <f t="shared" si="136"/>
        <v>8.9038686380081208E-3</v>
      </c>
      <c r="G678" s="30">
        <f t="shared" si="137"/>
        <v>2924.6290069815632</v>
      </c>
      <c r="H678" s="38">
        <f t="shared" si="132"/>
        <v>151</v>
      </c>
      <c r="I678" s="39">
        <f t="shared" si="133"/>
        <v>151.87679671457906</v>
      </c>
      <c r="J678" s="40">
        <f t="shared" si="134"/>
        <v>56</v>
      </c>
      <c r="K678" s="43">
        <f>VLOOKUP(J678,Data!$Z$3:$AA$122,2)</f>
        <v>0</v>
      </c>
      <c r="L678" s="41">
        <f t="shared" si="135"/>
        <v>0.87679671457905783</v>
      </c>
      <c r="M678" s="43">
        <f>VLOOKUP(H678,Data!$P$3:$X$122,9)</f>
        <v>0</v>
      </c>
      <c r="N678" s="43">
        <f t="shared" si="138"/>
        <v>0</v>
      </c>
      <c r="O678" s="43">
        <f t="shared" si="139"/>
        <v>0</v>
      </c>
      <c r="P678" s="30">
        <f t="shared" si="140"/>
        <v>0</v>
      </c>
      <c r="Q678" s="31">
        <f t="shared" si="142"/>
        <v>848340.75061972369</v>
      </c>
    </row>
    <row r="679" spans="1:17" x14ac:dyDescent="0.25">
      <c r="A679" s="6">
        <f t="shared" si="141"/>
        <v>63858</v>
      </c>
      <c r="B679" s="30">
        <f>IFERROR(VLOOKUP(A679, Data!$L$3:$N$123, 3),1)*Pension</f>
        <v>328467.2231682688</v>
      </c>
      <c r="C679" s="37">
        <f t="shared" si="130"/>
        <v>56.336755646817245</v>
      </c>
      <c r="D679" s="37">
        <f>IFERROR(VLOOKUP(A679,Data!$I$3:$J$1442,2),0)</f>
        <v>8.4109583000000002E-2</v>
      </c>
      <c r="E679" s="37">
        <f t="shared" si="131"/>
        <v>8.3909582999999996E-2</v>
      </c>
      <c r="F679" s="37">
        <f t="shared" si="136"/>
        <v>8.8512757846224352E-3</v>
      </c>
      <c r="G679" s="30">
        <f t="shared" si="137"/>
        <v>2907.3539784714708</v>
      </c>
      <c r="H679" s="38">
        <f t="shared" si="132"/>
        <v>151</v>
      </c>
      <c r="I679" s="39">
        <f t="shared" si="133"/>
        <v>151.96167008898016</v>
      </c>
      <c r="J679" s="40">
        <f t="shared" si="134"/>
        <v>56</v>
      </c>
      <c r="K679" s="43">
        <f>VLOOKUP(J679,Data!$Z$3:$AA$122,2)</f>
        <v>0</v>
      </c>
      <c r="L679" s="41">
        <f t="shared" si="135"/>
        <v>0.96167008898015638</v>
      </c>
      <c r="M679" s="43">
        <f>VLOOKUP(H679,Data!$P$3:$X$122,9)</f>
        <v>0</v>
      </c>
      <c r="N679" s="43">
        <f t="shared" si="138"/>
        <v>0</v>
      </c>
      <c r="O679" s="43">
        <f t="shared" si="139"/>
        <v>0</v>
      </c>
      <c r="P679" s="30">
        <f t="shared" si="140"/>
        <v>0</v>
      </c>
      <c r="Q679" s="31">
        <f t="shared" si="142"/>
        <v>848340.75061972369</v>
      </c>
    </row>
    <row r="680" spans="1:17" x14ac:dyDescent="0.25">
      <c r="A680" s="6">
        <f t="shared" si="141"/>
        <v>63888</v>
      </c>
      <c r="B680" s="30">
        <f>IFERROR(VLOOKUP(A680, Data!$L$3:$N$123, 3),1)*Pension</f>
        <v>328467.2231682688</v>
      </c>
      <c r="C680" s="37">
        <f t="shared" si="130"/>
        <v>56.418891170431209</v>
      </c>
      <c r="D680" s="37">
        <f>IFERROR(VLOOKUP(A680,Data!$I$3:$J$1442,2),0)</f>
        <v>8.4089043000000002E-2</v>
      </c>
      <c r="E680" s="37">
        <f t="shared" si="131"/>
        <v>8.3889042999999996E-2</v>
      </c>
      <c r="F680" s="37">
        <f t="shared" si="136"/>
        <v>8.8006756027190127E-3</v>
      </c>
      <c r="G680" s="30">
        <f t="shared" si="137"/>
        <v>2890.7334772298445</v>
      </c>
      <c r="H680" s="38">
        <f t="shared" si="132"/>
        <v>152</v>
      </c>
      <c r="I680" s="39">
        <f t="shared" si="133"/>
        <v>152.04380561259413</v>
      </c>
      <c r="J680" s="40">
        <f t="shared" si="134"/>
        <v>57</v>
      </c>
      <c r="K680" s="43">
        <f>VLOOKUP(J680,Data!$Z$3:$AA$122,2)</f>
        <v>0</v>
      </c>
      <c r="L680" s="41">
        <f t="shared" si="135"/>
        <v>4.3805612594127297E-2</v>
      </c>
      <c r="M680" s="43">
        <f>VLOOKUP(H680,Data!$P$3:$X$122,9)</f>
        <v>0</v>
      </c>
      <c r="N680" s="43">
        <f t="shared" si="138"/>
        <v>0</v>
      </c>
      <c r="O680" s="43">
        <f t="shared" si="139"/>
        <v>0</v>
      </c>
      <c r="P680" s="30">
        <f t="shared" si="140"/>
        <v>0</v>
      </c>
      <c r="Q680" s="31">
        <f t="shared" si="142"/>
        <v>848340.75061972369</v>
      </c>
    </row>
    <row r="681" spans="1:17" x14ac:dyDescent="0.25">
      <c r="A681" s="6">
        <f t="shared" si="141"/>
        <v>63919</v>
      </c>
      <c r="B681" s="30">
        <f>IFERROR(VLOOKUP(A681, Data!$L$3:$N$123, 3),1)*Pension</f>
        <v>344890.58432668226</v>
      </c>
      <c r="C681" s="37">
        <f t="shared" si="130"/>
        <v>56.503764544832308</v>
      </c>
      <c r="D681" s="37">
        <f>IFERROR(VLOOKUP(A681,Data!$I$3:$J$1442,2),0)</f>
        <v>8.4067880999999997E-2</v>
      </c>
      <c r="E681" s="37">
        <f t="shared" si="131"/>
        <v>8.3867880999999991E-2</v>
      </c>
      <c r="F681" s="37">
        <f t="shared" si="136"/>
        <v>8.7486926526785906E-3</v>
      </c>
      <c r="G681" s="30">
        <f t="shared" si="137"/>
        <v>3017.3417210768712</v>
      </c>
      <c r="H681" s="38">
        <f t="shared" si="132"/>
        <v>152</v>
      </c>
      <c r="I681" s="39">
        <f t="shared" si="133"/>
        <v>152.1286789869952</v>
      </c>
      <c r="J681" s="40">
        <f t="shared" si="134"/>
        <v>57</v>
      </c>
      <c r="K681" s="43">
        <f>VLOOKUP(J681,Data!$Z$3:$AA$122,2)</f>
        <v>0</v>
      </c>
      <c r="L681" s="41">
        <f t="shared" si="135"/>
        <v>0.12867898699519742</v>
      </c>
      <c r="M681" s="43">
        <f>VLOOKUP(H681,Data!$P$3:$X$122,9)</f>
        <v>0</v>
      </c>
      <c r="N681" s="43">
        <f t="shared" si="138"/>
        <v>0</v>
      </c>
      <c r="O681" s="43">
        <f t="shared" si="139"/>
        <v>0</v>
      </c>
      <c r="P681" s="30">
        <f t="shared" si="140"/>
        <v>0</v>
      </c>
      <c r="Q681" s="31">
        <f t="shared" si="142"/>
        <v>848340.75061972369</v>
      </c>
    </row>
    <row r="682" spans="1:17" x14ac:dyDescent="0.25">
      <c r="A682" s="6">
        <f t="shared" si="141"/>
        <v>63950</v>
      </c>
      <c r="B682" s="30">
        <f>IFERROR(VLOOKUP(A682, Data!$L$3:$N$123, 3),1)*Pension</f>
        <v>344890.58432668226</v>
      </c>
      <c r="C682" s="37">
        <f t="shared" si="130"/>
        <v>56.588637919233399</v>
      </c>
      <c r="D682" s="37">
        <f>IFERROR(VLOOKUP(A682,Data!$I$3:$J$1442,2),0)</f>
        <v>8.4046782E-2</v>
      </c>
      <c r="E682" s="37">
        <f t="shared" si="131"/>
        <v>8.3846781999999995E-2</v>
      </c>
      <c r="F682" s="37">
        <f t="shared" si="136"/>
        <v>8.6970169859847662E-3</v>
      </c>
      <c r="G682" s="30">
        <f t="shared" si="137"/>
        <v>2999.519270195367</v>
      </c>
      <c r="H682" s="38">
        <f t="shared" si="132"/>
        <v>152</v>
      </c>
      <c r="I682" s="39">
        <f t="shared" si="133"/>
        <v>152.2135523613963</v>
      </c>
      <c r="J682" s="40">
        <f t="shared" si="134"/>
        <v>57</v>
      </c>
      <c r="K682" s="43">
        <f>VLOOKUP(J682,Data!$Z$3:$AA$122,2)</f>
        <v>0</v>
      </c>
      <c r="L682" s="41">
        <f t="shared" si="135"/>
        <v>0.21355236139629596</v>
      </c>
      <c r="M682" s="43">
        <f>VLOOKUP(H682,Data!$P$3:$X$122,9)</f>
        <v>0</v>
      </c>
      <c r="N682" s="43">
        <f t="shared" si="138"/>
        <v>0</v>
      </c>
      <c r="O682" s="43">
        <f t="shared" si="139"/>
        <v>0</v>
      </c>
      <c r="P682" s="30">
        <f t="shared" si="140"/>
        <v>0</v>
      </c>
      <c r="Q682" s="31">
        <f t="shared" si="142"/>
        <v>848340.75061972369</v>
      </c>
    </row>
    <row r="683" spans="1:17" x14ac:dyDescent="0.25">
      <c r="A683" s="6">
        <f t="shared" si="141"/>
        <v>63978</v>
      </c>
      <c r="B683" s="30">
        <f>IFERROR(VLOOKUP(A683, Data!$L$3:$N$123, 3),1)*Pension</f>
        <v>344890.58432668226</v>
      </c>
      <c r="C683" s="37">
        <f t="shared" si="130"/>
        <v>56.6652977412731</v>
      </c>
      <c r="D683" s="37">
        <f>IFERROR(VLOOKUP(A683,Data!$I$3:$J$1442,2),0)</f>
        <v>8.4027779999999996E-2</v>
      </c>
      <c r="E683" s="37">
        <f t="shared" si="131"/>
        <v>8.3827779999999991E-2</v>
      </c>
      <c r="F683" s="37">
        <f t="shared" si="136"/>
        <v>8.6506041833632075E-3</v>
      </c>
      <c r="G683" s="30">
        <f t="shared" si="137"/>
        <v>2983.5119315789789</v>
      </c>
      <c r="H683" s="38">
        <f t="shared" si="132"/>
        <v>152</v>
      </c>
      <c r="I683" s="39">
        <f t="shared" si="133"/>
        <v>152.29021218343601</v>
      </c>
      <c r="J683" s="40">
        <f t="shared" si="134"/>
        <v>57</v>
      </c>
      <c r="K683" s="43">
        <f>VLOOKUP(J683,Data!$Z$3:$AA$122,2)</f>
        <v>0</v>
      </c>
      <c r="L683" s="41">
        <f t="shared" si="135"/>
        <v>0.29021218343601163</v>
      </c>
      <c r="M683" s="43">
        <f>VLOOKUP(H683,Data!$P$3:$X$122,9)</f>
        <v>0</v>
      </c>
      <c r="N683" s="43">
        <f t="shared" si="138"/>
        <v>0</v>
      </c>
      <c r="O683" s="43">
        <f t="shared" si="139"/>
        <v>0</v>
      </c>
      <c r="P683" s="30">
        <f t="shared" si="140"/>
        <v>0</v>
      </c>
      <c r="Q683" s="31">
        <f t="shared" si="142"/>
        <v>848340.75061972369</v>
      </c>
    </row>
    <row r="684" spans="1:17" x14ac:dyDescent="0.25">
      <c r="A684" s="6">
        <f t="shared" si="141"/>
        <v>64009</v>
      </c>
      <c r="B684" s="30">
        <f>IFERROR(VLOOKUP(A684, Data!$L$3:$N$123, 3),1)*Pension</f>
        <v>344890.58432668226</v>
      </c>
      <c r="C684" s="37">
        <f t="shared" si="130"/>
        <v>56.750171115674199</v>
      </c>
      <c r="D684" s="37">
        <f>IFERROR(VLOOKUP(A684,Data!$I$3:$J$1442,2),0)</f>
        <v>8.4006802000000005E-2</v>
      </c>
      <c r="E684" s="37">
        <f t="shared" si="131"/>
        <v>8.3806802E-2</v>
      </c>
      <c r="F684" s="37">
        <f t="shared" si="136"/>
        <v>8.5995074195683845E-3</v>
      </c>
      <c r="G684" s="30">
        <f t="shared" si="137"/>
        <v>2965.8891388565798</v>
      </c>
      <c r="H684" s="38">
        <f t="shared" si="132"/>
        <v>152</v>
      </c>
      <c r="I684" s="39">
        <f t="shared" si="133"/>
        <v>152.37508555783711</v>
      </c>
      <c r="J684" s="40">
        <f t="shared" si="134"/>
        <v>57</v>
      </c>
      <c r="K684" s="43">
        <f>VLOOKUP(J684,Data!$Z$3:$AA$122,2)</f>
        <v>0</v>
      </c>
      <c r="L684" s="41">
        <f t="shared" si="135"/>
        <v>0.37508555783711017</v>
      </c>
      <c r="M684" s="43">
        <f>VLOOKUP(H684,Data!$P$3:$X$122,9)</f>
        <v>0</v>
      </c>
      <c r="N684" s="43">
        <f t="shared" si="138"/>
        <v>0</v>
      </c>
      <c r="O684" s="43">
        <f t="shared" si="139"/>
        <v>0</v>
      </c>
      <c r="P684" s="30">
        <f t="shared" si="140"/>
        <v>0</v>
      </c>
      <c r="Q684" s="31">
        <f t="shared" si="142"/>
        <v>848340.75061972369</v>
      </c>
    </row>
    <row r="685" spans="1:17" x14ac:dyDescent="0.25">
      <c r="A685" s="6">
        <f t="shared" si="141"/>
        <v>64039</v>
      </c>
      <c r="B685" s="30">
        <f>IFERROR(VLOOKUP(A685, Data!$L$3:$N$123, 3),1)*Pension</f>
        <v>344890.58432668226</v>
      </c>
      <c r="C685" s="37">
        <f t="shared" si="130"/>
        <v>56.832306639288156</v>
      </c>
      <c r="D685" s="37">
        <f>IFERROR(VLOOKUP(A685,Data!$I$3:$J$1442,2),0)</f>
        <v>8.3986560000000002E-2</v>
      </c>
      <c r="E685" s="37">
        <f t="shared" si="131"/>
        <v>8.3786559999999996E-2</v>
      </c>
      <c r="F685" s="37">
        <f t="shared" si="136"/>
        <v>8.5503465031442436E-3</v>
      </c>
      <c r="G685" s="30">
        <f t="shared" si="137"/>
        <v>2948.9340016650226</v>
      </c>
      <c r="H685" s="38">
        <f t="shared" si="132"/>
        <v>152</v>
      </c>
      <c r="I685" s="39">
        <f t="shared" si="133"/>
        <v>152.45722108145105</v>
      </c>
      <c r="J685" s="40">
        <f t="shared" si="134"/>
        <v>57</v>
      </c>
      <c r="K685" s="43">
        <f>VLOOKUP(J685,Data!$Z$3:$AA$122,2)</f>
        <v>0</v>
      </c>
      <c r="L685" s="41">
        <f t="shared" si="135"/>
        <v>0.45722108145105267</v>
      </c>
      <c r="M685" s="43">
        <f>VLOOKUP(H685,Data!$P$3:$X$122,9)</f>
        <v>0</v>
      </c>
      <c r="N685" s="43">
        <f t="shared" si="138"/>
        <v>0</v>
      </c>
      <c r="O685" s="43">
        <f t="shared" si="139"/>
        <v>0</v>
      </c>
      <c r="P685" s="30">
        <f t="shared" si="140"/>
        <v>0</v>
      </c>
      <c r="Q685" s="31">
        <f t="shared" si="142"/>
        <v>848340.75061972369</v>
      </c>
    </row>
    <row r="686" spans="1:17" x14ac:dyDescent="0.25">
      <c r="A686" s="6">
        <f t="shared" si="141"/>
        <v>64070</v>
      </c>
      <c r="B686" s="30">
        <f>IFERROR(VLOOKUP(A686, Data!$L$3:$N$123, 3),1)*Pension</f>
        <v>344890.58432668226</v>
      </c>
      <c r="C686" s="37">
        <f t="shared" si="130"/>
        <v>56.917180013689254</v>
      </c>
      <c r="D686" s="37">
        <f>IFERROR(VLOOKUP(A686,Data!$I$3:$J$1442,2),0)</f>
        <v>8.3965704000000002E-2</v>
      </c>
      <c r="E686" s="37">
        <f t="shared" si="131"/>
        <v>8.3765703999999996E-2</v>
      </c>
      <c r="F686" s="37">
        <f t="shared" si="136"/>
        <v>8.4998424279884213E-3</v>
      </c>
      <c r="G686" s="30">
        <f t="shared" si="137"/>
        <v>2931.5156216736523</v>
      </c>
      <c r="H686" s="38">
        <f t="shared" si="132"/>
        <v>152</v>
      </c>
      <c r="I686" s="39">
        <f t="shared" si="133"/>
        <v>152.54209445585215</v>
      </c>
      <c r="J686" s="40">
        <f t="shared" si="134"/>
        <v>57</v>
      </c>
      <c r="K686" s="43">
        <f>VLOOKUP(J686,Data!$Z$3:$AA$122,2)</f>
        <v>0</v>
      </c>
      <c r="L686" s="41">
        <f t="shared" si="135"/>
        <v>0.54209445585215121</v>
      </c>
      <c r="M686" s="43">
        <f>VLOOKUP(H686,Data!$P$3:$X$122,9)</f>
        <v>0</v>
      </c>
      <c r="N686" s="43">
        <f t="shared" si="138"/>
        <v>0</v>
      </c>
      <c r="O686" s="43">
        <f t="shared" si="139"/>
        <v>0</v>
      </c>
      <c r="P686" s="30">
        <f t="shared" si="140"/>
        <v>0</v>
      </c>
      <c r="Q686" s="31">
        <f t="shared" si="142"/>
        <v>848340.75061972369</v>
      </c>
    </row>
    <row r="687" spans="1:17" x14ac:dyDescent="0.25">
      <c r="A687" s="6">
        <f t="shared" si="141"/>
        <v>64100</v>
      </c>
      <c r="B687" s="30">
        <f>IFERROR(VLOOKUP(A687, Data!$L$3:$N$123, 3),1)*Pension</f>
        <v>344890.58432668226</v>
      </c>
      <c r="C687" s="37">
        <f t="shared" si="130"/>
        <v>56.999315537303218</v>
      </c>
      <c r="D687" s="37">
        <f>IFERROR(VLOOKUP(A687,Data!$I$3:$J$1442,2),0)</f>
        <v>8.3945581000000005E-2</v>
      </c>
      <c r="E687" s="37">
        <f t="shared" si="131"/>
        <v>8.3745580999999999E-2</v>
      </c>
      <c r="F687" s="37">
        <f t="shared" si="136"/>
        <v>8.4512510419174989E-3</v>
      </c>
      <c r="G687" s="30">
        <f t="shared" si="137"/>
        <v>2914.7569101384083</v>
      </c>
      <c r="H687" s="38">
        <f t="shared" si="132"/>
        <v>152</v>
      </c>
      <c r="I687" s="39">
        <f t="shared" si="133"/>
        <v>152.62422997946612</v>
      </c>
      <c r="J687" s="40">
        <f t="shared" si="134"/>
        <v>57</v>
      </c>
      <c r="K687" s="43">
        <f>VLOOKUP(J687,Data!$Z$3:$AA$122,2)</f>
        <v>0</v>
      </c>
      <c r="L687" s="41">
        <f t="shared" si="135"/>
        <v>0.62422997946612213</v>
      </c>
      <c r="M687" s="43">
        <f>VLOOKUP(H687,Data!$P$3:$X$122,9)</f>
        <v>0</v>
      </c>
      <c r="N687" s="43">
        <f t="shared" si="138"/>
        <v>0</v>
      </c>
      <c r="O687" s="43">
        <f t="shared" si="139"/>
        <v>0</v>
      </c>
      <c r="P687" s="30">
        <f t="shared" si="140"/>
        <v>0</v>
      </c>
      <c r="Q687" s="31">
        <f t="shared" si="142"/>
        <v>848340.75061972369</v>
      </c>
    </row>
    <row r="688" spans="1:17" x14ac:dyDescent="0.25">
      <c r="A688" s="6">
        <f t="shared" si="141"/>
        <v>64131</v>
      </c>
      <c r="B688" s="30">
        <f>IFERROR(VLOOKUP(A688, Data!$L$3:$N$123, 3),1)*Pension</f>
        <v>344890.58432668226</v>
      </c>
      <c r="C688" s="37">
        <f t="shared" si="130"/>
        <v>57.08418891170431</v>
      </c>
      <c r="D688" s="37">
        <f>IFERROR(VLOOKUP(A688,Data!$I$3:$J$1442,2),0)</f>
        <v>8.3924846999999997E-2</v>
      </c>
      <c r="E688" s="37">
        <f t="shared" si="131"/>
        <v>8.3724846999999991E-2</v>
      </c>
      <c r="F688" s="37">
        <f t="shared" si="136"/>
        <v>8.4013322648425759E-3</v>
      </c>
      <c r="G688" s="30">
        <f t="shared" si="137"/>
        <v>2897.5403939441649</v>
      </c>
      <c r="H688" s="38">
        <f t="shared" si="132"/>
        <v>152</v>
      </c>
      <c r="I688" s="39">
        <f t="shared" si="133"/>
        <v>152.70910335386722</v>
      </c>
      <c r="J688" s="40">
        <f t="shared" si="134"/>
        <v>57</v>
      </c>
      <c r="K688" s="43">
        <f>VLOOKUP(J688,Data!$Z$3:$AA$122,2)</f>
        <v>0</v>
      </c>
      <c r="L688" s="41">
        <f t="shared" si="135"/>
        <v>0.70910335386722068</v>
      </c>
      <c r="M688" s="43">
        <f>VLOOKUP(H688,Data!$P$3:$X$122,9)</f>
        <v>0</v>
      </c>
      <c r="N688" s="43">
        <f t="shared" si="138"/>
        <v>0</v>
      </c>
      <c r="O688" s="43">
        <f t="shared" si="139"/>
        <v>0</v>
      </c>
      <c r="P688" s="30">
        <f t="shared" si="140"/>
        <v>0</v>
      </c>
      <c r="Q688" s="31">
        <f t="shared" si="142"/>
        <v>848340.75061972369</v>
      </c>
    </row>
    <row r="689" spans="1:17" x14ac:dyDescent="0.25">
      <c r="A689" s="6">
        <f t="shared" si="141"/>
        <v>64162</v>
      </c>
      <c r="B689" s="30">
        <f>IFERROR(VLOOKUP(A689, Data!$L$3:$N$123, 3),1)*Pension</f>
        <v>344890.58432668226</v>
      </c>
      <c r="C689" s="37">
        <f t="shared" si="130"/>
        <v>57.169062286105408</v>
      </c>
      <c r="D689" s="37">
        <f>IFERROR(VLOOKUP(A689,Data!$I$3:$J$1442,2),0)</f>
        <v>8.3904174999999998E-2</v>
      </c>
      <c r="E689" s="37">
        <f t="shared" si="131"/>
        <v>8.3704174999999992E-2</v>
      </c>
      <c r="F689" s="37">
        <f t="shared" si="136"/>
        <v>8.3517081332664129E-3</v>
      </c>
      <c r="G689" s="30">
        <f t="shared" si="137"/>
        <v>2880.4254982081579</v>
      </c>
      <c r="H689" s="38">
        <f t="shared" si="132"/>
        <v>152</v>
      </c>
      <c r="I689" s="39">
        <f t="shared" si="133"/>
        <v>152.79397672826832</v>
      </c>
      <c r="J689" s="40">
        <f t="shared" si="134"/>
        <v>57</v>
      </c>
      <c r="K689" s="43">
        <f>VLOOKUP(J689,Data!$Z$3:$AA$122,2)</f>
        <v>0</v>
      </c>
      <c r="L689" s="41">
        <f t="shared" si="135"/>
        <v>0.79397672826831922</v>
      </c>
      <c r="M689" s="43">
        <f>VLOOKUP(H689,Data!$P$3:$X$122,9)</f>
        <v>0</v>
      </c>
      <c r="N689" s="43">
        <f t="shared" si="138"/>
        <v>0</v>
      </c>
      <c r="O689" s="43">
        <f t="shared" si="139"/>
        <v>0</v>
      </c>
      <c r="P689" s="30">
        <f t="shared" si="140"/>
        <v>0</v>
      </c>
      <c r="Q689" s="31">
        <f t="shared" si="142"/>
        <v>848340.75061972369</v>
      </c>
    </row>
    <row r="690" spans="1:17" x14ac:dyDescent="0.25">
      <c r="A690" s="6">
        <f t="shared" si="141"/>
        <v>64192</v>
      </c>
      <c r="B690" s="30">
        <f>IFERROR(VLOOKUP(A690, Data!$L$3:$N$123, 3),1)*Pension</f>
        <v>344890.58432668226</v>
      </c>
      <c r="C690" s="37">
        <f t="shared" si="130"/>
        <v>57.251197809719372</v>
      </c>
      <c r="D690" s="37">
        <f>IFERROR(VLOOKUP(A690,Data!$I$3:$J$1442,2),0)</f>
        <v>8.3884229000000005E-2</v>
      </c>
      <c r="E690" s="37">
        <f t="shared" si="131"/>
        <v>8.3684228999999999E-2</v>
      </c>
      <c r="F690" s="37">
        <f t="shared" si="136"/>
        <v>8.3039635000620466E-3</v>
      </c>
      <c r="G690" s="30">
        <f t="shared" si="137"/>
        <v>2863.9588237638409</v>
      </c>
      <c r="H690" s="38">
        <f t="shared" si="132"/>
        <v>152</v>
      </c>
      <c r="I690" s="39">
        <f t="shared" si="133"/>
        <v>152.87611225188226</v>
      </c>
      <c r="J690" s="40">
        <f t="shared" si="134"/>
        <v>57</v>
      </c>
      <c r="K690" s="43">
        <f>VLOOKUP(J690,Data!$Z$3:$AA$122,2)</f>
        <v>0</v>
      </c>
      <c r="L690" s="41">
        <f t="shared" si="135"/>
        <v>0.87611225188226172</v>
      </c>
      <c r="M690" s="43">
        <f>VLOOKUP(H690,Data!$P$3:$X$122,9)</f>
        <v>0</v>
      </c>
      <c r="N690" s="43">
        <f t="shared" si="138"/>
        <v>0</v>
      </c>
      <c r="O690" s="43">
        <f t="shared" si="139"/>
        <v>0</v>
      </c>
      <c r="P690" s="30">
        <f t="shared" si="140"/>
        <v>0</v>
      </c>
      <c r="Q690" s="31">
        <f t="shared" si="142"/>
        <v>848340.75061972369</v>
      </c>
    </row>
    <row r="691" spans="1:17" x14ac:dyDescent="0.25">
      <c r="A691" s="6">
        <f t="shared" si="141"/>
        <v>64223</v>
      </c>
      <c r="B691" s="30">
        <f>IFERROR(VLOOKUP(A691, Data!$L$3:$N$123, 3),1)*Pension</f>
        <v>344890.58432668226</v>
      </c>
      <c r="C691" s="37">
        <f t="shared" si="130"/>
        <v>57.336071184120463</v>
      </c>
      <c r="D691" s="37">
        <f>IFERROR(VLOOKUP(A691,Data!$I$3:$J$1442,2),0)</f>
        <v>8.3863676999999998E-2</v>
      </c>
      <c r="E691" s="37">
        <f t="shared" si="131"/>
        <v>8.3663676999999992E-2</v>
      </c>
      <c r="F691" s="37">
        <f t="shared" si="136"/>
        <v>8.2549146570546905E-3</v>
      </c>
      <c r="G691" s="30">
        <f t="shared" si="137"/>
        <v>2847.0423396384863</v>
      </c>
      <c r="H691" s="38">
        <f t="shared" si="132"/>
        <v>152</v>
      </c>
      <c r="I691" s="39">
        <f t="shared" si="133"/>
        <v>152.96098562628336</v>
      </c>
      <c r="J691" s="40">
        <f t="shared" si="134"/>
        <v>57</v>
      </c>
      <c r="K691" s="43">
        <f>VLOOKUP(J691,Data!$Z$3:$AA$122,2)</f>
        <v>0</v>
      </c>
      <c r="L691" s="41">
        <f t="shared" si="135"/>
        <v>0.96098562628336026</v>
      </c>
      <c r="M691" s="43">
        <f>VLOOKUP(H691,Data!$P$3:$X$122,9)</f>
        <v>0</v>
      </c>
      <c r="N691" s="43">
        <f t="shared" si="138"/>
        <v>0</v>
      </c>
      <c r="O691" s="43">
        <f t="shared" si="139"/>
        <v>0</v>
      </c>
      <c r="P691" s="30">
        <f t="shared" si="140"/>
        <v>0</v>
      </c>
      <c r="Q691" s="31">
        <f t="shared" si="142"/>
        <v>848340.75061972369</v>
      </c>
    </row>
    <row r="692" spans="1:17" x14ac:dyDescent="0.25">
      <c r="A692" s="6">
        <f t="shared" si="141"/>
        <v>64253</v>
      </c>
      <c r="B692" s="30">
        <f>IFERROR(VLOOKUP(A692, Data!$L$3:$N$123, 3),1)*Pension</f>
        <v>344890.58432668226</v>
      </c>
      <c r="C692" s="37">
        <f t="shared" si="130"/>
        <v>57.418206707734427</v>
      </c>
      <c r="D692" s="37">
        <f>IFERROR(VLOOKUP(A692,Data!$I$3:$J$1442,2),0)</f>
        <v>8.3843846E-2</v>
      </c>
      <c r="E692" s="37">
        <f t="shared" si="131"/>
        <v>8.3643845999999994E-2</v>
      </c>
      <c r="F692" s="37">
        <f t="shared" si="136"/>
        <v>8.2077238144411761E-3</v>
      </c>
      <c r="G692" s="30">
        <f t="shared" si="137"/>
        <v>2830.7666623546424</v>
      </c>
      <c r="H692" s="38">
        <f t="shared" si="132"/>
        <v>153</v>
      </c>
      <c r="I692" s="39">
        <f t="shared" si="133"/>
        <v>153.04312114989733</v>
      </c>
      <c r="J692" s="40">
        <f t="shared" si="134"/>
        <v>58</v>
      </c>
      <c r="K692" s="43">
        <f>VLOOKUP(J692,Data!$Z$3:$AA$122,2)</f>
        <v>0</v>
      </c>
      <c r="L692" s="41">
        <f t="shared" si="135"/>
        <v>4.3121149897331179E-2</v>
      </c>
      <c r="M692" s="43">
        <f>VLOOKUP(H692,Data!$P$3:$X$122,9)</f>
        <v>0</v>
      </c>
      <c r="N692" s="43">
        <f t="shared" si="138"/>
        <v>0</v>
      </c>
      <c r="O692" s="43">
        <f t="shared" si="139"/>
        <v>0</v>
      </c>
      <c r="P692" s="30">
        <f t="shared" si="140"/>
        <v>0</v>
      </c>
      <c r="Q692" s="31">
        <f t="shared" si="142"/>
        <v>848340.75061972369</v>
      </c>
    </row>
    <row r="693" spans="1:17" x14ac:dyDescent="0.25">
      <c r="A693" s="6">
        <f t="shared" si="141"/>
        <v>64284</v>
      </c>
      <c r="B693" s="30">
        <f>IFERROR(VLOOKUP(A693, Data!$L$3:$N$123, 3),1)*Pension</f>
        <v>362135.11354301643</v>
      </c>
      <c r="C693" s="37">
        <f t="shared" si="130"/>
        <v>57.503080082135526</v>
      </c>
      <c r="D693" s="37">
        <f>IFERROR(VLOOKUP(A693,Data!$I$3:$J$1442,2),0)</f>
        <v>8.3823413999999999E-2</v>
      </c>
      <c r="E693" s="37">
        <f t="shared" si="131"/>
        <v>8.3623413999999993E-2</v>
      </c>
      <c r="F693" s="37">
        <f t="shared" si="136"/>
        <v>8.1592430973704295E-3</v>
      </c>
      <c r="G693" s="30">
        <f t="shared" si="137"/>
        <v>2954.7484254913134</v>
      </c>
      <c r="H693" s="38">
        <f t="shared" si="132"/>
        <v>153</v>
      </c>
      <c r="I693" s="39">
        <f t="shared" si="133"/>
        <v>153.12799452429843</v>
      </c>
      <c r="J693" s="40">
        <f t="shared" si="134"/>
        <v>58</v>
      </c>
      <c r="K693" s="43">
        <f>VLOOKUP(J693,Data!$Z$3:$AA$122,2)</f>
        <v>0</v>
      </c>
      <c r="L693" s="41">
        <f t="shared" si="135"/>
        <v>0.12799452429842972</v>
      </c>
      <c r="M693" s="43">
        <f>VLOOKUP(H693,Data!$P$3:$X$122,9)</f>
        <v>0</v>
      </c>
      <c r="N693" s="43">
        <f t="shared" si="138"/>
        <v>0</v>
      </c>
      <c r="O693" s="43">
        <f t="shared" si="139"/>
        <v>0</v>
      </c>
      <c r="P693" s="30">
        <f t="shared" si="140"/>
        <v>0</v>
      </c>
      <c r="Q693" s="31">
        <f t="shared" si="142"/>
        <v>848340.75061972369</v>
      </c>
    </row>
    <row r="694" spans="1:17" x14ac:dyDescent="0.25">
      <c r="A694" s="6">
        <f t="shared" si="141"/>
        <v>64315</v>
      </c>
      <c r="B694" s="30">
        <f>IFERROR(VLOOKUP(A694, Data!$L$3:$N$123, 3),1)*Pension</f>
        <v>362135.11354301643</v>
      </c>
      <c r="C694" s="37">
        <f t="shared" si="130"/>
        <v>57.587953456536617</v>
      </c>
      <c r="D694" s="37">
        <f>IFERROR(VLOOKUP(A694,Data!$I$3:$J$1442,2),0)</f>
        <v>8.3803041999999994E-2</v>
      </c>
      <c r="E694" s="37">
        <f t="shared" si="131"/>
        <v>8.3603041999999989E-2</v>
      </c>
      <c r="F694" s="37">
        <f t="shared" si="136"/>
        <v>8.1110488476149288E-3</v>
      </c>
      <c r="G694" s="30">
        <f t="shared" si="137"/>
        <v>2937.2955953839846</v>
      </c>
      <c r="H694" s="38">
        <f t="shared" si="132"/>
        <v>153</v>
      </c>
      <c r="I694" s="39">
        <f t="shared" si="133"/>
        <v>153.21286789869953</v>
      </c>
      <c r="J694" s="40">
        <f t="shared" si="134"/>
        <v>58</v>
      </c>
      <c r="K694" s="43">
        <f>VLOOKUP(J694,Data!$Z$3:$AA$122,2)</f>
        <v>0</v>
      </c>
      <c r="L694" s="41">
        <f t="shared" si="135"/>
        <v>0.21286789869952827</v>
      </c>
      <c r="M694" s="43">
        <f>VLOOKUP(H694,Data!$P$3:$X$122,9)</f>
        <v>0</v>
      </c>
      <c r="N694" s="43">
        <f t="shared" si="138"/>
        <v>0</v>
      </c>
      <c r="O694" s="43">
        <f t="shared" si="139"/>
        <v>0</v>
      </c>
      <c r="P694" s="30">
        <f t="shared" si="140"/>
        <v>0</v>
      </c>
      <c r="Q694" s="31">
        <f t="shared" si="142"/>
        <v>848340.75061972369</v>
      </c>
    </row>
    <row r="695" spans="1:17" x14ac:dyDescent="0.25">
      <c r="A695" s="6">
        <f t="shared" si="141"/>
        <v>64344</v>
      </c>
      <c r="B695" s="30">
        <f>IFERROR(VLOOKUP(A695, Data!$L$3:$N$123, 3),1)*Pension</f>
        <v>362135.11354301643</v>
      </c>
      <c r="C695" s="37">
        <f t="shared" si="130"/>
        <v>57.667351129363446</v>
      </c>
      <c r="D695" s="37">
        <f>IFERROR(VLOOKUP(A695,Data!$I$3:$J$1442,2),0)</f>
        <v>8.3784039000000005E-2</v>
      </c>
      <c r="E695" s="37">
        <f t="shared" si="131"/>
        <v>8.3584038999999999E-2</v>
      </c>
      <c r="F695" s="37">
        <f t="shared" si="136"/>
        <v>8.0662214688435093E-3</v>
      </c>
      <c r="G695" s="30">
        <f t="shared" si="137"/>
        <v>2921.0620274827611</v>
      </c>
      <c r="H695" s="38">
        <f t="shared" si="132"/>
        <v>153</v>
      </c>
      <c r="I695" s="39">
        <f t="shared" si="133"/>
        <v>153.29226557152634</v>
      </c>
      <c r="J695" s="40">
        <f t="shared" si="134"/>
        <v>58</v>
      </c>
      <c r="K695" s="43">
        <f>VLOOKUP(J695,Data!$Z$3:$AA$122,2)</f>
        <v>0</v>
      </c>
      <c r="L695" s="41">
        <f t="shared" si="135"/>
        <v>0.29226557152634314</v>
      </c>
      <c r="M695" s="43">
        <f>VLOOKUP(H695,Data!$P$3:$X$122,9)</f>
        <v>0</v>
      </c>
      <c r="N695" s="43">
        <f t="shared" si="138"/>
        <v>0</v>
      </c>
      <c r="O695" s="43">
        <f t="shared" si="139"/>
        <v>0</v>
      </c>
      <c r="P695" s="30">
        <f t="shared" si="140"/>
        <v>0</v>
      </c>
      <c r="Q695" s="31">
        <f t="shared" si="142"/>
        <v>848340.75061972369</v>
      </c>
    </row>
    <row r="696" spans="1:17" x14ac:dyDescent="0.25">
      <c r="A696" s="6">
        <f t="shared" si="141"/>
        <v>64375</v>
      </c>
      <c r="B696" s="30">
        <f>IFERROR(VLOOKUP(A696, Data!$L$3:$N$123, 3),1)*Pension</f>
        <v>362135.11354301643</v>
      </c>
      <c r="C696" s="37">
        <f t="shared" si="130"/>
        <v>57.752224503764545</v>
      </c>
      <c r="D696" s="37">
        <f>IFERROR(VLOOKUP(A696,Data!$I$3:$J$1442,2),0)</f>
        <v>8.3763781999999995E-2</v>
      </c>
      <c r="E696" s="37">
        <f t="shared" si="131"/>
        <v>8.3563781999999989E-2</v>
      </c>
      <c r="F696" s="37">
        <f t="shared" si="136"/>
        <v>8.0185770466708398E-3</v>
      </c>
      <c r="G696" s="30">
        <f t="shared" si="137"/>
        <v>2903.8083092495699</v>
      </c>
      <c r="H696" s="38">
        <f t="shared" si="132"/>
        <v>153</v>
      </c>
      <c r="I696" s="39">
        <f t="shared" si="133"/>
        <v>153.37713894592744</v>
      </c>
      <c r="J696" s="40">
        <f t="shared" si="134"/>
        <v>58</v>
      </c>
      <c r="K696" s="43">
        <f>VLOOKUP(J696,Data!$Z$3:$AA$122,2)</f>
        <v>0</v>
      </c>
      <c r="L696" s="41">
        <f t="shared" si="135"/>
        <v>0.37713894592744168</v>
      </c>
      <c r="M696" s="43">
        <f>VLOOKUP(H696,Data!$P$3:$X$122,9)</f>
        <v>0</v>
      </c>
      <c r="N696" s="43">
        <f t="shared" si="138"/>
        <v>0</v>
      </c>
      <c r="O696" s="43">
        <f t="shared" si="139"/>
        <v>0</v>
      </c>
      <c r="P696" s="30">
        <f t="shared" si="140"/>
        <v>0</v>
      </c>
      <c r="Q696" s="31">
        <f t="shared" si="142"/>
        <v>848340.75061972369</v>
      </c>
    </row>
    <row r="697" spans="1:17" x14ac:dyDescent="0.25">
      <c r="A697" s="6">
        <f t="shared" si="141"/>
        <v>64405</v>
      </c>
      <c r="B697" s="30">
        <f>IFERROR(VLOOKUP(A697, Data!$L$3:$N$123, 3),1)*Pension</f>
        <v>362135.11354301643</v>
      </c>
      <c r="C697" s="37">
        <f t="shared" si="130"/>
        <v>57.834360027378509</v>
      </c>
      <c r="D697" s="37">
        <f>IFERROR(VLOOKUP(A697,Data!$I$3:$J$1442,2),0)</f>
        <v>8.3744236E-2</v>
      </c>
      <c r="E697" s="37">
        <f t="shared" si="131"/>
        <v>8.3544235999999994E-2</v>
      </c>
      <c r="F697" s="37">
        <f t="shared" si="136"/>
        <v>7.9727370741338836E-3</v>
      </c>
      <c r="G697" s="30">
        <f t="shared" si="137"/>
        <v>2887.2080455900905</v>
      </c>
      <c r="H697" s="38">
        <f t="shared" si="132"/>
        <v>153</v>
      </c>
      <c r="I697" s="39">
        <f t="shared" si="133"/>
        <v>153.45927446954141</v>
      </c>
      <c r="J697" s="40">
        <f t="shared" si="134"/>
        <v>58</v>
      </c>
      <c r="K697" s="43">
        <f>VLOOKUP(J697,Data!$Z$3:$AA$122,2)</f>
        <v>0</v>
      </c>
      <c r="L697" s="41">
        <f t="shared" si="135"/>
        <v>0.4592744695414126</v>
      </c>
      <c r="M697" s="43">
        <f>VLOOKUP(H697,Data!$P$3:$X$122,9)</f>
        <v>0</v>
      </c>
      <c r="N697" s="43">
        <f t="shared" si="138"/>
        <v>0</v>
      </c>
      <c r="O697" s="43">
        <f t="shared" si="139"/>
        <v>0</v>
      </c>
      <c r="P697" s="30">
        <f t="shared" si="140"/>
        <v>0</v>
      </c>
      <c r="Q697" s="31">
        <f t="shared" si="142"/>
        <v>848340.75061972369</v>
      </c>
    </row>
    <row r="698" spans="1:17" x14ac:dyDescent="0.25">
      <c r="A698" s="6">
        <f t="shared" si="141"/>
        <v>64436</v>
      </c>
      <c r="B698" s="30">
        <f>IFERROR(VLOOKUP(A698, Data!$L$3:$N$123, 3),1)*Pension</f>
        <v>362135.11354301643</v>
      </c>
      <c r="C698" s="37">
        <f t="shared" si="130"/>
        <v>57.9192334017796</v>
      </c>
      <c r="D698" s="37">
        <f>IFERROR(VLOOKUP(A698,Data!$I$3:$J$1442,2),0)</f>
        <v>8.3724096999999997E-2</v>
      </c>
      <c r="E698" s="37">
        <f t="shared" si="131"/>
        <v>8.3524096999999992E-2</v>
      </c>
      <c r="F698" s="37">
        <f t="shared" si="136"/>
        <v>7.9256442526285196E-3</v>
      </c>
      <c r="G698" s="30">
        <f t="shared" si="137"/>
        <v>2870.1540813271845</v>
      </c>
      <c r="H698" s="38">
        <f t="shared" si="132"/>
        <v>153</v>
      </c>
      <c r="I698" s="39">
        <f t="shared" si="133"/>
        <v>153.54414784394251</v>
      </c>
      <c r="J698" s="40">
        <f t="shared" si="134"/>
        <v>58</v>
      </c>
      <c r="K698" s="43">
        <f>VLOOKUP(J698,Data!$Z$3:$AA$122,2)</f>
        <v>0</v>
      </c>
      <c r="L698" s="41">
        <f t="shared" si="135"/>
        <v>0.54414784394251114</v>
      </c>
      <c r="M698" s="43">
        <f>VLOOKUP(H698,Data!$P$3:$X$122,9)</f>
        <v>0</v>
      </c>
      <c r="N698" s="43">
        <f t="shared" si="138"/>
        <v>0</v>
      </c>
      <c r="O698" s="43">
        <f t="shared" si="139"/>
        <v>0</v>
      </c>
      <c r="P698" s="30">
        <f t="shared" si="140"/>
        <v>0</v>
      </c>
      <c r="Q698" s="31">
        <f t="shared" si="142"/>
        <v>848340.75061972369</v>
      </c>
    </row>
    <row r="699" spans="1:17" x14ac:dyDescent="0.25">
      <c r="A699" s="6">
        <f t="shared" si="141"/>
        <v>64466</v>
      </c>
      <c r="B699" s="30">
        <f>IFERROR(VLOOKUP(A699, Data!$L$3:$N$123, 3),1)*Pension</f>
        <v>362135.11354301643</v>
      </c>
      <c r="C699" s="37">
        <f t="shared" si="130"/>
        <v>58.001368925393564</v>
      </c>
      <c r="D699" s="37">
        <f>IFERROR(VLOOKUP(A699,Data!$I$3:$J$1442,2),0)</f>
        <v>8.3704662999999999E-2</v>
      </c>
      <c r="E699" s="37">
        <f t="shared" si="131"/>
        <v>8.3504662999999993E-2</v>
      </c>
      <c r="F699" s="37">
        <f t="shared" si="136"/>
        <v>7.8803357696878903E-3</v>
      </c>
      <c r="G699" s="30">
        <f t="shared" si="137"/>
        <v>2853.7462887130177</v>
      </c>
      <c r="H699" s="38">
        <f t="shared" si="132"/>
        <v>153</v>
      </c>
      <c r="I699" s="39">
        <f t="shared" si="133"/>
        <v>153.62628336755648</v>
      </c>
      <c r="J699" s="40">
        <f t="shared" si="134"/>
        <v>58</v>
      </c>
      <c r="K699" s="43">
        <f>VLOOKUP(J699,Data!$Z$3:$AA$122,2)</f>
        <v>0</v>
      </c>
      <c r="L699" s="41">
        <f t="shared" si="135"/>
        <v>0.62628336755648206</v>
      </c>
      <c r="M699" s="43">
        <f>VLOOKUP(H699,Data!$P$3:$X$122,9)</f>
        <v>0</v>
      </c>
      <c r="N699" s="43">
        <f t="shared" si="138"/>
        <v>0</v>
      </c>
      <c r="O699" s="43">
        <f t="shared" si="139"/>
        <v>0</v>
      </c>
      <c r="P699" s="30">
        <f t="shared" si="140"/>
        <v>0</v>
      </c>
      <c r="Q699" s="31">
        <f t="shared" si="142"/>
        <v>848340.75061972369</v>
      </c>
    </row>
    <row r="700" spans="1:17" x14ac:dyDescent="0.25">
      <c r="A700" s="6">
        <f t="shared" si="141"/>
        <v>64497</v>
      </c>
      <c r="B700" s="30">
        <f>IFERROR(VLOOKUP(A700, Data!$L$3:$N$123, 3),1)*Pension</f>
        <v>362135.11354301643</v>
      </c>
      <c r="C700" s="37">
        <f t="shared" si="130"/>
        <v>58.086242299794662</v>
      </c>
      <c r="D700" s="37">
        <f>IFERROR(VLOOKUP(A700,Data!$I$3:$J$1442,2),0)</f>
        <v>8.3684639000000005E-2</v>
      </c>
      <c r="E700" s="37">
        <f t="shared" si="131"/>
        <v>8.3484638999999999E-2</v>
      </c>
      <c r="F700" s="37">
        <f t="shared" si="136"/>
        <v>7.833789068266003E-3</v>
      </c>
      <c r="G700" s="30">
        <f t="shared" si="137"/>
        <v>2836.89009370855</v>
      </c>
      <c r="H700" s="38">
        <f t="shared" si="132"/>
        <v>153</v>
      </c>
      <c r="I700" s="39">
        <f t="shared" si="133"/>
        <v>153.71115674195755</v>
      </c>
      <c r="J700" s="40">
        <f t="shared" si="134"/>
        <v>58</v>
      </c>
      <c r="K700" s="43">
        <f>VLOOKUP(J700,Data!$Z$3:$AA$122,2)</f>
        <v>0</v>
      </c>
      <c r="L700" s="41">
        <f t="shared" si="135"/>
        <v>0.71115674195755219</v>
      </c>
      <c r="M700" s="43">
        <f>VLOOKUP(H700,Data!$P$3:$X$122,9)</f>
        <v>0</v>
      </c>
      <c r="N700" s="43">
        <f t="shared" si="138"/>
        <v>0</v>
      </c>
      <c r="O700" s="43">
        <f t="shared" si="139"/>
        <v>0</v>
      </c>
      <c r="P700" s="30">
        <f t="shared" si="140"/>
        <v>0</v>
      </c>
      <c r="Q700" s="31">
        <f t="shared" si="142"/>
        <v>848340.75061972369</v>
      </c>
    </row>
    <row r="701" spans="1:17" x14ac:dyDescent="0.25">
      <c r="A701" s="6">
        <f t="shared" si="141"/>
        <v>64528</v>
      </c>
      <c r="B701" s="30">
        <f>IFERROR(VLOOKUP(A701, Data!$L$3:$N$123, 3),1)*Pension</f>
        <v>362135.11354301643</v>
      </c>
      <c r="C701" s="37">
        <f t="shared" si="130"/>
        <v>58.171115674195754</v>
      </c>
      <c r="D701" s="37">
        <f>IFERROR(VLOOKUP(A701,Data!$I$3:$J$1442,2),0)</f>
        <v>8.3664673999999994E-2</v>
      </c>
      <c r="E701" s="37">
        <f t="shared" si="131"/>
        <v>8.3464673999999989E-2</v>
      </c>
      <c r="F701" s="37">
        <f t="shared" si="136"/>
        <v>7.7875170461204528E-3</v>
      </c>
      <c r="G701" s="30">
        <f t="shared" si="137"/>
        <v>2820.1333697150062</v>
      </c>
      <c r="H701" s="38">
        <f t="shared" si="132"/>
        <v>153</v>
      </c>
      <c r="I701" s="39">
        <f t="shared" si="133"/>
        <v>153.79603011635865</v>
      </c>
      <c r="J701" s="40">
        <f t="shared" si="134"/>
        <v>58</v>
      </c>
      <c r="K701" s="43">
        <f>VLOOKUP(J701,Data!$Z$3:$AA$122,2)</f>
        <v>0</v>
      </c>
      <c r="L701" s="41">
        <f t="shared" si="135"/>
        <v>0.79603011635865073</v>
      </c>
      <c r="M701" s="43">
        <f>VLOOKUP(H701,Data!$P$3:$X$122,9)</f>
        <v>0</v>
      </c>
      <c r="N701" s="43">
        <f t="shared" si="138"/>
        <v>0</v>
      </c>
      <c r="O701" s="43">
        <f t="shared" si="139"/>
        <v>0</v>
      </c>
      <c r="P701" s="30">
        <f t="shared" si="140"/>
        <v>0</v>
      </c>
      <c r="Q701" s="31">
        <f t="shared" si="142"/>
        <v>848340.75061972369</v>
      </c>
    </row>
    <row r="702" spans="1:17" x14ac:dyDescent="0.25">
      <c r="A702" s="6">
        <f t="shared" si="141"/>
        <v>64558</v>
      </c>
      <c r="B702" s="30">
        <f>IFERROR(VLOOKUP(A702, Data!$L$3:$N$123, 3),1)*Pension</f>
        <v>362135.11354301643</v>
      </c>
      <c r="C702" s="37">
        <f t="shared" si="130"/>
        <v>58.253251197809718</v>
      </c>
      <c r="D702" s="37">
        <f>IFERROR(VLOOKUP(A702,Data!$I$3:$J$1442,2),0)</f>
        <v>8.3645408000000004E-2</v>
      </c>
      <c r="E702" s="37">
        <f t="shared" si="131"/>
        <v>8.3445407999999999E-2</v>
      </c>
      <c r="F702" s="37">
        <f t="shared" si="136"/>
        <v>7.7429981110940637E-3</v>
      </c>
      <c r="G702" s="30">
        <f t="shared" si="137"/>
        <v>2804.0115001244103</v>
      </c>
      <c r="H702" s="38">
        <f t="shared" si="132"/>
        <v>153</v>
      </c>
      <c r="I702" s="39">
        <f t="shared" si="133"/>
        <v>153.87816563997262</v>
      </c>
      <c r="J702" s="40">
        <f t="shared" si="134"/>
        <v>58</v>
      </c>
      <c r="K702" s="43">
        <f>VLOOKUP(J702,Data!$Z$3:$AA$122,2)</f>
        <v>0</v>
      </c>
      <c r="L702" s="41">
        <f t="shared" si="135"/>
        <v>0.87816563997262165</v>
      </c>
      <c r="M702" s="43">
        <f>VLOOKUP(H702,Data!$P$3:$X$122,9)</f>
        <v>0</v>
      </c>
      <c r="N702" s="43">
        <f t="shared" si="138"/>
        <v>0</v>
      </c>
      <c r="O702" s="43">
        <f t="shared" si="139"/>
        <v>0</v>
      </c>
      <c r="P702" s="30">
        <f t="shared" si="140"/>
        <v>0</v>
      </c>
      <c r="Q702" s="31">
        <f t="shared" si="142"/>
        <v>848340.75061972369</v>
      </c>
    </row>
    <row r="703" spans="1:17" x14ac:dyDescent="0.25">
      <c r="A703" s="6">
        <f t="shared" si="141"/>
        <v>64589</v>
      </c>
      <c r="B703" s="30">
        <f>IFERROR(VLOOKUP(A703, Data!$L$3:$N$123, 3),1)*Pension</f>
        <v>362135.11354301643</v>
      </c>
      <c r="C703" s="37">
        <f t="shared" si="130"/>
        <v>58.338124572210816</v>
      </c>
      <c r="D703" s="37">
        <f>IFERROR(VLOOKUP(A703,Data!$I$3:$J$1442,2),0)</f>
        <v>8.3625557000000003E-2</v>
      </c>
      <c r="E703" s="37">
        <f t="shared" si="131"/>
        <v>8.3425556999999997E-2</v>
      </c>
      <c r="F703" s="37">
        <f t="shared" si="136"/>
        <v>7.6972624695417612E-3</v>
      </c>
      <c r="G703" s="30">
        <f t="shared" si="137"/>
        <v>2787.4490183779048</v>
      </c>
      <c r="H703" s="38">
        <f t="shared" si="132"/>
        <v>153</v>
      </c>
      <c r="I703" s="39">
        <f t="shared" si="133"/>
        <v>153.96303901437372</v>
      </c>
      <c r="J703" s="40">
        <f t="shared" si="134"/>
        <v>58</v>
      </c>
      <c r="K703" s="43">
        <f>VLOOKUP(J703,Data!$Z$3:$AA$122,2)</f>
        <v>0</v>
      </c>
      <c r="L703" s="41">
        <f t="shared" si="135"/>
        <v>0.96303901437372019</v>
      </c>
      <c r="M703" s="43">
        <f>VLOOKUP(H703,Data!$P$3:$X$122,9)</f>
        <v>0</v>
      </c>
      <c r="N703" s="43">
        <f t="shared" si="138"/>
        <v>0</v>
      </c>
      <c r="O703" s="43">
        <f t="shared" si="139"/>
        <v>0</v>
      </c>
      <c r="P703" s="30">
        <f t="shared" si="140"/>
        <v>0</v>
      </c>
      <c r="Q703" s="31">
        <f t="shared" si="142"/>
        <v>848340.75061972369</v>
      </c>
    </row>
    <row r="704" spans="1:17" x14ac:dyDescent="0.25">
      <c r="A704" s="6">
        <f t="shared" si="141"/>
        <v>64619</v>
      </c>
      <c r="B704" s="30">
        <f>IFERROR(VLOOKUP(A704, Data!$L$3:$N$123, 3),1)*Pension</f>
        <v>362135.11354301643</v>
      </c>
      <c r="C704" s="37">
        <f t="shared" si="130"/>
        <v>58.42026009582478</v>
      </c>
      <c r="D704" s="37">
        <f>IFERROR(VLOOKUP(A704,Data!$I$3:$J$1442,2),0)</f>
        <v>8.3606400999999997E-2</v>
      </c>
      <c r="E704" s="37">
        <f t="shared" si="131"/>
        <v>8.3406400999999991E-2</v>
      </c>
      <c r="F704" s="37">
        <f t="shared" si="136"/>
        <v>7.653259525877967E-3</v>
      </c>
      <c r="G704" s="30">
        <f t="shared" si="137"/>
        <v>2771.5140073779899</v>
      </c>
      <c r="H704" s="38">
        <f t="shared" si="132"/>
        <v>154</v>
      </c>
      <c r="I704" s="39">
        <f t="shared" si="133"/>
        <v>154.04517453798769</v>
      </c>
      <c r="J704" s="40">
        <f t="shared" si="134"/>
        <v>59</v>
      </c>
      <c r="K704" s="43">
        <f>VLOOKUP(J704,Data!$Z$3:$AA$122,2)</f>
        <v>0</v>
      </c>
      <c r="L704" s="41">
        <f t="shared" si="135"/>
        <v>4.517453798769111E-2</v>
      </c>
      <c r="M704" s="43">
        <f>VLOOKUP(H704,Data!$P$3:$X$122,9)</f>
        <v>0</v>
      </c>
      <c r="N704" s="43">
        <f t="shared" si="138"/>
        <v>0</v>
      </c>
      <c r="O704" s="43">
        <f t="shared" si="139"/>
        <v>0</v>
      </c>
      <c r="P704" s="30">
        <f t="shared" si="140"/>
        <v>0</v>
      </c>
      <c r="Q704" s="31">
        <f t="shared" si="142"/>
        <v>848340.75061972369</v>
      </c>
    </row>
    <row r="705" spans="1:17" x14ac:dyDescent="0.25">
      <c r="A705" s="6">
        <f t="shared" si="141"/>
        <v>64650</v>
      </c>
      <c r="B705" s="30">
        <f>IFERROR(VLOOKUP(A705, Data!$L$3:$N$123, 3),1)*Pension</f>
        <v>380241.86922016722</v>
      </c>
      <c r="C705" s="37">
        <f t="shared" si="130"/>
        <v>58.505133470225871</v>
      </c>
      <c r="D705" s="37">
        <f>IFERROR(VLOOKUP(A705,Data!$I$3:$J$1442,2),0)</f>
        <v>8.3586663000000005E-2</v>
      </c>
      <c r="E705" s="37">
        <f t="shared" si="131"/>
        <v>8.3386663E-2</v>
      </c>
      <c r="F705" s="37">
        <f t="shared" si="136"/>
        <v>7.608054057217842E-3</v>
      </c>
      <c r="G705" s="30">
        <f t="shared" si="137"/>
        <v>2892.9006958445893</v>
      </c>
      <c r="H705" s="38">
        <f t="shared" si="132"/>
        <v>154</v>
      </c>
      <c r="I705" s="39">
        <f t="shared" si="133"/>
        <v>154.13004791238876</v>
      </c>
      <c r="J705" s="40">
        <f t="shared" si="134"/>
        <v>59</v>
      </c>
      <c r="K705" s="43">
        <f>VLOOKUP(J705,Data!$Z$3:$AA$122,2)</f>
        <v>0</v>
      </c>
      <c r="L705" s="41">
        <f t="shared" si="135"/>
        <v>0.13004791238876123</v>
      </c>
      <c r="M705" s="43">
        <f>VLOOKUP(H705,Data!$P$3:$X$122,9)</f>
        <v>0</v>
      </c>
      <c r="N705" s="43">
        <f t="shared" si="138"/>
        <v>0</v>
      </c>
      <c r="O705" s="43">
        <f t="shared" si="139"/>
        <v>0</v>
      </c>
      <c r="P705" s="30">
        <f t="shared" si="140"/>
        <v>0</v>
      </c>
      <c r="Q705" s="31">
        <f t="shared" si="142"/>
        <v>848340.75061972369</v>
      </c>
    </row>
    <row r="706" spans="1:17" x14ac:dyDescent="0.25">
      <c r="A706" s="6">
        <f t="shared" si="141"/>
        <v>64681</v>
      </c>
      <c r="B706" s="30">
        <f>IFERROR(VLOOKUP(A706, Data!$L$3:$N$123, 3),1)*Pension</f>
        <v>380241.86922016722</v>
      </c>
      <c r="C706" s="37">
        <f t="shared" si="130"/>
        <v>58.59000684462697</v>
      </c>
      <c r="D706" s="37">
        <f>IFERROR(VLOOKUP(A706,Data!$I$3:$J$1442,2),0)</f>
        <v>8.3566981999999998E-2</v>
      </c>
      <c r="E706" s="37">
        <f t="shared" si="131"/>
        <v>8.3366981999999992E-2</v>
      </c>
      <c r="F706" s="37">
        <f t="shared" si="136"/>
        <v>7.5631156853824813E-3</v>
      </c>
      <c r="G706" s="30">
        <f t="shared" si="137"/>
        <v>2875.8132453382009</v>
      </c>
      <c r="H706" s="38">
        <f t="shared" si="132"/>
        <v>154</v>
      </c>
      <c r="I706" s="39">
        <f t="shared" si="133"/>
        <v>154.21492128678986</v>
      </c>
      <c r="J706" s="40">
        <f t="shared" si="134"/>
        <v>59</v>
      </c>
      <c r="K706" s="43">
        <f>VLOOKUP(J706,Data!$Z$3:$AA$122,2)</f>
        <v>0</v>
      </c>
      <c r="L706" s="41">
        <f t="shared" si="135"/>
        <v>0.21492128678985978</v>
      </c>
      <c r="M706" s="43">
        <f>VLOOKUP(H706,Data!$P$3:$X$122,9)</f>
        <v>0</v>
      </c>
      <c r="N706" s="43">
        <f t="shared" si="138"/>
        <v>0</v>
      </c>
      <c r="O706" s="43">
        <f t="shared" si="139"/>
        <v>0</v>
      </c>
      <c r="P706" s="30">
        <f t="shared" si="140"/>
        <v>0</v>
      </c>
      <c r="Q706" s="31">
        <f t="shared" si="142"/>
        <v>848340.75061972369</v>
      </c>
    </row>
    <row r="707" spans="1:17" x14ac:dyDescent="0.25">
      <c r="A707" s="6">
        <f t="shared" si="141"/>
        <v>64709</v>
      </c>
      <c r="B707" s="30">
        <f>IFERROR(VLOOKUP(A707, Data!$L$3:$N$123, 3),1)*Pension</f>
        <v>380241.86922016722</v>
      </c>
      <c r="C707" s="37">
        <f t="shared" ref="C707:C770" si="143">(A707-EffDate)/365.25</f>
        <v>58.666666666666664</v>
      </c>
      <c r="D707" s="37">
        <f>IFERROR(VLOOKUP(A707,Data!$I$3:$J$1442,2),0)</f>
        <v>8.3549255000000003E-2</v>
      </c>
      <c r="E707" s="37">
        <f t="shared" ref="E707:E770" si="144">D707-Fees</f>
        <v>8.3349254999999997E-2</v>
      </c>
      <c r="F707" s="37">
        <f t="shared" si="136"/>
        <v>7.5227541855077762E-3</v>
      </c>
      <c r="G707" s="30">
        <f t="shared" si="137"/>
        <v>2860.4661131813136</v>
      </c>
      <c r="H707" s="38">
        <f t="shared" ref="H707:H770" si="145">IF(OR(A707 = DATE(YEAR(A707), MONTH(Date_of_Birth), DAY(Date_of_Birth)),AND(A707 = DATE(YEAR(A707), MONTH(Date_of_Birth), DAY(Date_of_Birth)-1), AND(MONTH(Date_of_Birth)=2, DAY(Date_of_Birth) = 29))), ROUND((A707-Date_of_Birth)/365.25,0),ROUNDDOWN((A707-Date_of_Birth)/365.25,0))</f>
        <v>154</v>
      </c>
      <c r="I707" s="39">
        <f t="shared" ref="I707:I770" si="146">IF(OR(A707 = DATE(YEAR(A707), MONTH(Date_of_Birth), DAY(Date_of_Birth)),AND(A707 = DATE(YEAR(A707), MONTH(Date_of_Birth), DAY(Date_of_Birth)-1), AND(MONTH(Date_of_Birth)=2, DAY(Date_of_Birth) = 29))), ROUND((A707-Date_of_Birth)/365.25,0),(A707-Date_of_Birth)/365.25)</f>
        <v>154.29158110882958</v>
      </c>
      <c r="J707" s="40">
        <f t="shared" ref="J707:J770" si="147">H707-StartAge</f>
        <v>59</v>
      </c>
      <c r="K707" s="43">
        <f>VLOOKUP(J707,Data!$Z$3:$AA$122,2)</f>
        <v>0</v>
      </c>
      <c r="L707" s="41">
        <f t="shared" ref="L707:L770" si="148">IF(A707&lt;=NextBirth,(A707-EffDate)/365.25,(I707-H707))</f>
        <v>0.29158110882957544</v>
      </c>
      <c r="M707" s="43">
        <f>VLOOKUP(H707,Data!$P$3:$X$122,9)</f>
        <v>0</v>
      </c>
      <c r="N707" s="43">
        <f t="shared" si="138"/>
        <v>0</v>
      </c>
      <c r="O707" s="43">
        <f t="shared" si="139"/>
        <v>0</v>
      </c>
      <c r="P707" s="30">
        <f t="shared" si="140"/>
        <v>0</v>
      </c>
      <c r="Q707" s="31">
        <f t="shared" si="142"/>
        <v>848340.75061972369</v>
      </c>
    </row>
    <row r="708" spans="1:17" x14ac:dyDescent="0.25">
      <c r="A708" s="6">
        <f t="shared" si="141"/>
        <v>64740</v>
      </c>
      <c r="B708" s="30">
        <f>IFERROR(VLOOKUP(A708, Data!$L$3:$N$123, 3),1)*Pension</f>
        <v>380241.86922016722</v>
      </c>
      <c r="C708" s="37">
        <f t="shared" si="143"/>
        <v>58.751540041067763</v>
      </c>
      <c r="D708" s="37">
        <f>IFERROR(VLOOKUP(A708,Data!$I$3:$J$1442,2),0)</f>
        <v>8.3529682999999993E-2</v>
      </c>
      <c r="E708" s="37">
        <f t="shared" si="144"/>
        <v>8.3329682999999988E-2</v>
      </c>
      <c r="F708" s="37">
        <f t="shared" ref="F708:F771" si="149">EXP(-E708*C708)</f>
        <v>7.4783192803490857E-3</v>
      </c>
      <c r="G708" s="30">
        <f t="shared" ref="G708:G771" si="150">B708*F708</f>
        <v>2843.570101785152</v>
      </c>
      <c r="H708" s="38">
        <f t="shared" si="145"/>
        <v>154</v>
      </c>
      <c r="I708" s="39">
        <f t="shared" si="146"/>
        <v>154.37645448323067</v>
      </c>
      <c r="J708" s="40">
        <f t="shared" si="147"/>
        <v>59</v>
      </c>
      <c r="K708" s="43">
        <f>VLOOKUP(J708,Data!$Z$3:$AA$122,2)</f>
        <v>0</v>
      </c>
      <c r="L708" s="41">
        <f t="shared" si="148"/>
        <v>0.37645448323067399</v>
      </c>
      <c r="M708" s="43">
        <f>VLOOKUP(H708,Data!$P$3:$X$122,9)</f>
        <v>0</v>
      </c>
      <c r="N708" s="43">
        <f t="shared" ref="N708:N771" si="151">IF(M708=0, 0, EXP(-L708*M708))</f>
        <v>0</v>
      </c>
      <c r="O708" s="43">
        <f t="shared" ref="O708:O771" si="152">K708*N708</f>
        <v>0</v>
      </c>
      <c r="P708" s="30">
        <f t="shared" ref="P708:P771" si="153">G708*O708</f>
        <v>0</v>
      </c>
      <c r="Q708" s="31">
        <f t="shared" si="142"/>
        <v>848340.75061972369</v>
      </c>
    </row>
    <row r="709" spans="1:17" x14ac:dyDescent="0.25">
      <c r="A709" s="6">
        <f t="shared" ref="A709:A772" si="154">EOMONTH(A708,1)</f>
        <v>64770</v>
      </c>
      <c r="B709" s="30">
        <f>IFERROR(VLOOKUP(A709, Data!$L$3:$N$123, 3),1)*Pension</f>
        <v>380241.86922016722</v>
      </c>
      <c r="C709" s="37">
        <f t="shared" si="143"/>
        <v>58.833675564681727</v>
      </c>
      <c r="D709" s="37">
        <f>IFERROR(VLOOKUP(A709,Data!$I$3:$J$1442,2),0)</f>
        <v>8.3510794999999999E-2</v>
      </c>
      <c r="E709" s="37">
        <f t="shared" si="144"/>
        <v>8.3310794999999993E-2</v>
      </c>
      <c r="F709" s="37">
        <f t="shared" si="149"/>
        <v>7.4355681672650239E-3</v>
      </c>
      <c r="G709" s="30">
        <f t="shared" si="150"/>
        <v>2827.3143386348256</v>
      </c>
      <c r="H709" s="38">
        <f t="shared" si="145"/>
        <v>154</v>
      </c>
      <c r="I709" s="39">
        <f t="shared" si="146"/>
        <v>154.45859000684462</v>
      </c>
      <c r="J709" s="40">
        <f t="shared" si="147"/>
        <v>59</v>
      </c>
      <c r="K709" s="43">
        <f>VLOOKUP(J709,Data!$Z$3:$AA$122,2)</f>
        <v>0</v>
      </c>
      <c r="L709" s="41">
        <f t="shared" si="148"/>
        <v>0.45859000684461648</v>
      </c>
      <c r="M709" s="43">
        <f>VLOOKUP(H709,Data!$P$3:$X$122,9)</f>
        <v>0</v>
      </c>
      <c r="N709" s="43">
        <f t="shared" si="151"/>
        <v>0</v>
      </c>
      <c r="O709" s="43">
        <f t="shared" si="152"/>
        <v>0</v>
      </c>
      <c r="P709" s="30">
        <f t="shared" si="153"/>
        <v>0</v>
      </c>
      <c r="Q709" s="31">
        <f t="shared" ref="Q709:Q772" si="155">Q708+P709</f>
        <v>848340.75061972369</v>
      </c>
    </row>
    <row r="710" spans="1:17" x14ac:dyDescent="0.25">
      <c r="A710" s="6">
        <f t="shared" si="154"/>
        <v>64801</v>
      </c>
      <c r="B710" s="30">
        <f>IFERROR(VLOOKUP(A710, Data!$L$3:$N$123, 3),1)*Pension</f>
        <v>380241.86922016722</v>
      </c>
      <c r="C710" s="37">
        <f t="shared" si="143"/>
        <v>58.918548939082818</v>
      </c>
      <c r="D710" s="37">
        <f>IFERROR(VLOOKUP(A710,Data!$I$3:$J$1442,2),0)</f>
        <v>8.3491334E-2</v>
      </c>
      <c r="E710" s="37">
        <f t="shared" si="144"/>
        <v>8.3291333999999995E-2</v>
      </c>
      <c r="F710" s="37">
        <f t="shared" si="149"/>
        <v>7.391648194723383E-3</v>
      </c>
      <c r="G710" s="30">
        <f t="shared" si="150"/>
        <v>2810.6141261794937</v>
      </c>
      <c r="H710" s="38">
        <f t="shared" si="145"/>
        <v>154</v>
      </c>
      <c r="I710" s="39">
        <f t="shared" si="146"/>
        <v>154.54346338124572</v>
      </c>
      <c r="J710" s="40">
        <f t="shared" si="147"/>
        <v>59</v>
      </c>
      <c r="K710" s="43">
        <f>VLOOKUP(J710,Data!$Z$3:$AA$122,2)</f>
        <v>0</v>
      </c>
      <c r="L710" s="41">
        <f t="shared" si="148"/>
        <v>0.54346338124571503</v>
      </c>
      <c r="M710" s="43">
        <f>VLOOKUP(H710,Data!$P$3:$X$122,9)</f>
        <v>0</v>
      </c>
      <c r="N710" s="43">
        <f t="shared" si="151"/>
        <v>0</v>
      </c>
      <c r="O710" s="43">
        <f t="shared" si="152"/>
        <v>0</v>
      </c>
      <c r="P710" s="30">
        <f t="shared" si="153"/>
        <v>0</v>
      </c>
      <c r="Q710" s="31">
        <f t="shared" si="155"/>
        <v>848340.75061972369</v>
      </c>
    </row>
    <row r="711" spans="1:17" x14ac:dyDescent="0.25">
      <c r="A711" s="6">
        <f t="shared" si="154"/>
        <v>64831</v>
      </c>
      <c r="B711" s="30">
        <f>IFERROR(VLOOKUP(A711, Data!$L$3:$N$123, 3),1)*Pension</f>
        <v>380241.86922016722</v>
      </c>
      <c r="C711" s="37">
        <f t="shared" si="143"/>
        <v>59.000684462696782</v>
      </c>
      <c r="D711" s="37">
        <f>IFERROR(VLOOKUP(A711,Data!$I$3:$J$1442,2),0)</f>
        <v>8.3472553000000005E-2</v>
      </c>
      <c r="E711" s="37">
        <f t="shared" si="144"/>
        <v>8.3272552999999999E-2</v>
      </c>
      <c r="F711" s="37">
        <f t="shared" si="149"/>
        <v>7.349392487347099E-3</v>
      </c>
      <c r="G711" s="30">
        <f t="shared" si="150"/>
        <v>2794.5467370215151</v>
      </c>
      <c r="H711" s="38">
        <f t="shared" si="145"/>
        <v>154</v>
      </c>
      <c r="I711" s="39">
        <f t="shared" si="146"/>
        <v>154.62559890485969</v>
      </c>
      <c r="J711" s="40">
        <f t="shared" si="147"/>
        <v>59</v>
      </c>
      <c r="K711" s="43">
        <f>VLOOKUP(J711,Data!$Z$3:$AA$122,2)</f>
        <v>0</v>
      </c>
      <c r="L711" s="41">
        <f t="shared" si="148"/>
        <v>0.62559890485968594</v>
      </c>
      <c r="M711" s="43">
        <f>VLOOKUP(H711,Data!$P$3:$X$122,9)</f>
        <v>0</v>
      </c>
      <c r="N711" s="43">
        <f t="shared" si="151"/>
        <v>0</v>
      </c>
      <c r="O711" s="43">
        <f t="shared" si="152"/>
        <v>0</v>
      </c>
      <c r="P711" s="30">
        <f t="shared" si="153"/>
        <v>0</v>
      </c>
      <c r="Q711" s="31">
        <f t="shared" si="155"/>
        <v>848340.75061972369</v>
      </c>
    </row>
    <row r="712" spans="1:17" x14ac:dyDescent="0.25">
      <c r="A712" s="6">
        <f t="shared" si="154"/>
        <v>64862</v>
      </c>
      <c r="B712" s="30">
        <f>IFERROR(VLOOKUP(A712, Data!$L$3:$N$123, 3),1)*Pension</f>
        <v>380241.86922016722</v>
      </c>
      <c r="C712" s="37">
        <f t="shared" si="143"/>
        <v>59.08555783709788</v>
      </c>
      <c r="D712" s="37">
        <f>IFERROR(VLOOKUP(A712,Data!$I$3:$J$1442,2),0)</f>
        <v>8.3453201000000005E-2</v>
      </c>
      <c r="E712" s="37">
        <f t="shared" si="144"/>
        <v>8.3253200999999999E-2</v>
      </c>
      <c r="F712" s="37">
        <f t="shared" si="149"/>
        <v>7.3059819381292067E-3</v>
      </c>
      <c r="G712" s="30">
        <f t="shared" si="150"/>
        <v>2778.0402286430299</v>
      </c>
      <c r="H712" s="38">
        <f t="shared" si="145"/>
        <v>154</v>
      </c>
      <c r="I712" s="39">
        <f t="shared" si="146"/>
        <v>154.71047227926078</v>
      </c>
      <c r="J712" s="40">
        <f t="shared" si="147"/>
        <v>59</v>
      </c>
      <c r="K712" s="43">
        <f>VLOOKUP(J712,Data!$Z$3:$AA$122,2)</f>
        <v>0</v>
      </c>
      <c r="L712" s="41">
        <f t="shared" si="148"/>
        <v>0.71047227926078449</v>
      </c>
      <c r="M712" s="43">
        <f>VLOOKUP(H712,Data!$P$3:$X$122,9)</f>
        <v>0</v>
      </c>
      <c r="N712" s="43">
        <f t="shared" si="151"/>
        <v>0</v>
      </c>
      <c r="O712" s="43">
        <f t="shared" si="152"/>
        <v>0</v>
      </c>
      <c r="P712" s="30">
        <f t="shared" si="153"/>
        <v>0</v>
      </c>
      <c r="Q712" s="31">
        <f t="shared" si="155"/>
        <v>848340.75061972369</v>
      </c>
    </row>
    <row r="713" spans="1:17" x14ac:dyDescent="0.25">
      <c r="A713" s="6">
        <f t="shared" si="154"/>
        <v>64893</v>
      </c>
      <c r="B713" s="30">
        <f>IFERROR(VLOOKUP(A713, Data!$L$3:$N$123, 3),1)*Pension</f>
        <v>380241.86922016722</v>
      </c>
      <c r="C713" s="37">
        <f t="shared" si="143"/>
        <v>59.170431211498972</v>
      </c>
      <c r="D713" s="37">
        <f>IFERROR(VLOOKUP(A713,Data!$I$3:$J$1442,2),0)</f>
        <v>8.3433905000000003E-2</v>
      </c>
      <c r="E713" s="37">
        <f t="shared" si="144"/>
        <v>8.3233904999999997E-2</v>
      </c>
      <c r="F713" s="37">
        <f t="shared" si="149"/>
        <v>7.2628275936144262E-3</v>
      </c>
      <c r="G713" s="30">
        <f t="shared" si="150"/>
        <v>2761.6311400197583</v>
      </c>
      <c r="H713" s="38">
        <f t="shared" si="145"/>
        <v>154</v>
      </c>
      <c r="I713" s="39">
        <f t="shared" si="146"/>
        <v>154.79534565366188</v>
      </c>
      <c r="J713" s="40">
        <f t="shared" si="147"/>
        <v>59</v>
      </c>
      <c r="K713" s="43">
        <f>VLOOKUP(J713,Data!$Z$3:$AA$122,2)</f>
        <v>0</v>
      </c>
      <c r="L713" s="41">
        <f t="shared" si="148"/>
        <v>0.79534565366188303</v>
      </c>
      <c r="M713" s="43">
        <f>VLOOKUP(H713,Data!$P$3:$X$122,9)</f>
        <v>0</v>
      </c>
      <c r="N713" s="43">
        <f t="shared" si="151"/>
        <v>0</v>
      </c>
      <c r="O713" s="43">
        <f t="shared" si="152"/>
        <v>0</v>
      </c>
      <c r="P713" s="30">
        <f t="shared" si="153"/>
        <v>0</v>
      </c>
      <c r="Q713" s="31">
        <f t="shared" si="155"/>
        <v>848340.75061972369</v>
      </c>
    </row>
    <row r="714" spans="1:17" x14ac:dyDescent="0.25">
      <c r="A714" s="6">
        <f t="shared" si="154"/>
        <v>64923</v>
      </c>
      <c r="B714" s="30">
        <f>IFERROR(VLOOKUP(A714, Data!$L$3:$N$123, 3),1)*Pension</f>
        <v>380241.86922016722</v>
      </c>
      <c r="C714" s="37">
        <f t="shared" si="143"/>
        <v>59.252566735112936</v>
      </c>
      <c r="D714" s="37">
        <f>IFERROR(VLOOKUP(A714,Data!$I$3:$J$1442,2),0)</f>
        <v>8.3415284000000006E-2</v>
      </c>
      <c r="E714" s="37">
        <f t="shared" si="144"/>
        <v>8.3215284E-2</v>
      </c>
      <c r="F714" s="37">
        <f t="shared" si="149"/>
        <v>7.2213080755293736E-3</v>
      </c>
      <c r="G714" s="30">
        <f t="shared" si="150"/>
        <v>2745.8436808539777</v>
      </c>
      <c r="H714" s="38">
        <f t="shared" si="145"/>
        <v>154</v>
      </c>
      <c r="I714" s="39">
        <f t="shared" si="146"/>
        <v>154.87748117727583</v>
      </c>
      <c r="J714" s="40">
        <f t="shared" si="147"/>
        <v>59</v>
      </c>
      <c r="K714" s="43">
        <f>VLOOKUP(J714,Data!$Z$3:$AA$122,2)</f>
        <v>0</v>
      </c>
      <c r="L714" s="41">
        <f t="shared" si="148"/>
        <v>0.87748117727582553</v>
      </c>
      <c r="M714" s="43">
        <f>VLOOKUP(H714,Data!$P$3:$X$122,9)</f>
        <v>0</v>
      </c>
      <c r="N714" s="43">
        <f t="shared" si="151"/>
        <v>0</v>
      </c>
      <c r="O714" s="43">
        <f t="shared" si="152"/>
        <v>0</v>
      </c>
      <c r="P714" s="30">
        <f t="shared" si="153"/>
        <v>0</v>
      </c>
      <c r="Q714" s="31">
        <f t="shared" si="155"/>
        <v>848340.75061972369</v>
      </c>
    </row>
    <row r="715" spans="1:17" x14ac:dyDescent="0.25">
      <c r="A715" s="6">
        <f t="shared" si="154"/>
        <v>64954</v>
      </c>
      <c r="B715" s="30">
        <f>IFERROR(VLOOKUP(A715, Data!$L$3:$N$123, 3),1)*Pension</f>
        <v>380241.86922016722</v>
      </c>
      <c r="C715" s="37">
        <f t="shared" si="143"/>
        <v>59.337440109514034</v>
      </c>
      <c r="D715" s="37">
        <f>IFERROR(VLOOKUP(A715,Data!$I$3:$J$1442,2),0)</f>
        <v>8.3396096000000003E-2</v>
      </c>
      <c r="E715" s="37">
        <f t="shared" si="144"/>
        <v>8.3196095999999997E-2</v>
      </c>
      <c r="F715" s="37">
        <f t="shared" si="149"/>
        <v>7.178654107187904E-3</v>
      </c>
      <c r="G715" s="30">
        <f t="shared" si="150"/>
        <v>2729.6248562021592</v>
      </c>
      <c r="H715" s="38">
        <f t="shared" si="145"/>
        <v>154</v>
      </c>
      <c r="I715" s="39">
        <f t="shared" si="146"/>
        <v>154.96235455167692</v>
      </c>
      <c r="J715" s="40">
        <f t="shared" si="147"/>
        <v>59</v>
      </c>
      <c r="K715" s="43">
        <f>VLOOKUP(J715,Data!$Z$3:$AA$122,2)</f>
        <v>0</v>
      </c>
      <c r="L715" s="41">
        <f t="shared" si="148"/>
        <v>0.96235455167692407</v>
      </c>
      <c r="M715" s="43">
        <f>VLOOKUP(H715,Data!$P$3:$X$122,9)</f>
        <v>0</v>
      </c>
      <c r="N715" s="43">
        <f t="shared" si="151"/>
        <v>0</v>
      </c>
      <c r="O715" s="43">
        <f t="shared" si="152"/>
        <v>0</v>
      </c>
      <c r="P715" s="30">
        <f t="shared" si="153"/>
        <v>0</v>
      </c>
      <c r="Q715" s="31">
        <f t="shared" si="155"/>
        <v>848340.75061972369</v>
      </c>
    </row>
    <row r="716" spans="1:17" x14ac:dyDescent="0.25">
      <c r="A716" s="6">
        <f t="shared" si="154"/>
        <v>64984</v>
      </c>
      <c r="B716" s="30">
        <f>IFERROR(VLOOKUP(A716, Data!$L$3:$N$123, 3),1)*Pension</f>
        <v>380241.86922016722</v>
      </c>
      <c r="C716" s="37">
        <f t="shared" si="143"/>
        <v>59.419575633127998</v>
      </c>
      <c r="D716" s="37">
        <f>IFERROR(VLOOKUP(A716,Data!$I$3:$J$1442,2),0)</f>
        <v>8.3377580000000007E-2</v>
      </c>
      <c r="E716" s="37">
        <f t="shared" si="144"/>
        <v>8.3177580000000001E-2</v>
      </c>
      <c r="F716" s="37">
        <f t="shared" si="149"/>
        <v>7.1376156156563574E-3</v>
      </c>
      <c r="G716" s="30">
        <f t="shared" si="150"/>
        <v>2714.0203034722281</v>
      </c>
      <c r="H716" s="38">
        <f t="shared" si="145"/>
        <v>155</v>
      </c>
      <c r="I716" s="39">
        <f t="shared" si="146"/>
        <v>155.04449007529089</v>
      </c>
      <c r="J716" s="40">
        <f t="shared" si="147"/>
        <v>60</v>
      </c>
      <c r="K716" s="43">
        <f>VLOOKUP(J716,Data!$Z$3:$AA$122,2)</f>
        <v>0</v>
      </c>
      <c r="L716" s="41">
        <f t="shared" si="148"/>
        <v>4.4490075290894993E-2</v>
      </c>
      <c r="M716" s="43">
        <f>VLOOKUP(H716,Data!$P$3:$X$122,9)</f>
        <v>0</v>
      </c>
      <c r="N716" s="43">
        <f t="shared" si="151"/>
        <v>0</v>
      </c>
      <c r="O716" s="43">
        <f t="shared" si="152"/>
        <v>0</v>
      </c>
      <c r="P716" s="30">
        <f t="shared" si="153"/>
        <v>0</v>
      </c>
      <c r="Q716" s="31">
        <f t="shared" si="155"/>
        <v>848340.75061972369</v>
      </c>
    </row>
    <row r="717" spans="1:17" x14ac:dyDescent="0.25">
      <c r="A717" s="6">
        <f t="shared" si="154"/>
        <v>65015</v>
      </c>
      <c r="B717" s="30">
        <f>IFERROR(VLOOKUP(A717, Data!$L$3:$N$123, 3),1)*Pension</f>
        <v>399253.96268117556</v>
      </c>
      <c r="C717" s="37">
        <f t="shared" si="143"/>
        <v>59.504449007529089</v>
      </c>
      <c r="D717" s="37">
        <f>IFERROR(VLOOKUP(A717,Data!$I$3:$J$1442,2),0)</f>
        <v>8.3358500000000002E-2</v>
      </c>
      <c r="E717" s="37">
        <f t="shared" si="144"/>
        <v>8.3158499999999996E-2</v>
      </c>
      <c r="F717" s="37">
        <f t="shared" si="149"/>
        <v>7.0954558370151279E-3</v>
      </c>
      <c r="G717" s="30">
        <f t="shared" si="150"/>
        <v>2832.8888599575671</v>
      </c>
      <c r="H717" s="38">
        <f t="shared" si="145"/>
        <v>155</v>
      </c>
      <c r="I717" s="39">
        <f t="shared" si="146"/>
        <v>155.12936344969199</v>
      </c>
      <c r="J717" s="40">
        <f t="shared" si="147"/>
        <v>60</v>
      </c>
      <c r="K717" s="43">
        <f>VLOOKUP(J717,Data!$Z$3:$AA$122,2)</f>
        <v>0</v>
      </c>
      <c r="L717" s="41">
        <f t="shared" si="148"/>
        <v>0.12936344969199354</v>
      </c>
      <c r="M717" s="43">
        <f>VLOOKUP(H717,Data!$P$3:$X$122,9)</f>
        <v>0</v>
      </c>
      <c r="N717" s="43">
        <f t="shared" si="151"/>
        <v>0</v>
      </c>
      <c r="O717" s="43">
        <f t="shared" si="152"/>
        <v>0</v>
      </c>
      <c r="P717" s="30">
        <f t="shared" si="153"/>
        <v>0</v>
      </c>
      <c r="Q717" s="31">
        <f t="shared" si="155"/>
        <v>848340.75061972369</v>
      </c>
    </row>
    <row r="718" spans="1:17" x14ac:dyDescent="0.25">
      <c r="A718" s="6">
        <f t="shared" si="154"/>
        <v>65046</v>
      </c>
      <c r="B718" s="30">
        <f>IFERROR(VLOOKUP(A718, Data!$L$3:$N$123, 3),1)*Pension</f>
        <v>399253.96268117556</v>
      </c>
      <c r="C718" s="37">
        <f t="shared" si="143"/>
        <v>59.589322381930188</v>
      </c>
      <c r="D718" s="37">
        <f>IFERROR(VLOOKUP(A718,Data!$I$3:$J$1442,2),0)</f>
        <v>8.3339473999999997E-2</v>
      </c>
      <c r="E718" s="37">
        <f t="shared" si="144"/>
        <v>8.3139473999999991E-2</v>
      </c>
      <c r="F718" s="37">
        <f t="shared" si="149"/>
        <v>7.0535452314164056E-3</v>
      </c>
      <c r="G718" s="30">
        <f t="shared" si="150"/>
        <v>2816.1558845939094</v>
      </c>
      <c r="H718" s="38">
        <f t="shared" si="145"/>
        <v>155</v>
      </c>
      <c r="I718" s="39">
        <f t="shared" si="146"/>
        <v>155.21423682409309</v>
      </c>
      <c r="J718" s="40">
        <f t="shared" si="147"/>
        <v>60</v>
      </c>
      <c r="K718" s="43">
        <f>VLOOKUP(J718,Data!$Z$3:$AA$122,2)</f>
        <v>0</v>
      </c>
      <c r="L718" s="41">
        <f t="shared" si="148"/>
        <v>0.21423682409309208</v>
      </c>
      <c r="M718" s="43">
        <f>VLOOKUP(H718,Data!$P$3:$X$122,9)</f>
        <v>0</v>
      </c>
      <c r="N718" s="43">
        <f t="shared" si="151"/>
        <v>0</v>
      </c>
      <c r="O718" s="43">
        <f t="shared" si="152"/>
        <v>0</v>
      </c>
      <c r="P718" s="30">
        <f t="shared" si="153"/>
        <v>0</v>
      </c>
      <c r="Q718" s="31">
        <f t="shared" si="155"/>
        <v>848340.75061972369</v>
      </c>
    </row>
    <row r="719" spans="1:17" x14ac:dyDescent="0.25">
      <c r="A719" s="6">
        <f t="shared" si="154"/>
        <v>65074</v>
      </c>
      <c r="B719" s="30">
        <f>IFERROR(VLOOKUP(A719, Data!$L$3:$N$123, 3),1)*Pension</f>
        <v>399253.96268117556</v>
      </c>
      <c r="C719" s="37">
        <f t="shared" si="143"/>
        <v>59.665982203969882</v>
      </c>
      <c r="D719" s="37">
        <f>IFERROR(VLOOKUP(A719,Data!$I$3:$J$1442,2),0)</f>
        <v>8.3322335999999997E-2</v>
      </c>
      <c r="E719" s="37">
        <f t="shared" si="144"/>
        <v>8.3122335999999991E-2</v>
      </c>
      <c r="F719" s="37">
        <f t="shared" si="149"/>
        <v>7.0159032036088299E-3</v>
      </c>
      <c r="G719" s="30">
        <f t="shared" si="150"/>
        <v>2801.1271558283797</v>
      </c>
      <c r="H719" s="38">
        <f t="shared" si="145"/>
        <v>155</v>
      </c>
      <c r="I719" s="39">
        <f t="shared" si="146"/>
        <v>155.29089664613278</v>
      </c>
      <c r="J719" s="40">
        <f t="shared" si="147"/>
        <v>60</v>
      </c>
      <c r="K719" s="43">
        <f>VLOOKUP(J719,Data!$Z$3:$AA$122,2)</f>
        <v>0</v>
      </c>
      <c r="L719" s="41">
        <f t="shared" si="148"/>
        <v>0.29089664613277932</v>
      </c>
      <c r="M719" s="43">
        <f>VLOOKUP(H719,Data!$P$3:$X$122,9)</f>
        <v>0</v>
      </c>
      <c r="N719" s="43">
        <f t="shared" si="151"/>
        <v>0</v>
      </c>
      <c r="O719" s="43">
        <f t="shared" si="152"/>
        <v>0</v>
      </c>
      <c r="P719" s="30">
        <f t="shared" si="153"/>
        <v>0</v>
      </c>
      <c r="Q719" s="31">
        <f t="shared" si="155"/>
        <v>848340.75061972369</v>
      </c>
    </row>
    <row r="720" spans="1:17" x14ac:dyDescent="0.25">
      <c r="A720" s="6">
        <f t="shared" si="154"/>
        <v>65105</v>
      </c>
      <c r="B720" s="30">
        <f>IFERROR(VLOOKUP(A720, Data!$L$3:$N$123, 3),1)*Pension</f>
        <v>399253.96268117556</v>
      </c>
      <c r="C720" s="37">
        <f t="shared" si="143"/>
        <v>59.750855578370981</v>
      </c>
      <c r="D720" s="37">
        <f>IFERROR(VLOOKUP(A720,Data!$I$3:$J$1442,2),0)</f>
        <v>8.3303413000000007E-2</v>
      </c>
      <c r="E720" s="37">
        <f t="shared" si="144"/>
        <v>8.3103413000000001E-2</v>
      </c>
      <c r="F720" s="37">
        <f t="shared" si="149"/>
        <v>6.9744624089360862E-3</v>
      </c>
      <c r="G720" s="30">
        <f t="shared" si="150"/>
        <v>2784.5817543386302</v>
      </c>
      <c r="H720" s="38">
        <f t="shared" si="145"/>
        <v>155</v>
      </c>
      <c r="I720" s="39">
        <f t="shared" si="146"/>
        <v>155.37577002053388</v>
      </c>
      <c r="J720" s="40">
        <f t="shared" si="147"/>
        <v>60</v>
      </c>
      <c r="K720" s="43">
        <f>VLOOKUP(J720,Data!$Z$3:$AA$122,2)</f>
        <v>0</v>
      </c>
      <c r="L720" s="41">
        <f t="shared" si="148"/>
        <v>0.37577002053387787</v>
      </c>
      <c r="M720" s="43">
        <f>VLOOKUP(H720,Data!$P$3:$X$122,9)</f>
        <v>0</v>
      </c>
      <c r="N720" s="43">
        <f t="shared" si="151"/>
        <v>0</v>
      </c>
      <c r="O720" s="43">
        <f t="shared" si="152"/>
        <v>0</v>
      </c>
      <c r="P720" s="30">
        <f t="shared" si="153"/>
        <v>0</v>
      </c>
      <c r="Q720" s="31">
        <f t="shared" si="155"/>
        <v>848340.75061972369</v>
      </c>
    </row>
    <row r="721" spans="1:17" x14ac:dyDescent="0.25">
      <c r="A721" s="6">
        <f t="shared" si="154"/>
        <v>65135</v>
      </c>
      <c r="B721" s="30">
        <f>IFERROR(VLOOKUP(A721, Data!$L$3:$N$123, 3),1)*Pension</f>
        <v>399253.96268117556</v>
      </c>
      <c r="C721" s="37">
        <f t="shared" si="143"/>
        <v>59.832991101984945</v>
      </c>
      <c r="D721" s="37">
        <f>IFERROR(VLOOKUP(A721,Data!$I$3:$J$1442,2),0)</f>
        <v>8.3285152000000001E-2</v>
      </c>
      <c r="E721" s="37">
        <f t="shared" si="144"/>
        <v>8.3085151999999995E-2</v>
      </c>
      <c r="F721" s="37">
        <f t="shared" si="149"/>
        <v>6.9345912970715249E-3</v>
      </c>
      <c r="G721" s="30">
        <f t="shared" si="150"/>
        <v>2768.6630549301995</v>
      </c>
      <c r="H721" s="38">
        <f t="shared" si="145"/>
        <v>155</v>
      </c>
      <c r="I721" s="39">
        <f t="shared" si="146"/>
        <v>155.45790554414785</v>
      </c>
      <c r="J721" s="40">
        <f t="shared" si="147"/>
        <v>60</v>
      </c>
      <c r="K721" s="43">
        <f>VLOOKUP(J721,Data!$Z$3:$AA$122,2)</f>
        <v>0</v>
      </c>
      <c r="L721" s="41">
        <f t="shared" si="148"/>
        <v>0.45790554414784879</v>
      </c>
      <c r="M721" s="43">
        <f>VLOOKUP(H721,Data!$P$3:$X$122,9)</f>
        <v>0</v>
      </c>
      <c r="N721" s="43">
        <f t="shared" si="151"/>
        <v>0</v>
      </c>
      <c r="O721" s="43">
        <f t="shared" si="152"/>
        <v>0</v>
      </c>
      <c r="P721" s="30">
        <f t="shared" si="153"/>
        <v>0</v>
      </c>
      <c r="Q721" s="31">
        <f t="shared" si="155"/>
        <v>848340.75061972369</v>
      </c>
    </row>
    <row r="722" spans="1:17" x14ac:dyDescent="0.25">
      <c r="A722" s="6">
        <f t="shared" si="154"/>
        <v>65166</v>
      </c>
      <c r="B722" s="30">
        <f>IFERROR(VLOOKUP(A722, Data!$L$3:$N$123, 3),1)*Pension</f>
        <v>399253.96268117556</v>
      </c>
      <c r="C722" s="37">
        <f t="shared" si="143"/>
        <v>59.917864476386036</v>
      </c>
      <c r="D722" s="37">
        <f>IFERROR(VLOOKUP(A722,Data!$I$3:$J$1442,2),0)</f>
        <v>8.3266333999999997E-2</v>
      </c>
      <c r="E722" s="37">
        <f t="shared" si="144"/>
        <v>8.3066333999999992E-2</v>
      </c>
      <c r="F722" s="37">
        <f t="shared" si="149"/>
        <v>6.8936309583757559E-3</v>
      </c>
      <c r="G722" s="30">
        <f t="shared" si="150"/>
        <v>2752.3094773931507</v>
      </c>
      <c r="H722" s="38">
        <f t="shared" si="145"/>
        <v>155</v>
      </c>
      <c r="I722" s="39">
        <f t="shared" si="146"/>
        <v>155.54277891854895</v>
      </c>
      <c r="J722" s="40">
        <f t="shared" si="147"/>
        <v>60</v>
      </c>
      <c r="K722" s="43">
        <f>VLOOKUP(J722,Data!$Z$3:$AA$122,2)</f>
        <v>0</v>
      </c>
      <c r="L722" s="41">
        <f t="shared" si="148"/>
        <v>0.54277891854894733</v>
      </c>
      <c r="M722" s="43">
        <f>VLOOKUP(H722,Data!$P$3:$X$122,9)</f>
        <v>0</v>
      </c>
      <c r="N722" s="43">
        <f t="shared" si="151"/>
        <v>0</v>
      </c>
      <c r="O722" s="43">
        <f t="shared" si="152"/>
        <v>0</v>
      </c>
      <c r="P722" s="30">
        <f t="shared" si="153"/>
        <v>0</v>
      </c>
      <c r="Q722" s="31">
        <f t="shared" si="155"/>
        <v>848340.75061972369</v>
      </c>
    </row>
    <row r="723" spans="1:17" x14ac:dyDescent="0.25">
      <c r="A723" s="6">
        <f t="shared" si="154"/>
        <v>65196</v>
      </c>
      <c r="B723" s="30">
        <f>IFERROR(VLOOKUP(A723, Data!$L$3:$N$123, 3),1)*Pension</f>
        <v>399253.96268117556</v>
      </c>
      <c r="C723" s="37">
        <f t="shared" si="143"/>
        <v>60</v>
      </c>
      <c r="D723" s="37">
        <f>IFERROR(VLOOKUP(A723,Data!$I$3:$J$1442,2),0)</f>
        <v>8.3248173999999994E-2</v>
      </c>
      <c r="E723" s="37">
        <f t="shared" si="144"/>
        <v>8.3048173999999989E-2</v>
      </c>
      <c r="F723" s="37">
        <f t="shared" si="149"/>
        <v>6.8542221796417209E-3</v>
      </c>
      <c r="G723" s="30">
        <f t="shared" si="150"/>
        <v>2736.5753663191613</v>
      </c>
      <c r="H723" s="38">
        <f t="shared" si="145"/>
        <v>155</v>
      </c>
      <c r="I723" s="39">
        <f t="shared" si="146"/>
        <v>155.62491444216289</v>
      </c>
      <c r="J723" s="40">
        <f t="shared" si="147"/>
        <v>60</v>
      </c>
      <c r="K723" s="43">
        <f>VLOOKUP(J723,Data!$Z$3:$AA$122,2)</f>
        <v>0</v>
      </c>
      <c r="L723" s="41">
        <f t="shared" si="148"/>
        <v>0.62491444216288983</v>
      </c>
      <c r="M723" s="43">
        <f>VLOOKUP(H723,Data!$P$3:$X$122,9)</f>
        <v>0</v>
      </c>
      <c r="N723" s="43">
        <f t="shared" si="151"/>
        <v>0</v>
      </c>
      <c r="O723" s="43">
        <f t="shared" si="152"/>
        <v>0</v>
      </c>
      <c r="P723" s="30">
        <f t="shared" si="153"/>
        <v>0</v>
      </c>
      <c r="Q723" s="31">
        <f t="shared" si="155"/>
        <v>848340.75061972369</v>
      </c>
    </row>
    <row r="724" spans="1:17" x14ac:dyDescent="0.25">
      <c r="A724" s="6">
        <f t="shared" si="154"/>
        <v>65227</v>
      </c>
      <c r="B724" s="30">
        <f>IFERROR(VLOOKUP(A724, Data!$L$3:$N$123, 3),1)*Pension</f>
        <v>399253.96268117556</v>
      </c>
      <c r="C724" s="37">
        <f t="shared" si="143"/>
        <v>60.084873374401099</v>
      </c>
      <c r="D724" s="37">
        <f>IFERROR(VLOOKUP(A724,Data!$I$3:$J$1442,2),0)</f>
        <v>8.3229461000000005E-2</v>
      </c>
      <c r="E724" s="37">
        <f t="shared" si="144"/>
        <v>8.3029460999999999E-2</v>
      </c>
      <c r="F724" s="37">
        <f t="shared" si="149"/>
        <v>6.8137363660815209E-3</v>
      </c>
      <c r="G724" s="30">
        <f t="shared" si="150"/>
        <v>2720.4112448228802</v>
      </c>
      <c r="H724" s="38">
        <f t="shared" si="145"/>
        <v>155</v>
      </c>
      <c r="I724" s="39">
        <f t="shared" si="146"/>
        <v>155.70978781656399</v>
      </c>
      <c r="J724" s="40">
        <f t="shared" si="147"/>
        <v>60</v>
      </c>
      <c r="K724" s="43">
        <f>VLOOKUP(J724,Data!$Z$3:$AA$122,2)</f>
        <v>0</v>
      </c>
      <c r="L724" s="41">
        <f t="shared" si="148"/>
        <v>0.70978781656398837</v>
      </c>
      <c r="M724" s="43">
        <f>VLOOKUP(H724,Data!$P$3:$X$122,9)</f>
        <v>0</v>
      </c>
      <c r="N724" s="43">
        <f t="shared" si="151"/>
        <v>0</v>
      </c>
      <c r="O724" s="43">
        <f t="shared" si="152"/>
        <v>0</v>
      </c>
      <c r="P724" s="30">
        <f t="shared" si="153"/>
        <v>0</v>
      </c>
      <c r="Q724" s="31">
        <f t="shared" si="155"/>
        <v>848340.75061972369</v>
      </c>
    </row>
    <row r="725" spans="1:17" x14ac:dyDescent="0.25">
      <c r="A725" s="6">
        <f t="shared" si="154"/>
        <v>65258</v>
      </c>
      <c r="B725" s="30">
        <f>IFERROR(VLOOKUP(A725, Data!$L$3:$N$123, 3),1)*Pension</f>
        <v>399253.96268117556</v>
      </c>
      <c r="C725" s="37">
        <f t="shared" si="143"/>
        <v>60.16974674880219</v>
      </c>
      <c r="D725" s="37">
        <f>IFERROR(VLOOKUP(A725,Data!$I$3:$J$1442,2),0)</f>
        <v>8.3210801000000001E-2</v>
      </c>
      <c r="E725" s="37">
        <f t="shared" si="144"/>
        <v>8.3010800999999995E-2</v>
      </c>
      <c r="F725" s="37">
        <f t="shared" si="149"/>
        <v>6.7734896051122005E-3</v>
      </c>
      <c r="G725" s="30">
        <f t="shared" si="150"/>
        <v>2704.3425660207972</v>
      </c>
      <c r="H725" s="38">
        <f t="shared" si="145"/>
        <v>155</v>
      </c>
      <c r="I725" s="39">
        <f t="shared" si="146"/>
        <v>155.79466119096509</v>
      </c>
      <c r="J725" s="40">
        <f t="shared" si="147"/>
        <v>60</v>
      </c>
      <c r="K725" s="43">
        <f>VLOOKUP(J725,Data!$Z$3:$AA$122,2)</f>
        <v>0</v>
      </c>
      <c r="L725" s="41">
        <f t="shared" si="148"/>
        <v>0.79466119096508692</v>
      </c>
      <c r="M725" s="43">
        <f>VLOOKUP(H725,Data!$P$3:$X$122,9)</f>
        <v>0</v>
      </c>
      <c r="N725" s="43">
        <f t="shared" si="151"/>
        <v>0</v>
      </c>
      <c r="O725" s="43">
        <f t="shared" si="152"/>
        <v>0</v>
      </c>
      <c r="P725" s="30">
        <f t="shared" si="153"/>
        <v>0</v>
      </c>
      <c r="Q725" s="31">
        <f t="shared" si="155"/>
        <v>848340.75061972369</v>
      </c>
    </row>
    <row r="726" spans="1:17" x14ac:dyDescent="0.25">
      <c r="A726" s="6">
        <f t="shared" si="154"/>
        <v>65288</v>
      </c>
      <c r="B726" s="30">
        <f>IFERROR(VLOOKUP(A726, Data!$L$3:$N$123, 3),1)*Pension</f>
        <v>399253.96268117556</v>
      </c>
      <c r="C726" s="37">
        <f t="shared" si="143"/>
        <v>60.251882272416154</v>
      </c>
      <c r="D726" s="37">
        <f>IFERROR(VLOOKUP(A726,Data!$I$3:$J$1442,2),0)</f>
        <v>8.3192793000000001E-2</v>
      </c>
      <c r="E726" s="37">
        <f t="shared" si="144"/>
        <v>8.2992792999999995E-2</v>
      </c>
      <c r="F726" s="37">
        <f t="shared" si="149"/>
        <v>6.734767483693815E-3</v>
      </c>
      <c r="G726" s="30">
        <f t="shared" si="150"/>
        <v>2688.8826056010848</v>
      </c>
      <c r="H726" s="38">
        <f t="shared" si="145"/>
        <v>155</v>
      </c>
      <c r="I726" s="39">
        <f t="shared" si="146"/>
        <v>155.87679671457906</v>
      </c>
      <c r="J726" s="40">
        <f t="shared" si="147"/>
        <v>60</v>
      </c>
      <c r="K726" s="43">
        <f>VLOOKUP(J726,Data!$Z$3:$AA$122,2)</f>
        <v>0</v>
      </c>
      <c r="L726" s="41">
        <f t="shared" si="148"/>
        <v>0.87679671457905783</v>
      </c>
      <c r="M726" s="43">
        <f>VLOOKUP(H726,Data!$P$3:$X$122,9)</f>
        <v>0</v>
      </c>
      <c r="N726" s="43">
        <f t="shared" si="151"/>
        <v>0</v>
      </c>
      <c r="O726" s="43">
        <f t="shared" si="152"/>
        <v>0</v>
      </c>
      <c r="P726" s="30">
        <f t="shared" si="153"/>
        <v>0</v>
      </c>
      <c r="Q726" s="31">
        <f t="shared" si="155"/>
        <v>848340.75061972369</v>
      </c>
    </row>
    <row r="727" spans="1:17" x14ac:dyDescent="0.25">
      <c r="A727" s="6">
        <f t="shared" si="154"/>
        <v>65319</v>
      </c>
      <c r="B727" s="30">
        <f>IFERROR(VLOOKUP(A727, Data!$L$3:$N$123, 3),1)*Pension</f>
        <v>399253.96268117556</v>
      </c>
      <c r="C727" s="37">
        <f t="shared" si="143"/>
        <v>60.336755646817245</v>
      </c>
      <c r="D727" s="37">
        <f>IFERROR(VLOOKUP(A727,Data!$I$3:$J$1442,2),0)</f>
        <v>8.3174235999999999E-2</v>
      </c>
      <c r="E727" s="37">
        <f t="shared" si="144"/>
        <v>8.2974235999999993E-2</v>
      </c>
      <c r="F727" s="37">
        <f t="shared" si="149"/>
        <v>6.6949872616073793E-3</v>
      </c>
      <c r="G727" s="30">
        <f t="shared" si="150"/>
        <v>2673.0001942967383</v>
      </c>
      <c r="H727" s="38">
        <f t="shared" si="145"/>
        <v>155</v>
      </c>
      <c r="I727" s="39">
        <f t="shared" si="146"/>
        <v>155.96167008898016</v>
      </c>
      <c r="J727" s="40">
        <f t="shared" si="147"/>
        <v>60</v>
      </c>
      <c r="K727" s="43">
        <f>VLOOKUP(J727,Data!$Z$3:$AA$122,2)</f>
        <v>0</v>
      </c>
      <c r="L727" s="41">
        <f t="shared" si="148"/>
        <v>0.96167008898015638</v>
      </c>
      <c r="M727" s="43">
        <f>VLOOKUP(H727,Data!$P$3:$X$122,9)</f>
        <v>0</v>
      </c>
      <c r="N727" s="43">
        <f t="shared" si="151"/>
        <v>0</v>
      </c>
      <c r="O727" s="43">
        <f t="shared" si="152"/>
        <v>0</v>
      </c>
      <c r="P727" s="30">
        <f t="shared" si="153"/>
        <v>0</v>
      </c>
      <c r="Q727" s="31">
        <f t="shared" si="155"/>
        <v>848340.75061972369</v>
      </c>
    </row>
    <row r="728" spans="1:17" x14ac:dyDescent="0.25">
      <c r="A728" s="6">
        <f t="shared" si="154"/>
        <v>65349</v>
      </c>
      <c r="B728" s="30">
        <f>IFERROR(VLOOKUP(A728, Data!$L$3:$N$123, 3),1)*Pension</f>
        <v>399253.96268117556</v>
      </c>
      <c r="C728" s="37">
        <f t="shared" si="143"/>
        <v>60.418891170431209</v>
      </c>
      <c r="D728" s="37">
        <f>IFERROR(VLOOKUP(A728,Data!$I$3:$J$1442,2),0)</f>
        <v>8.3156327000000002E-2</v>
      </c>
      <c r="E728" s="37">
        <f t="shared" si="144"/>
        <v>8.2956326999999996E-2</v>
      </c>
      <c r="F728" s="37">
        <f t="shared" si="149"/>
        <v>6.6567141109680952E-3</v>
      </c>
      <c r="G728" s="30">
        <f t="shared" si="150"/>
        <v>2657.7194872397108</v>
      </c>
      <c r="H728" s="38">
        <f t="shared" si="145"/>
        <v>156</v>
      </c>
      <c r="I728" s="39">
        <f t="shared" si="146"/>
        <v>156.04380561259413</v>
      </c>
      <c r="J728" s="40">
        <f t="shared" si="147"/>
        <v>61</v>
      </c>
      <c r="K728" s="43">
        <f>VLOOKUP(J728,Data!$Z$3:$AA$122,2)</f>
        <v>0</v>
      </c>
      <c r="L728" s="41">
        <f t="shared" si="148"/>
        <v>4.3805612594127297E-2</v>
      </c>
      <c r="M728" s="43">
        <f>VLOOKUP(H728,Data!$P$3:$X$122,9)</f>
        <v>0</v>
      </c>
      <c r="N728" s="43">
        <f t="shared" si="151"/>
        <v>0</v>
      </c>
      <c r="O728" s="43">
        <f t="shared" si="152"/>
        <v>0</v>
      </c>
      <c r="P728" s="30">
        <f t="shared" si="153"/>
        <v>0</v>
      </c>
      <c r="Q728" s="31">
        <f t="shared" si="155"/>
        <v>848340.75061972369</v>
      </c>
    </row>
    <row r="729" spans="1:17" x14ac:dyDescent="0.25">
      <c r="A729" s="6">
        <f t="shared" si="154"/>
        <v>65380</v>
      </c>
      <c r="B729" s="30">
        <f>IFERROR(VLOOKUP(A729, Data!$L$3:$N$123, 3),1)*Pension</f>
        <v>419216.66081523441</v>
      </c>
      <c r="C729" s="37">
        <f t="shared" si="143"/>
        <v>60.503764544832308</v>
      </c>
      <c r="D729" s="37">
        <f>IFERROR(VLOOKUP(A729,Data!$I$3:$J$1442,2),0)</f>
        <v>8.3137873000000001E-2</v>
      </c>
      <c r="E729" s="37">
        <f t="shared" si="144"/>
        <v>8.2937872999999995E-2</v>
      </c>
      <c r="F729" s="37">
        <f t="shared" si="149"/>
        <v>6.6173946768525102E-3</v>
      </c>
      <c r="G729" s="30">
        <f t="shared" si="150"/>
        <v>2774.1220997266164</v>
      </c>
      <c r="H729" s="38">
        <f t="shared" si="145"/>
        <v>156</v>
      </c>
      <c r="I729" s="39">
        <f t="shared" si="146"/>
        <v>156.1286789869952</v>
      </c>
      <c r="J729" s="40">
        <f t="shared" si="147"/>
        <v>61</v>
      </c>
      <c r="K729" s="43">
        <f>VLOOKUP(J729,Data!$Z$3:$AA$122,2)</f>
        <v>0</v>
      </c>
      <c r="L729" s="41">
        <f t="shared" si="148"/>
        <v>0.12867898699519742</v>
      </c>
      <c r="M729" s="43">
        <f>VLOOKUP(H729,Data!$P$3:$X$122,9)</f>
        <v>0</v>
      </c>
      <c r="N729" s="43">
        <f t="shared" si="151"/>
        <v>0</v>
      </c>
      <c r="O729" s="43">
        <f t="shared" si="152"/>
        <v>0</v>
      </c>
      <c r="P729" s="30">
        <f t="shared" si="153"/>
        <v>0</v>
      </c>
      <c r="Q729" s="31">
        <f t="shared" si="155"/>
        <v>848340.75061972369</v>
      </c>
    </row>
    <row r="730" spans="1:17" x14ac:dyDescent="0.25">
      <c r="A730" s="6">
        <f t="shared" si="154"/>
        <v>65411</v>
      </c>
      <c r="B730" s="30">
        <f>IFERROR(VLOOKUP(A730, Data!$L$3:$N$123, 3),1)*Pension</f>
        <v>419216.66081523441</v>
      </c>
      <c r="C730" s="37">
        <f t="shared" si="143"/>
        <v>60.588637919233399</v>
      </c>
      <c r="D730" s="37">
        <f>IFERROR(VLOOKUP(A730,Data!$I$3:$J$1442,2),0)</f>
        <v>8.3119470000000001E-2</v>
      </c>
      <c r="E730" s="37">
        <f t="shared" si="144"/>
        <v>8.2919469999999995E-2</v>
      </c>
      <c r="F730" s="37">
        <f t="shared" si="149"/>
        <v>6.5783077716288565E-3</v>
      </c>
      <c r="G730" s="30">
        <f t="shared" si="150"/>
        <v>2757.736217837155</v>
      </c>
      <c r="H730" s="38">
        <f t="shared" si="145"/>
        <v>156</v>
      </c>
      <c r="I730" s="39">
        <f t="shared" si="146"/>
        <v>156.2135523613963</v>
      </c>
      <c r="J730" s="40">
        <f t="shared" si="147"/>
        <v>61</v>
      </c>
      <c r="K730" s="43">
        <f>VLOOKUP(J730,Data!$Z$3:$AA$122,2)</f>
        <v>0</v>
      </c>
      <c r="L730" s="41">
        <f t="shared" si="148"/>
        <v>0.21355236139629596</v>
      </c>
      <c r="M730" s="43">
        <f>VLOOKUP(H730,Data!$P$3:$X$122,9)</f>
        <v>0</v>
      </c>
      <c r="N730" s="43">
        <f t="shared" si="151"/>
        <v>0</v>
      </c>
      <c r="O730" s="43">
        <f t="shared" si="152"/>
        <v>0</v>
      </c>
      <c r="P730" s="30">
        <f t="shared" si="153"/>
        <v>0</v>
      </c>
      <c r="Q730" s="31">
        <f t="shared" si="155"/>
        <v>848340.75061972369</v>
      </c>
    </row>
    <row r="731" spans="1:17" x14ac:dyDescent="0.25">
      <c r="A731" s="6">
        <f t="shared" si="154"/>
        <v>65439</v>
      </c>
      <c r="B731" s="30">
        <f>IFERROR(VLOOKUP(A731, Data!$L$3:$N$123, 3),1)*Pension</f>
        <v>419216.66081523441</v>
      </c>
      <c r="C731" s="37">
        <f t="shared" si="143"/>
        <v>60.6652977412731</v>
      </c>
      <c r="D731" s="37">
        <f>IFERROR(VLOOKUP(A731,Data!$I$3:$J$1442,2),0)</f>
        <v>8.3102891999999998E-2</v>
      </c>
      <c r="E731" s="37">
        <f t="shared" si="144"/>
        <v>8.2902891999999992E-2</v>
      </c>
      <c r="F731" s="37">
        <f t="shared" si="149"/>
        <v>6.5432020267624166E-3</v>
      </c>
      <c r="G731" s="30">
        <f t="shared" si="150"/>
        <v>2743.0193046988143</v>
      </c>
      <c r="H731" s="38">
        <f t="shared" si="145"/>
        <v>156</v>
      </c>
      <c r="I731" s="39">
        <f t="shared" si="146"/>
        <v>156.29021218343601</v>
      </c>
      <c r="J731" s="40">
        <f t="shared" si="147"/>
        <v>61</v>
      </c>
      <c r="K731" s="43">
        <f>VLOOKUP(J731,Data!$Z$3:$AA$122,2)</f>
        <v>0</v>
      </c>
      <c r="L731" s="41">
        <f t="shared" si="148"/>
        <v>0.29021218343601163</v>
      </c>
      <c r="M731" s="43">
        <f>VLOOKUP(H731,Data!$P$3:$X$122,9)</f>
        <v>0</v>
      </c>
      <c r="N731" s="43">
        <f t="shared" si="151"/>
        <v>0</v>
      </c>
      <c r="O731" s="43">
        <f t="shared" si="152"/>
        <v>0</v>
      </c>
      <c r="P731" s="30">
        <f t="shared" si="153"/>
        <v>0</v>
      </c>
      <c r="Q731" s="31">
        <f t="shared" si="155"/>
        <v>848340.75061972369</v>
      </c>
    </row>
    <row r="732" spans="1:17" x14ac:dyDescent="0.25">
      <c r="A732" s="6">
        <f t="shared" si="154"/>
        <v>65470</v>
      </c>
      <c r="B732" s="30">
        <f>IFERROR(VLOOKUP(A732, Data!$L$3:$N$123, 3),1)*Pension</f>
        <v>419216.66081523441</v>
      </c>
      <c r="C732" s="37">
        <f t="shared" si="143"/>
        <v>60.750171115674199</v>
      </c>
      <c r="D732" s="37">
        <f>IFERROR(VLOOKUP(A732,Data!$I$3:$J$1442,2),0)</f>
        <v>8.3084587000000001E-2</v>
      </c>
      <c r="E732" s="37">
        <f t="shared" si="144"/>
        <v>8.2884586999999996E-2</v>
      </c>
      <c r="F732" s="37">
        <f t="shared" si="149"/>
        <v>6.5045532774112786E-3</v>
      </c>
      <c r="G732" s="30">
        <f t="shared" si="150"/>
        <v>2726.8171050511455</v>
      </c>
      <c r="H732" s="38">
        <f t="shared" si="145"/>
        <v>156</v>
      </c>
      <c r="I732" s="39">
        <f t="shared" si="146"/>
        <v>156.37508555783711</v>
      </c>
      <c r="J732" s="40">
        <f t="shared" si="147"/>
        <v>61</v>
      </c>
      <c r="K732" s="43">
        <f>VLOOKUP(J732,Data!$Z$3:$AA$122,2)</f>
        <v>0</v>
      </c>
      <c r="L732" s="41">
        <f t="shared" si="148"/>
        <v>0.37508555783711017</v>
      </c>
      <c r="M732" s="43">
        <f>VLOOKUP(H732,Data!$P$3:$X$122,9)</f>
        <v>0</v>
      </c>
      <c r="N732" s="43">
        <f t="shared" si="151"/>
        <v>0</v>
      </c>
      <c r="O732" s="43">
        <f t="shared" si="152"/>
        <v>0</v>
      </c>
      <c r="P732" s="30">
        <f t="shared" si="153"/>
        <v>0</v>
      </c>
      <c r="Q732" s="31">
        <f t="shared" si="155"/>
        <v>848340.75061972369</v>
      </c>
    </row>
    <row r="733" spans="1:17" x14ac:dyDescent="0.25">
      <c r="A733" s="6">
        <f t="shared" si="154"/>
        <v>65500</v>
      </c>
      <c r="B733" s="30">
        <f>IFERROR(VLOOKUP(A733, Data!$L$3:$N$123, 3),1)*Pension</f>
        <v>419216.66081523441</v>
      </c>
      <c r="C733" s="37">
        <f t="shared" si="143"/>
        <v>60.832306639288156</v>
      </c>
      <c r="D733" s="37">
        <f>IFERROR(VLOOKUP(A733,Data!$I$3:$J$1442,2),0)</f>
        <v>8.3066921000000002E-2</v>
      </c>
      <c r="E733" s="37">
        <f t="shared" si="144"/>
        <v>8.2866920999999996E-2</v>
      </c>
      <c r="F733" s="37">
        <f t="shared" si="149"/>
        <v>6.4673686811931447E-3</v>
      </c>
      <c r="G733" s="30">
        <f t="shared" si="150"/>
        <v>2711.2287027908164</v>
      </c>
      <c r="H733" s="38">
        <f t="shared" si="145"/>
        <v>156</v>
      </c>
      <c r="I733" s="39">
        <f t="shared" si="146"/>
        <v>156.45722108145105</v>
      </c>
      <c r="J733" s="40">
        <f t="shared" si="147"/>
        <v>61</v>
      </c>
      <c r="K733" s="43">
        <f>VLOOKUP(J733,Data!$Z$3:$AA$122,2)</f>
        <v>0</v>
      </c>
      <c r="L733" s="41">
        <f t="shared" si="148"/>
        <v>0.45722108145105267</v>
      </c>
      <c r="M733" s="43">
        <f>VLOOKUP(H733,Data!$P$3:$X$122,9)</f>
        <v>0</v>
      </c>
      <c r="N733" s="43">
        <f t="shared" si="151"/>
        <v>0</v>
      </c>
      <c r="O733" s="43">
        <f t="shared" si="152"/>
        <v>0</v>
      </c>
      <c r="P733" s="30">
        <f t="shared" si="153"/>
        <v>0</v>
      </c>
      <c r="Q733" s="31">
        <f t="shared" si="155"/>
        <v>848340.75061972369</v>
      </c>
    </row>
    <row r="734" spans="1:17" x14ac:dyDescent="0.25">
      <c r="A734" s="6">
        <f t="shared" si="154"/>
        <v>65531</v>
      </c>
      <c r="B734" s="30">
        <f>IFERROR(VLOOKUP(A734, Data!$L$3:$N$123, 3),1)*Pension</f>
        <v>419216.66081523441</v>
      </c>
      <c r="C734" s="37">
        <f t="shared" si="143"/>
        <v>60.917180013689254</v>
      </c>
      <c r="D734" s="37">
        <f>IFERROR(VLOOKUP(A734,Data!$I$3:$J$1442,2),0)</f>
        <v>8.3048715999999995E-2</v>
      </c>
      <c r="E734" s="37">
        <f t="shared" si="144"/>
        <v>8.2848715999999989E-2</v>
      </c>
      <c r="F734" s="37">
        <f t="shared" si="149"/>
        <v>6.4291679749118929E-3</v>
      </c>
      <c r="G734" s="30">
        <f t="shared" si="150"/>
        <v>2695.2143302628065</v>
      </c>
      <c r="H734" s="38">
        <f t="shared" si="145"/>
        <v>156</v>
      </c>
      <c r="I734" s="39">
        <f t="shared" si="146"/>
        <v>156.54209445585215</v>
      </c>
      <c r="J734" s="40">
        <f t="shared" si="147"/>
        <v>61</v>
      </c>
      <c r="K734" s="43">
        <f>VLOOKUP(J734,Data!$Z$3:$AA$122,2)</f>
        <v>0</v>
      </c>
      <c r="L734" s="41">
        <f t="shared" si="148"/>
        <v>0.54209445585215121</v>
      </c>
      <c r="M734" s="43">
        <f>VLOOKUP(H734,Data!$P$3:$X$122,9)</f>
        <v>0</v>
      </c>
      <c r="N734" s="43">
        <f t="shared" si="151"/>
        <v>0</v>
      </c>
      <c r="O734" s="43">
        <f t="shared" si="152"/>
        <v>0</v>
      </c>
      <c r="P734" s="30">
        <f t="shared" si="153"/>
        <v>0</v>
      </c>
      <c r="Q734" s="31">
        <f t="shared" si="155"/>
        <v>848340.75061972369</v>
      </c>
    </row>
    <row r="735" spans="1:17" x14ac:dyDescent="0.25">
      <c r="A735" s="6">
        <f t="shared" si="154"/>
        <v>65561</v>
      </c>
      <c r="B735" s="30">
        <f>IFERROR(VLOOKUP(A735, Data!$L$3:$N$123, 3),1)*Pension</f>
        <v>419216.66081523441</v>
      </c>
      <c r="C735" s="37">
        <f t="shared" si="143"/>
        <v>60.999315537303218</v>
      </c>
      <c r="D735" s="37">
        <f>IFERROR(VLOOKUP(A735,Data!$I$3:$J$1442,2),0)</f>
        <v>8.3031147E-2</v>
      </c>
      <c r="E735" s="37">
        <f t="shared" si="144"/>
        <v>8.2831146999999994E-2</v>
      </c>
      <c r="F735" s="37">
        <f t="shared" si="149"/>
        <v>6.3924142044628216E-3</v>
      </c>
      <c r="G735" s="30">
        <f t="shared" si="150"/>
        <v>2679.8065373427771</v>
      </c>
      <c r="H735" s="38">
        <f t="shared" si="145"/>
        <v>156</v>
      </c>
      <c r="I735" s="39">
        <f t="shared" si="146"/>
        <v>156.62422997946612</v>
      </c>
      <c r="J735" s="40">
        <f t="shared" si="147"/>
        <v>61</v>
      </c>
      <c r="K735" s="43">
        <f>VLOOKUP(J735,Data!$Z$3:$AA$122,2)</f>
        <v>0</v>
      </c>
      <c r="L735" s="41">
        <f t="shared" si="148"/>
        <v>0.62422997946612213</v>
      </c>
      <c r="M735" s="43">
        <f>VLOOKUP(H735,Data!$P$3:$X$122,9)</f>
        <v>0</v>
      </c>
      <c r="N735" s="43">
        <f t="shared" si="151"/>
        <v>0</v>
      </c>
      <c r="O735" s="43">
        <f t="shared" si="152"/>
        <v>0</v>
      </c>
      <c r="P735" s="30">
        <f t="shared" si="153"/>
        <v>0</v>
      </c>
      <c r="Q735" s="31">
        <f t="shared" si="155"/>
        <v>848340.75061972369</v>
      </c>
    </row>
    <row r="736" spans="1:17" x14ac:dyDescent="0.25">
      <c r="A736" s="6">
        <f t="shared" si="154"/>
        <v>65592</v>
      </c>
      <c r="B736" s="30">
        <f>IFERROR(VLOOKUP(A736, Data!$L$3:$N$123, 3),1)*Pension</f>
        <v>419216.66081523441</v>
      </c>
      <c r="C736" s="37">
        <f t="shared" si="143"/>
        <v>61.08418891170431</v>
      </c>
      <c r="D736" s="37">
        <f>IFERROR(VLOOKUP(A736,Data!$I$3:$J$1442,2),0)</f>
        <v>8.3013041999999995E-2</v>
      </c>
      <c r="E736" s="37">
        <f t="shared" si="144"/>
        <v>8.2813041999999989E-2</v>
      </c>
      <c r="F736" s="37">
        <f t="shared" si="149"/>
        <v>6.3546560287913818E-3</v>
      </c>
      <c r="G736" s="30">
        <f t="shared" si="150"/>
        <v>2663.9776810193212</v>
      </c>
      <c r="H736" s="38">
        <f t="shared" si="145"/>
        <v>156</v>
      </c>
      <c r="I736" s="39">
        <f t="shared" si="146"/>
        <v>156.70910335386722</v>
      </c>
      <c r="J736" s="40">
        <f t="shared" si="147"/>
        <v>61</v>
      </c>
      <c r="K736" s="43">
        <f>VLOOKUP(J736,Data!$Z$3:$AA$122,2)</f>
        <v>0</v>
      </c>
      <c r="L736" s="41">
        <f t="shared" si="148"/>
        <v>0.70910335386722068</v>
      </c>
      <c r="M736" s="43">
        <f>VLOOKUP(H736,Data!$P$3:$X$122,9)</f>
        <v>0</v>
      </c>
      <c r="N736" s="43">
        <f t="shared" si="151"/>
        <v>0</v>
      </c>
      <c r="O736" s="43">
        <f t="shared" si="152"/>
        <v>0</v>
      </c>
      <c r="P736" s="30">
        <f t="shared" si="153"/>
        <v>0</v>
      </c>
      <c r="Q736" s="31">
        <f t="shared" si="155"/>
        <v>848340.75061972369</v>
      </c>
    </row>
    <row r="737" spans="1:17" x14ac:dyDescent="0.25">
      <c r="A737" s="6">
        <f t="shared" si="154"/>
        <v>65623</v>
      </c>
      <c r="B737" s="30">
        <f>IFERROR(VLOOKUP(A737, Data!$L$3:$N$123, 3),1)*Pension</f>
        <v>419216.66081523441</v>
      </c>
      <c r="C737" s="37">
        <f t="shared" si="143"/>
        <v>61.169062286105408</v>
      </c>
      <c r="D737" s="37">
        <f>IFERROR(VLOOKUP(A737,Data!$I$3:$J$1442,2),0)</f>
        <v>8.2994987000000006E-2</v>
      </c>
      <c r="E737" s="37">
        <f t="shared" si="144"/>
        <v>8.2794987E-2</v>
      </c>
      <c r="F737" s="37">
        <f t="shared" si="149"/>
        <v>6.3171209735104856E-3</v>
      </c>
      <c r="G737" s="30">
        <f t="shared" si="150"/>
        <v>2648.2423604809487</v>
      </c>
      <c r="H737" s="38">
        <f t="shared" si="145"/>
        <v>156</v>
      </c>
      <c r="I737" s="39">
        <f t="shared" si="146"/>
        <v>156.79397672826832</v>
      </c>
      <c r="J737" s="40">
        <f t="shared" si="147"/>
        <v>61</v>
      </c>
      <c r="K737" s="43">
        <f>VLOOKUP(J737,Data!$Z$3:$AA$122,2)</f>
        <v>0</v>
      </c>
      <c r="L737" s="41">
        <f t="shared" si="148"/>
        <v>0.79397672826831922</v>
      </c>
      <c r="M737" s="43">
        <f>VLOOKUP(H737,Data!$P$3:$X$122,9)</f>
        <v>0</v>
      </c>
      <c r="N737" s="43">
        <f t="shared" si="151"/>
        <v>0</v>
      </c>
      <c r="O737" s="43">
        <f t="shared" si="152"/>
        <v>0</v>
      </c>
      <c r="P737" s="30">
        <f t="shared" si="153"/>
        <v>0</v>
      </c>
      <c r="Q737" s="31">
        <f t="shared" si="155"/>
        <v>848340.75061972369</v>
      </c>
    </row>
    <row r="738" spans="1:17" x14ac:dyDescent="0.25">
      <c r="A738" s="6">
        <f t="shared" si="154"/>
        <v>65653</v>
      </c>
      <c r="B738" s="30">
        <f>IFERROR(VLOOKUP(A738, Data!$L$3:$N$123, 3),1)*Pension</f>
        <v>419216.66081523441</v>
      </c>
      <c r="C738" s="37">
        <f t="shared" si="143"/>
        <v>61.251197809719372</v>
      </c>
      <c r="D738" s="37">
        <f>IFERROR(VLOOKUP(A738,Data!$I$3:$J$1442,2),0)</f>
        <v>8.2977562000000005E-2</v>
      </c>
      <c r="E738" s="37">
        <f t="shared" si="144"/>
        <v>8.2777561999999999E-2</v>
      </c>
      <c r="F738" s="37">
        <f t="shared" si="149"/>
        <v>6.2810078590533067E-3</v>
      </c>
      <c r="G738" s="30">
        <f t="shared" si="150"/>
        <v>2633.1031412265716</v>
      </c>
      <c r="H738" s="38">
        <f t="shared" si="145"/>
        <v>156</v>
      </c>
      <c r="I738" s="39">
        <f t="shared" si="146"/>
        <v>156.87611225188226</v>
      </c>
      <c r="J738" s="40">
        <f t="shared" si="147"/>
        <v>61</v>
      </c>
      <c r="K738" s="43">
        <f>VLOOKUP(J738,Data!$Z$3:$AA$122,2)</f>
        <v>0</v>
      </c>
      <c r="L738" s="41">
        <f t="shared" si="148"/>
        <v>0.87611225188226172</v>
      </c>
      <c r="M738" s="43">
        <f>VLOOKUP(H738,Data!$P$3:$X$122,9)</f>
        <v>0</v>
      </c>
      <c r="N738" s="43">
        <f t="shared" si="151"/>
        <v>0</v>
      </c>
      <c r="O738" s="43">
        <f t="shared" si="152"/>
        <v>0</v>
      </c>
      <c r="P738" s="30">
        <f t="shared" si="153"/>
        <v>0</v>
      </c>
      <c r="Q738" s="31">
        <f t="shared" si="155"/>
        <v>848340.75061972369</v>
      </c>
    </row>
    <row r="739" spans="1:17" x14ac:dyDescent="0.25">
      <c r="A739" s="6">
        <f t="shared" si="154"/>
        <v>65684</v>
      </c>
      <c r="B739" s="30">
        <f>IFERROR(VLOOKUP(A739, Data!$L$3:$N$123, 3),1)*Pension</f>
        <v>419216.66081523441</v>
      </c>
      <c r="C739" s="37">
        <f t="shared" si="143"/>
        <v>61.336071184120463</v>
      </c>
      <c r="D739" s="37">
        <f>IFERROR(VLOOKUP(A739,Data!$I$3:$J$1442,2),0)</f>
        <v>8.2959605000000006E-2</v>
      </c>
      <c r="E739" s="37">
        <f t="shared" si="144"/>
        <v>8.2759605E-2</v>
      </c>
      <c r="F739" s="37">
        <f t="shared" si="149"/>
        <v>6.2439079196570579E-3</v>
      </c>
      <c r="G739" s="30">
        <f t="shared" si="150"/>
        <v>2617.5502285164289</v>
      </c>
      <c r="H739" s="38">
        <f t="shared" si="145"/>
        <v>156</v>
      </c>
      <c r="I739" s="39">
        <f t="shared" si="146"/>
        <v>156.96098562628336</v>
      </c>
      <c r="J739" s="40">
        <f t="shared" si="147"/>
        <v>61</v>
      </c>
      <c r="K739" s="43">
        <f>VLOOKUP(J739,Data!$Z$3:$AA$122,2)</f>
        <v>0</v>
      </c>
      <c r="L739" s="41">
        <f t="shared" si="148"/>
        <v>0.96098562628336026</v>
      </c>
      <c r="M739" s="43">
        <f>VLOOKUP(H739,Data!$P$3:$X$122,9)</f>
        <v>0</v>
      </c>
      <c r="N739" s="43">
        <f t="shared" si="151"/>
        <v>0</v>
      </c>
      <c r="O739" s="43">
        <f t="shared" si="152"/>
        <v>0</v>
      </c>
      <c r="P739" s="30">
        <f t="shared" si="153"/>
        <v>0</v>
      </c>
      <c r="Q739" s="31">
        <f t="shared" si="155"/>
        <v>848340.75061972369</v>
      </c>
    </row>
    <row r="740" spans="1:17" x14ac:dyDescent="0.25">
      <c r="A740" s="6">
        <f t="shared" si="154"/>
        <v>65714</v>
      </c>
      <c r="B740" s="30">
        <f>IFERROR(VLOOKUP(A740, Data!$L$3:$N$123, 3),1)*Pension</f>
        <v>419216.66081523441</v>
      </c>
      <c r="C740" s="37">
        <f t="shared" si="143"/>
        <v>61.418206707734427</v>
      </c>
      <c r="D740" s="37">
        <f>IFERROR(VLOOKUP(A740,Data!$I$3:$J$1442,2),0)</f>
        <v>8.2942274999999996E-2</v>
      </c>
      <c r="E740" s="37">
        <f t="shared" si="144"/>
        <v>8.274227499999999E-2</v>
      </c>
      <c r="F740" s="37">
        <f t="shared" si="149"/>
        <v>6.2082132278699614E-3</v>
      </c>
      <c r="G740" s="30">
        <f t="shared" si="150"/>
        <v>2602.586419016613</v>
      </c>
      <c r="H740" s="38">
        <f t="shared" si="145"/>
        <v>157</v>
      </c>
      <c r="I740" s="39">
        <f t="shared" si="146"/>
        <v>157.04312114989733</v>
      </c>
      <c r="J740" s="40">
        <f t="shared" si="147"/>
        <v>62</v>
      </c>
      <c r="K740" s="43">
        <f>VLOOKUP(J740,Data!$Z$3:$AA$122,2)</f>
        <v>0</v>
      </c>
      <c r="L740" s="41">
        <f t="shared" si="148"/>
        <v>4.3121149897331179E-2</v>
      </c>
      <c r="M740" s="43">
        <f>VLOOKUP(H740,Data!$P$3:$X$122,9)</f>
        <v>0</v>
      </c>
      <c r="N740" s="43">
        <f t="shared" si="151"/>
        <v>0</v>
      </c>
      <c r="O740" s="43">
        <f t="shared" si="152"/>
        <v>0</v>
      </c>
      <c r="P740" s="30">
        <f t="shared" si="153"/>
        <v>0</v>
      </c>
      <c r="Q740" s="31">
        <f t="shared" si="155"/>
        <v>848340.75061972369</v>
      </c>
    </row>
    <row r="741" spans="1:17" x14ac:dyDescent="0.25">
      <c r="A741" s="6">
        <f t="shared" si="154"/>
        <v>65745</v>
      </c>
      <c r="B741" s="30">
        <f>IFERROR(VLOOKUP(A741, Data!$L$3:$N$123, 3),1)*Pension</f>
        <v>440177.49385599594</v>
      </c>
      <c r="C741" s="37">
        <f t="shared" si="143"/>
        <v>61.503080082135526</v>
      </c>
      <c r="D741" s="37">
        <f>IFERROR(VLOOKUP(A741,Data!$I$3:$J$1442,2),0)</f>
        <v>8.2924415000000001E-2</v>
      </c>
      <c r="E741" s="37">
        <f t="shared" si="144"/>
        <v>8.2724414999999996E-2</v>
      </c>
      <c r="F741" s="37">
        <f t="shared" si="149"/>
        <v>6.1715434369440285E-3</v>
      </c>
      <c r="G741" s="30">
        <f t="shared" si="150"/>
        <v>2716.5745232974423</v>
      </c>
      <c r="H741" s="38">
        <f t="shared" si="145"/>
        <v>157</v>
      </c>
      <c r="I741" s="39">
        <f t="shared" si="146"/>
        <v>157.12799452429843</v>
      </c>
      <c r="J741" s="40">
        <f t="shared" si="147"/>
        <v>62</v>
      </c>
      <c r="K741" s="43">
        <f>VLOOKUP(J741,Data!$Z$3:$AA$122,2)</f>
        <v>0</v>
      </c>
      <c r="L741" s="41">
        <f t="shared" si="148"/>
        <v>0.12799452429842972</v>
      </c>
      <c r="M741" s="43">
        <f>VLOOKUP(H741,Data!$P$3:$X$122,9)</f>
        <v>0</v>
      </c>
      <c r="N741" s="43">
        <f t="shared" si="151"/>
        <v>0</v>
      </c>
      <c r="O741" s="43">
        <f t="shared" si="152"/>
        <v>0</v>
      </c>
      <c r="P741" s="30">
        <f t="shared" si="153"/>
        <v>0</v>
      </c>
      <c r="Q741" s="31">
        <f t="shared" si="155"/>
        <v>848340.75061972369</v>
      </c>
    </row>
    <row r="742" spans="1:17" x14ac:dyDescent="0.25">
      <c r="A742" s="6">
        <f t="shared" si="154"/>
        <v>65776</v>
      </c>
      <c r="B742" s="30">
        <f>IFERROR(VLOOKUP(A742, Data!$L$3:$N$123, 3),1)*Pension</f>
        <v>440177.49385599594</v>
      </c>
      <c r="C742" s="37">
        <f t="shared" si="143"/>
        <v>61.587953456536617</v>
      </c>
      <c r="D742" s="37">
        <f>IFERROR(VLOOKUP(A742,Data!$I$3:$J$1442,2),0)</f>
        <v>8.2906604999999994E-2</v>
      </c>
      <c r="E742" s="37">
        <f t="shared" si="144"/>
        <v>8.2706604999999989E-2</v>
      </c>
      <c r="F742" s="37">
        <f t="shared" si="149"/>
        <v>6.1350899491527198E-3</v>
      </c>
      <c r="G742" s="30">
        <f t="shared" si="150"/>
        <v>2700.5285183991537</v>
      </c>
      <c r="H742" s="38">
        <f t="shared" si="145"/>
        <v>157</v>
      </c>
      <c r="I742" s="39">
        <f t="shared" si="146"/>
        <v>157.21286789869953</v>
      </c>
      <c r="J742" s="40">
        <f t="shared" si="147"/>
        <v>62</v>
      </c>
      <c r="K742" s="43">
        <f>VLOOKUP(J742,Data!$Z$3:$AA$122,2)</f>
        <v>0</v>
      </c>
      <c r="L742" s="41">
        <f t="shared" si="148"/>
        <v>0.21286789869952827</v>
      </c>
      <c r="M742" s="43">
        <f>VLOOKUP(H742,Data!$P$3:$X$122,9)</f>
        <v>0</v>
      </c>
      <c r="N742" s="43">
        <f t="shared" si="151"/>
        <v>0</v>
      </c>
      <c r="O742" s="43">
        <f t="shared" si="152"/>
        <v>0</v>
      </c>
      <c r="P742" s="30">
        <f t="shared" si="153"/>
        <v>0</v>
      </c>
      <c r="Q742" s="31">
        <f t="shared" si="155"/>
        <v>848340.75061972369</v>
      </c>
    </row>
    <row r="743" spans="1:17" x14ac:dyDescent="0.25">
      <c r="A743" s="6">
        <f t="shared" si="154"/>
        <v>65805</v>
      </c>
      <c r="B743" s="30">
        <f>IFERROR(VLOOKUP(A743, Data!$L$3:$N$123, 3),1)*Pension</f>
        <v>440177.49385599594</v>
      </c>
      <c r="C743" s="37">
        <f t="shared" si="143"/>
        <v>61.667351129363446</v>
      </c>
      <c r="D743" s="37">
        <f>IFERROR(VLOOKUP(A743,Data!$I$3:$J$1442,2),0)</f>
        <v>8.2889987999999998E-2</v>
      </c>
      <c r="E743" s="37">
        <f t="shared" si="144"/>
        <v>8.2689987999999992E-2</v>
      </c>
      <c r="F743" s="37">
        <f t="shared" si="149"/>
        <v>6.1011834106135471E-3</v>
      </c>
      <c r="G743" s="30">
        <f t="shared" si="150"/>
        <v>2685.6036232396491</v>
      </c>
      <c r="H743" s="38">
        <f t="shared" si="145"/>
        <v>157</v>
      </c>
      <c r="I743" s="39">
        <f t="shared" si="146"/>
        <v>157.29226557152634</v>
      </c>
      <c r="J743" s="40">
        <f t="shared" si="147"/>
        <v>62</v>
      </c>
      <c r="K743" s="43">
        <f>VLOOKUP(J743,Data!$Z$3:$AA$122,2)</f>
        <v>0</v>
      </c>
      <c r="L743" s="41">
        <f t="shared" si="148"/>
        <v>0.29226557152634314</v>
      </c>
      <c r="M743" s="43">
        <f>VLOOKUP(H743,Data!$P$3:$X$122,9)</f>
        <v>0</v>
      </c>
      <c r="N743" s="43">
        <f t="shared" si="151"/>
        <v>0</v>
      </c>
      <c r="O743" s="43">
        <f t="shared" si="152"/>
        <v>0</v>
      </c>
      <c r="P743" s="30">
        <f t="shared" si="153"/>
        <v>0</v>
      </c>
      <c r="Q743" s="31">
        <f t="shared" si="155"/>
        <v>848340.75061972369</v>
      </c>
    </row>
    <row r="744" spans="1:17" x14ac:dyDescent="0.25">
      <c r="A744" s="6">
        <f t="shared" si="154"/>
        <v>65836</v>
      </c>
      <c r="B744" s="30">
        <f>IFERROR(VLOOKUP(A744, Data!$L$3:$N$123, 3),1)*Pension</f>
        <v>440177.49385599594</v>
      </c>
      <c r="C744" s="37">
        <f t="shared" si="143"/>
        <v>61.752224503764545</v>
      </c>
      <c r="D744" s="37">
        <f>IFERROR(VLOOKUP(A744,Data!$I$3:$J$1442,2),0)</f>
        <v>8.2872272999999996E-2</v>
      </c>
      <c r="E744" s="37">
        <f t="shared" si="144"/>
        <v>8.2672272999999991E-2</v>
      </c>
      <c r="F744" s="37">
        <f t="shared" si="149"/>
        <v>6.0651454043781187E-3</v>
      </c>
      <c r="G744" s="30">
        <f t="shared" si="150"/>
        <v>2669.7405039713713</v>
      </c>
      <c r="H744" s="38">
        <f t="shared" si="145"/>
        <v>157</v>
      </c>
      <c r="I744" s="39">
        <f t="shared" si="146"/>
        <v>157.37713894592744</v>
      </c>
      <c r="J744" s="40">
        <f t="shared" si="147"/>
        <v>62</v>
      </c>
      <c r="K744" s="43">
        <f>VLOOKUP(J744,Data!$Z$3:$AA$122,2)</f>
        <v>0</v>
      </c>
      <c r="L744" s="41">
        <f t="shared" si="148"/>
        <v>0.37713894592744168</v>
      </c>
      <c r="M744" s="43">
        <f>VLOOKUP(H744,Data!$P$3:$X$122,9)</f>
        <v>0</v>
      </c>
      <c r="N744" s="43">
        <f t="shared" si="151"/>
        <v>0</v>
      </c>
      <c r="O744" s="43">
        <f t="shared" si="152"/>
        <v>0</v>
      </c>
      <c r="P744" s="30">
        <f t="shared" si="153"/>
        <v>0</v>
      </c>
      <c r="Q744" s="31">
        <f t="shared" si="155"/>
        <v>848340.75061972369</v>
      </c>
    </row>
    <row r="745" spans="1:17" x14ac:dyDescent="0.25">
      <c r="A745" s="6">
        <f t="shared" si="154"/>
        <v>65866</v>
      </c>
      <c r="B745" s="30">
        <f>IFERROR(VLOOKUP(A745, Data!$L$3:$N$123, 3),1)*Pension</f>
        <v>440177.49385599594</v>
      </c>
      <c r="C745" s="37">
        <f t="shared" si="143"/>
        <v>61.834360027378509</v>
      </c>
      <c r="D745" s="37">
        <f>IFERROR(VLOOKUP(A745,Data!$I$3:$J$1442,2),0)</f>
        <v>8.2855175000000003E-2</v>
      </c>
      <c r="E745" s="37">
        <f t="shared" si="144"/>
        <v>8.2655174999999997E-2</v>
      </c>
      <c r="F745" s="37">
        <f t="shared" si="149"/>
        <v>6.0304728861188435E-3</v>
      </c>
      <c r="G745" s="30">
        <f t="shared" si="150"/>
        <v>2654.4784417783271</v>
      </c>
      <c r="H745" s="38">
        <f t="shared" si="145"/>
        <v>157</v>
      </c>
      <c r="I745" s="39">
        <f t="shared" si="146"/>
        <v>157.45927446954141</v>
      </c>
      <c r="J745" s="40">
        <f t="shared" si="147"/>
        <v>62</v>
      </c>
      <c r="K745" s="43">
        <f>VLOOKUP(J745,Data!$Z$3:$AA$122,2)</f>
        <v>0</v>
      </c>
      <c r="L745" s="41">
        <f t="shared" si="148"/>
        <v>0.4592744695414126</v>
      </c>
      <c r="M745" s="43">
        <f>VLOOKUP(H745,Data!$P$3:$X$122,9)</f>
        <v>0</v>
      </c>
      <c r="N745" s="43">
        <f t="shared" si="151"/>
        <v>0</v>
      </c>
      <c r="O745" s="43">
        <f t="shared" si="152"/>
        <v>0</v>
      </c>
      <c r="P745" s="30">
        <f t="shared" si="153"/>
        <v>0</v>
      </c>
      <c r="Q745" s="31">
        <f t="shared" si="155"/>
        <v>848340.75061972369</v>
      </c>
    </row>
    <row r="746" spans="1:17" x14ac:dyDescent="0.25">
      <c r="A746" s="6">
        <f t="shared" si="154"/>
        <v>65897</v>
      </c>
      <c r="B746" s="30">
        <f>IFERROR(VLOOKUP(A746, Data!$L$3:$N$123, 3),1)*Pension</f>
        <v>440177.49385599594</v>
      </c>
      <c r="C746" s="37">
        <f t="shared" si="143"/>
        <v>61.9192334017796</v>
      </c>
      <c r="D746" s="37">
        <f>IFERROR(VLOOKUP(A746,Data!$I$3:$J$1442,2),0)</f>
        <v>8.2837554999999993E-2</v>
      </c>
      <c r="E746" s="37">
        <f t="shared" si="144"/>
        <v>8.2637554999999988E-2</v>
      </c>
      <c r="F746" s="37">
        <f t="shared" si="149"/>
        <v>5.9948527328668811E-3</v>
      </c>
      <c r="G746" s="30">
        <f t="shared" si="150"/>
        <v>2638.7992519891122</v>
      </c>
      <c r="H746" s="38">
        <f t="shared" si="145"/>
        <v>157</v>
      </c>
      <c r="I746" s="39">
        <f t="shared" si="146"/>
        <v>157.54414784394251</v>
      </c>
      <c r="J746" s="40">
        <f t="shared" si="147"/>
        <v>62</v>
      </c>
      <c r="K746" s="43">
        <f>VLOOKUP(J746,Data!$Z$3:$AA$122,2)</f>
        <v>0</v>
      </c>
      <c r="L746" s="41">
        <f t="shared" si="148"/>
        <v>0.54414784394251114</v>
      </c>
      <c r="M746" s="43">
        <f>VLOOKUP(H746,Data!$P$3:$X$122,9)</f>
        <v>0</v>
      </c>
      <c r="N746" s="43">
        <f t="shared" si="151"/>
        <v>0</v>
      </c>
      <c r="O746" s="43">
        <f t="shared" si="152"/>
        <v>0</v>
      </c>
      <c r="P746" s="30">
        <f t="shared" si="153"/>
        <v>0</v>
      </c>
      <c r="Q746" s="31">
        <f t="shared" si="155"/>
        <v>848340.75061972369</v>
      </c>
    </row>
    <row r="747" spans="1:17" x14ac:dyDescent="0.25">
      <c r="A747" s="6">
        <f t="shared" si="154"/>
        <v>65927</v>
      </c>
      <c r="B747" s="30">
        <f>IFERROR(VLOOKUP(A747, Data!$L$3:$N$123, 3),1)*Pension</f>
        <v>440177.49385599594</v>
      </c>
      <c r="C747" s="37">
        <f t="shared" si="143"/>
        <v>62.001368925393564</v>
      </c>
      <c r="D747" s="37">
        <f>IFERROR(VLOOKUP(A747,Data!$I$3:$J$1442,2),0)</f>
        <v>8.2820550000000007E-2</v>
      </c>
      <c r="E747" s="37">
        <f t="shared" si="144"/>
        <v>8.2620550000000001E-2</v>
      </c>
      <c r="F747" s="37">
        <f t="shared" si="149"/>
        <v>5.9605817037399556E-3</v>
      </c>
      <c r="G747" s="30">
        <f t="shared" si="150"/>
        <v>2623.7139162761559</v>
      </c>
      <c r="H747" s="38">
        <f t="shared" si="145"/>
        <v>157</v>
      </c>
      <c r="I747" s="39">
        <f t="shared" si="146"/>
        <v>157.62628336755648</v>
      </c>
      <c r="J747" s="40">
        <f t="shared" si="147"/>
        <v>62</v>
      </c>
      <c r="K747" s="43">
        <f>VLOOKUP(J747,Data!$Z$3:$AA$122,2)</f>
        <v>0</v>
      </c>
      <c r="L747" s="41">
        <f t="shared" si="148"/>
        <v>0.62628336755648206</v>
      </c>
      <c r="M747" s="43">
        <f>VLOOKUP(H747,Data!$P$3:$X$122,9)</f>
        <v>0</v>
      </c>
      <c r="N747" s="43">
        <f t="shared" si="151"/>
        <v>0</v>
      </c>
      <c r="O747" s="43">
        <f t="shared" si="152"/>
        <v>0</v>
      </c>
      <c r="P747" s="30">
        <f t="shared" si="153"/>
        <v>0</v>
      </c>
      <c r="Q747" s="31">
        <f t="shared" si="155"/>
        <v>848340.75061972369</v>
      </c>
    </row>
    <row r="748" spans="1:17" x14ac:dyDescent="0.25">
      <c r="A748" s="6">
        <f t="shared" si="154"/>
        <v>65958</v>
      </c>
      <c r="B748" s="30">
        <f>IFERROR(VLOOKUP(A748, Data!$L$3:$N$123, 3),1)*Pension</f>
        <v>440177.49385599594</v>
      </c>
      <c r="C748" s="37">
        <f t="shared" si="143"/>
        <v>62.086242299794662</v>
      </c>
      <c r="D748" s="37">
        <f>IFERROR(VLOOKUP(A748,Data!$I$3:$J$1442,2),0)</f>
        <v>8.2803024000000003E-2</v>
      </c>
      <c r="E748" s="37">
        <f t="shared" si="144"/>
        <v>8.2603023999999997E-2</v>
      </c>
      <c r="F748" s="37">
        <f t="shared" si="149"/>
        <v>5.9253746448611659E-3</v>
      </c>
      <c r="G748" s="30">
        <f t="shared" si="150"/>
        <v>2608.2165613328498</v>
      </c>
      <c r="H748" s="38">
        <f t="shared" si="145"/>
        <v>157</v>
      </c>
      <c r="I748" s="39">
        <f t="shared" si="146"/>
        <v>157.71115674195755</v>
      </c>
      <c r="J748" s="40">
        <f t="shared" si="147"/>
        <v>62</v>
      </c>
      <c r="K748" s="43">
        <f>VLOOKUP(J748,Data!$Z$3:$AA$122,2)</f>
        <v>0</v>
      </c>
      <c r="L748" s="41">
        <f t="shared" si="148"/>
        <v>0.71115674195755219</v>
      </c>
      <c r="M748" s="43">
        <f>VLOOKUP(H748,Data!$P$3:$X$122,9)</f>
        <v>0</v>
      </c>
      <c r="N748" s="43">
        <f t="shared" si="151"/>
        <v>0</v>
      </c>
      <c r="O748" s="43">
        <f t="shared" si="152"/>
        <v>0</v>
      </c>
      <c r="P748" s="30">
        <f t="shared" si="153"/>
        <v>0</v>
      </c>
      <c r="Q748" s="31">
        <f t="shared" si="155"/>
        <v>848340.75061972369</v>
      </c>
    </row>
    <row r="749" spans="1:17" x14ac:dyDescent="0.25">
      <c r="A749" s="6">
        <f t="shared" si="154"/>
        <v>65989</v>
      </c>
      <c r="B749" s="30">
        <f>IFERROR(VLOOKUP(A749, Data!$L$3:$N$123, 3),1)*Pension</f>
        <v>440177.49385599594</v>
      </c>
      <c r="C749" s="37">
        <f t="shared" si="143"/>
        <v>62.171115674195754</v>
      </c>
      <c r="D749" s="37">
        <f>IFERROR(VLOOKUP(A749,Data!$I$3:$J$1442,2),0)</f>
        <v>8.2785547000000001E-2</v>
      </c>
      <c r="E749" s="37">
        <f t="shared" si="144"/>
        <v>8.2585546999999995E-2</v>
      </c>
      <c r="F749" s="37">
        <f t="shared" si="149"/>
        <v>5.8903751211001418E-3</v>
      </c>
      <c r="G749" s="30">
        <f t="shared" si="150"/>
        <v>2592.8105586775691</v>
      </c>
      <c r="H749" s="38">
        <f t="shared" si="145"/>
        <v>157</v>
      </c>
      <c r="I749" s="39">
        <f t="shared" si="146"/>
        <v>157.79603011635865</v>
      </c>
      <c r="J749" s="40">
        <f t="shared" si="147"/>
        <v>62</v>
      </c>
      <c r="K749" s="43">
        <f>VLOOKUP(J749,Data!$Z$3:$AA$122,2)</f>
        <v>0</v>
      </c>
      <c r="L749" s="41">
        <f t="shared" si="148"/>
        <v>0.79603011635865073</v>
      </c>
      <c r="M749" s="43">
        <f>VLOOKUP(H749,Data!$P$3:$X$122,9)</f>
        <v>0</v>
      </c>
      <c r="N749" s="43">
        <f t="shared" si="151"/>
        <v>0</v>
      </c>
      <c r="O749" s="43">
        <f t="shared" si="152"/>
        <v>0</v>
      </c>
      <c r="P749" s="30">
        <f t="shared" si="153"/>
        <v>0</v>
      </c>
      <c r="Q749" s="31">
        <f t="shared" si="155"/>
        <v>848340.75061972369</v>
      </c>
    </row>
    <row r="750" spans="1:17" x14ac:dyDescent="0.25">
      <c r="A750" s="6">
        <f t="shared" si="154"/>
        <v>66019</v>
      </c>
      <c r="B750" s="30">
        <f>IFERROR(VLOOKUP(A750, Data!$L$3:$N$123, 3),1)*Pension</f>
        <v>440177.49385599594</v>
      </c>
      <c r="C750" s="37">
        <f t="shared" si="143"/>
        <v>62.253251197809718</v>
      </c>
      <c r="D750" s="37">
        <f>IFERROR(VLOOKUP(A750,Data!$I$3:$J$1442,2),0)</f>
        <v>8.2768678999999998E-2</v>
      </c>
      <c r="E750" s="37">
        <f t="shared" si="144"/>
        <v>8.2568678999999992E-2</v>
      </c>
      <c r="F750" s="37">
        <f t="shared" si="149"/>
        <v>5.8567015174095897E-3</v>
      </c>
      <c r="G750" s="30">
        <f t="shared" si="150"/>
        <v>2577.9881961959618</v>
      </c>
      <c r="H750" s="38">
        <f t="shared" si="145"/>
        <v>157</v>
      </c>
      <c r="I750" s="39">
        <f t="shared" si="146"/>
        <v>157.87816563997262</v>
      </c>
      <c r="J750" s="40">
        <f t="shared" si="147"/>
        <v>62</v>
      </c>
      <c r="K750" s="43">
        <f>VLOOKUP(J750,Data!$Z$3:$AA$122,2)</f>
        <v>0</v>
      </c>
      <c r="L750" s="41">
        <f t="shared" si="148"/>
        <v>0.87816563997262165</v>
      </c>
      <c r="M750" s="43">
        <f>VLOOKUP(H750,Data!$P$3:$X$122,9)</f>
        <v>0</v>
      </c>
      <c r="N750" s="43">
        <f t="shared" si="151"/>
        <v>0</v>
      </c>
      <c r="O750" s="43">
        <f t="shared" si="152"/>
        <v>0</v>
      </c>
      <c r="P750" s="30">
        <f t="shared" si="153"/>
        <v>0</v>
      </c>
      <c r="Q750" s="31">
        <f t="shared" si="155"/>
        <v>848340.75061972369</v>
      </c>
    </row>
    <row r="751" spans="1:17" x14ac:dyDescent="0.25">
      <c r="A751" s="6">
        <f t="shared" si="154"/>
        <v>66050</v>
      </c>
      <c r="B751" s="30">
        <f>IFERROR(VLOOKUP(A751, Data!$L$3:$N$123, 3),1)*Pension</f>
        <v>440177.49385599594</v>
      </c>
      <c r="C751" s="37">
        <f t="shared" si="143"/>
        <v>62.338124572210816</v>
      </c>
      <c r="D751" s="37">
        <f>IFERROR(VLOOKUP(A751,Data!$I$3:$J$1442,2),0)</f>
        <v>8.2751295000000002E-2</v>
      </c>
      <c r="E751" s="37">
        <f t="shared" si="144"/>
        <v>8.2551294999999997E-2</v>
      </c>
      <c r="F751" s="37">
        <f t="shared" si="149"/>
        <v>5.8221078381284529E-3</v>
      </c>
      <c r="G751" s="30">
        <f t="shared" si="150"/>
        <v>2562.7608371467327</v>
      </c>
      <c r="H751" s="38">
        <f t="shared" si="145"/>
        <v>157</v>
      </c>
      <c r="I751" s="39">
        <f t="shared" si="146"/>
        <v>157.96303901437372</v>
      </c>
      <c r="J751" s="40">
        <f t="shared" si="147"/>
        <v>62</v>
      </c>
      <c r="K751" s="43">
        <f>VLOOKUP(J751,Data!$Z$3:$AA$122,2)</f>
        <v>0</v>
      </c>
      <c r="L751" s="41">
        <f t="shared" si="148"/>
        <v>0.96303901437372019</v>
      </c>
      <c r="M751" s="43">
        <f>VLOOKUP(H751,Data!$P$3:$X$122,9)</f>
        <v>0</v>
      </c>
      <c r="N751" s="43">
        <f t="shared" si="151"/>
        <v>0</v>
      </c>
      <c r="O751" s="43">
        <f t="shared" si="152"/>
        <v>0</v>
      </c>
      <c r="P751" s="30">
        <f t="shared" si="153"/>
        <v>0</v>
      </c>
      <c r="Q751" s="31">
        <f t="shared" si="155"/>
        <v>848340.75061972369</v>
      </c>
    </row>
    <row r="752" spans="1:17" x14ac:dyDescent="0.25">
      <c r="A752" s="6">
        <f t="shared" si="154"/>
        <v>66080</v>
      </c>
      <c r="B752" s="30">
        <f>IFERROR(VLOOKUP(A752, Data!$L$3:$N$123, 3),1)*Pension</f>
        <v>440177.49385599594</v>
      </c>
      <c r="C752" s="37">
        <f t="shared" si="143"/>
        <v>62.42026009582478</v>
      </c>
      <c r="D752" s="37">
        <f>IFERROR(VLOOKUP(A752,Data!$I$3:$J$1442,2),0)</f>
        <v>8.2734516999999994E-2</v>
      </c>
      <c r="E752" s="37">
        <f t="shared" si="144"/>
        <v>8.2534516999999988E-2</v>
      </c>
      <c r="F752" s="37">
        <f t="shared" si="149"/>
        <v>5.7888245720032162E-3</v>
      </c>
      <c r="G752" s="30">
        <f t="shared" si="150"/>
        <v>2548.1102924763841</v>
      </c>
      <c r="H752" s="38">
        <f t="shared" si="145"/>
        <v>158</v>
      </c>
      <c r="I752" s="39">
        <f t="shared" si="146"/>
        <v>158.04517453798769</v>
      </c>
      <c r="J752" s="40">
        <f t="shared" si="147"/>
        <v>63</v>
      </c>
      <c r="K752" s="43">
        <f>VLOOKUP(J752,Data!$Z$3:$AA$122,2)</f>
        <v>0</v>
      </c>
      <c r="L752" s="41">
        <f t="shared" si="148"/>
        <v>4.517453798769111E-2</v>
      </c>
      <c r="M752" s="43">
        <f>VLOOKUP(H752,Data!$P$3:$X$122,9)</f>
        <v>0</v>
      </c>
      <c r="N752" s="43">
        <f t="shared" si="151"/>
        <v>0</v>
      </c>
      <c r="O752" s="43">
        <f t="shared" si="152"/>
        <v>0</v>
      </c>
      <c r="P752" s="30">
        <f t="shared" si="153"/>
        <v>0</v>
      </c>
      <c r="Q752" s="31">
        <f t="shared" si="155"/>
        <v>848340.75061972369</v>
      </c>
    </row>
    <row r="753" spans="1:17" x14ac:dyDescent="0.25">
      <c r="A753" s="6">
        <f t="shared" si="154"/>
        <v>66111</v>
      </c>
      <c r="B753" s="30">
        <f>IFERROR(VLOOKUP(A753, Data!$L$3:$N$123, 3),1)*Pension</f>
        <v>462186.36854879599</v>
      </c>
      <c r="C753" s="37">
        <f t="shared" si="143"/>
        <v>62.505133470225871</v>
      </c>
      <c r="D753" s="37">
        <f>IFERROR(VLOOKUP(A753,Data!$I$3:$J$1442,2),0)</f>
        <v>8.2717226000000005E-2</v>
      </c>
      <c r="E753" s="37">
        <f t="shared" si="144"/>
        <v>8.2517225999999999E-2</v>
      </c>
      <c r="F753" s="37">
        <f t="shared" si="149"/>
        <v>5.7546317613335826E-3</v>
      </c>
      <c r="G753" s="30">
        <f t="shared" si="150"/>
        <v>2659.7123561063304</v>
      </c>
      <c r="H753" s="38">
        <f t="shared" si="145"/>
        <v>158</v>
      </c>
      <c r="I753" s="39">
        <f t="shared" si="146"/>
        <v>158.13004791238876</v>
      </c>
      <c r="J753" s="40">
        <f t="shared" si="147"/>
        <v>63</v>
      </c>
      <c r="K753" s="43">
        <f>VLOOKUP(J753,Data!$Z$3:$AA$122,2)</f>
        <v>0</v>
      </c>
      <c r="L753" s="41">
        <f t="shared" si="148"/>
        <v>0.13004791238876123</v>
      </c>
      <c r="M753" s="43">
        <f>VLOOKUP(H753,Data!$P$3:$X$122,9)</f>
        <v>0</v>
      </c>
      <c r="N753" s="43">
        <f t="shared" si="151"/>
        <v>0</v>
      </c>
      <c r="O753" s="43">
        <f t="shared" si="152"/>
        <v>0</v>
      </c>
      <c r="P753" s="30">
        <f t="shared" si="153"/>
        <v>0</v>
      </c>
      <c r="Q753" s="31">
        <f t="shared" si="155"/>
        <v>848340.75061972369</v>
      </c>
    </row>
    <row r="754" spans="1:17" x14ac:dyDescent="0.25">
      <c r="A754" s="6">
        <f t="shared" si="154"/>
        <v>66142</v>
      </c>
      <c r="B754" s="30">
        <f>IFERROR(VLOOKUP(A754, Data!$L$3:$N$123, 3),1)*Pension</f>
        <v>462186.36854879599</v>
      </c>
      <c r="C754" s="37">
        <f t="shared" si="143"/>
        <v>62.59000684462697</v>
      </c>
      <c r="D754" s="37">
        <f>IFERROR(VLOOKUP(A754,Data!$I$3:$J$1442,2),0)</f>
        <v>8.2699982000000005E-2</v>
      </c>
      <c r="E754" s="37">
        <f t="shared" si="144"/>
        <v>8.2499981999999999E-2</v>
      </c>
      <c r="F754" s="37">
        <f t="shared" si="149"/>
        <v>5.7206408791248475E-3</v>
      </c>
      <c r="G754" s="30">
        <f t="shared" si="150"/>
        <v>2644.0022336945049</v>
      </c>
      <c r="H754" s="38">
        <f t="shared" si="145"/>
        <v>158</v>
      </c>
      <c r="I754" s="39">
        <f t="shared" si="146"/>
        <v>158.21492128678986</v>
      </c>
      <c r="J754" s="40">
        <f t="shared" si="147"/>
        <v>63</v>
      </c>
      <c r="K754" s="43">
        <f>VLOOKUP(J754,Data!$Z$3:$AA$122,2)</f>
        <v>0</v>
      </c>
      <c r="L754" s="41">
        <f t="shared" si="148"/>
        <v>0.21492128678985978</v>
      </c>
      <c r="M754" s="43">
        <f>VLOOKUP(H754,Data!$P$3:$X$122,9)</f>
        <v>0</v>
      </c>
      <c r="N754" s="43">
        <f t="shared" si="151"/>
        <v>0</v>
      </c>
      <c r="O754" s="43">
        <f t="shared" si="152"/>
        <v>0</v>
      </c>
      <c r="P754" s="30">
        <f t="shared" si="153"/>
        <v>0</v>
      </c>
      <c r="Q754" s="31">
        <f t="shared" si="155"/>
        <v>848340.75061972369</v>
      </c>
    </row>
    <row r="755" spans="1:17" x14ac:dyDescent="0.25">
      <c r="A755" s="6">
        <f t="shared" si="154"/>
        <v>66170</v>
      </c>
      <c r="B755" s="30">
        <f>IFERROR(VLOOKUP(A755, Data!$L$3:$N$123, 3),1)*Pension</f>
        <v>462186.36854879599</v>
      </c>
      <c r="C755" s="37">
        <f t="shared" si="143"/>
        <v>62.666666666666664</v>
      </c>
      <c r="D755" s="37">
        <f>IFERROR(VLOOKUP(A755,Data!$I$3:$J$1442,2),0)</f>
        <v>8.2684446999999994E-2</v>
      </c>
      <c r="E755" s="37">
        <f t="shared" si="144"/>
        <v>8.2484446999999989E-2</v>
      </c>
      <c r="F755" s="37">
        <f t="shared" si="149"/>
        <v>5.6901120116576165E-3</v>
      </c>
      <c r="G755" s="30">
        <f t="shared" si="150"/>
        <v>2629.892207303918</v>
      </c>
      <c r="H755" s="38">
        <f t="shared" si="145"/>
        <v>158</v>
      </c>
      <c r="I755" s="39">
        <f t="shared" si="146"/>
        <v>158.29158110882958</v>
      </c>
      <c r="J755" s="40">
        <f t="shared" si="147"/>
        <v>63</v>
      </c>
      <c r="K755" s="43">
        <f>VLOOKUP(J755,Data!$Z$3:$AA$122,2)</f>
        <v>0</v>
      </c>
      <c r="L755" s="41">
        <f t="shared" si="148"/>
        <v>0.29158110882957544</v>
      </c>
      <c r="M755" s="43">
        <f>VLOOKUP(H755,Data!$P$3:$X$122,9)</f>
        <v>0</v>
      </c>
      <c r="N755" s="43">
        <f t="shared" si="151"/>
        <v>0</v>
      </c>
      <c r="O755" s="43">
        <f t="shared" si="152"/>
        <v>0</v>
      </c>
      <c r="P755" s="30">
        <f t="shared" si="153"/>
        <v>0</v>
      </c>
      <c r="Q755" s="31">
        <f t="shared" si="155"/>
        <v>848340.75061972369</v>
      </c>
    </row>
    <row r="756" spans="1:17" x14ac:dyDescent="0.25">
      <c r="A756" s="6">
        <f t="shared" si="154"/>
        <v>66201</v>
      </c>
      <c r="B756" s="30">
        <f>IFERROR(VLOOKUP(A756, Data!$L$3:$N$123, 3),1)*Pension</f>
        <v>462186.36854879599</v>
      </c>
      <c r="C756" s="37">
        <f t="shared" si="143"/>
        <v>62.751540041067763</v>
      </c>
      <c r="D756" s="37">
        <f>IFERROR(VLOOKUP(A756,Data!$I$3:$J$1442,2),0)</f>
        <v>8.2667292000000003E-2</v>
      </c>
      <c r="E756" s="37">
        <f t="shared" si="144"/>
        <v>8.2467291999999998E-2</v>
      </c>
      <c r="F756" s="37">
        <f t="shared" si="149"/>
        <v>5.6565021301326684E-3</v>
      </c>
      <c r="G756" s="30">
        <f t="shared" si="150"/>
        <v>2614.358178214547</v>
      </c>
      <c r="H756" s="38">
        <f t="shared" si="145"/>
        <v>158</v>
      </c>
      <c r="I756" s="39">
        <f t="shared" si="146"/>
        <v>158.37645448323067</v>
      </c>
      <c r="J756" s="40">
        <f t="shared" si="147"/>
        <v>63</v>
      </c>
      <c r="K756" s="43">
        <f>VLOOKUP(J756,Data!$Z$3:$AA$122,2)</f>
        <v>0</v>
      </c>
      <c r="L756" s="41">
        <f t="shared" si="148"/>
        <v>0.37645448323067399</v>
      </c>
      <c r="M756" s="43">
        <f>VLOOKUP(H756,Data!$P$3:$X$122,9)</f>
        <v>0</v>
      </c>
      <c r="N756" s="43">
        <f t="shared" si="151"/>
        <v>0</v>
      </c>
      <c r="O756" s="43">
        <f t="shared" si="152"/>
        <v>0</v>
      </c>
      <c r="P756" s="30">
        <f t="shared" si="153"/>
        <v>0</v>
      </c>
      <c r="Q756" s="31">
        <f t="shared" si="155"/>
        <v>848340.75061972369</v>
      </c>
    </row>
    <row r="757" spans="1:17" x14ac:dyDescent="0.25">
      <c r="A757" s="6">
        <f t="shared" si="154"/>
        <v>66231</v>
      </c>
      <c r="B757" s="30">
        <f>IFERROR(VLOOKUP(A757, Data!$L$3:$N$123, 3),1)*Pension</f>
        <v>462186.36854879599</v>
      </c>
      <c r="C757" s="37">
        <f t="shared" si="143"/>
        <v>62.833675564681727</v>
      </c>
      <c r="D757" s="37">
        <f>IFERROR(VLOOKUP(A757,Data!$I$3:$J$1442,2),0)</f>
        <v>8.2650734000000003E-2</v>
      </c>
      <c r="E757" s="37">
        <f t="shared" si="144"/>
        <v>8.2450733999999998E-2</v>
      </c>
      <c r="F757" s="37">
        <f t="shared" si="149"/>
        <v>5.6241656531297729E-3</v>
      </c>
      <c r="G757" s="30">
        <f t="shared" si="150"/>
        <v>2599.4126993369173</v>
      </c>
      <c r="H757" s="38">
        <f t="shared" si="145"/>
        <v>158</v>
      </c>
      <c r="I757" s="39">
        <f t="shared" si="146"/>
        <v>158.45859000684462</v>
      </c>
      <c r="J757" s="40">
        <f t="shared" si="147"/>
        <v>63</v>
      </c>
      <c r="K757" s="43">
        <f>VLOOKUP(J757,Data!$Z$3:$AA$122,2)</f>
        <v>0</v>
      </c>
      <c r="L757" s="41">
        <f t="shared" si="148"/>
        <v>0.45859000684461648</v>
      </c>
      <c r="M757" s="43">
        <f>VLOOKUP(H757,Data!$P$3:$X$122,9)</f>
        <v>0</v>
      </c>
      <c r="N757" s="43">
        <f t="shared" si="151"/>
        <v>0</v>
      </c>
      <c r="O757" s="43">
        <f t="shared" si="152"/>
        <v>0</v>
      </c>
      <c r="P757" s="30">
        <f t="shared" si="153"/>
        <v>0</v>
      </c>
      <c r="Q757" s="31">
        <f t="shared" si="155"/>
        <v>848340.75061972369</v>
      </c>
    </row>
    <row r="758" spans="1:17" x14ac:dyDescent="0.25">
      <c r="A758" s="6">
        <f t="shared" si="154"/>
        <v>66262</v>
      </c>
      <c r="B758" s="30">
        <f>IFERROR(VLOOKUP(A758, Data!$L$3:$N$123, 3),1)*Pension</f>
        <v>462186.36854879599</v>
      </c>
      <c r="C758" s="37">
        <f t="shared" si="143"/>
        <v>62.918548939082818</v>
      </c>
      <c r="D758" s="37">
        <f>IFERROR(VLOOKUP(A758,Data!$I$3:$J$1442,2),0)</f>
        <v>8.2633669000000007E-2</v>
      </c>
      <c r="E758" s="37">
        <f t="shared" si="144"/>
        <v>8.2433669000000001E-2</v>
      </c>
      <c r="F758" s="37">
        <f t="shared" si="149"/>
        <v>5.5909456542511879E-3</v>
      </c>
      <c r="G758" s="30">
        <f t="shared" si="150"/>
        <v>2584.0588686920287</v>
      </c>
      <c r="H758" s="38">
        <f t="shared" si="145"/>
        <v>158</v>
      </c>
      <c r="I758" s="39">
        <f t="shared" si="146"/>
        <v>158.54346338124572</v>
      </c>
      <c r="J758" s="40">
        <f t="shared" si="147"/>
        <v>63</v>
      </c>
      <c r="K758" s="43">
        <f>VLOOKUP(J758,Data!$Z$3:$AA$122,2)</f>
        <v>0</v>
      </c>
      <c r="L758" s="41">
        <f t="shared" si="148"/>
        <v>0.54346338124571503</v>
      </c>
      <c r="M758" s="43">
        <f>VLOOKUP(H758,Data!$P$3:$X$122,9)</f>
        <v>0</v>
      </c>
      <c r="N758" s="43">
        <f t="shared" si="151"/>
        <v>0</v>
      </c>
      <c r="O758" s="43">
        <f t="shared" si="152"/>
        <v>0</v>
      </c>
      <c r="P758" s="30">
        <f t="shared" si="153"/>
        <v>0</v>
      </c>
      <c r="Q758" s="31">
        <f t="shared" si="155"/>
        <v>848340.75061972369</v>
      </c>
    </row>
    <row r="759" spans="1:17" x14ac:dyDescent="0.25">
      <c r="A759" s="6">
        <f t="shared" si="154"/>
        <v>66292</v>
      </c>
      <c r="B759" s="30">
        <f>IFERROR(VLOOKUP(A759, Data!$L$3:$N$123, 3),1)*Pension</f>
        <v>462186.36854879599</v>
      </c>
      <c r="C759" s="37">
        <f t="shared" si="143"/>
        <v>63.000684462696782</v>
      </c>
      <c r="D759" s="37">
        <f>IFERROR(VLOOKUP(A759,Data!$I$3:$J$1442,2),0)</f>
        <v>8.2617199000000002E-2</v>
      </c>
      <c r="E759" s="37">
        <f t="shared" si="144"/>
        <v>8.2417198999999997E-2</v>
      </c>
      <c r="F759" s="37">
        <f t="shared" si="149"/>
        <v>5.558983848418542E-3</v>
      </c>
      <c r="G759" s="30">
        <f t="shared" si="150"/>
        <v>2569.2865577219764</v>
      </c>
      <c r="H759" s="38">
        <f t="shared" si="145"/>
        <v>158</v>
      </c>
      <c r="I759" s="39">
        <f t="shared" si="146"/>
        <v>158.62559890485969</v>
      </c>
      <c r="J759" s="40">
        <f t="shared" si="147"/>
        <v>63</v>
      </c>
      <c r="K759" s="43">
        <f>VLOOKUP(J759,Data!$Z$3:$AA$122,2)</f>
        <v>0</v>
      </c>
      <c r="L759" s="41">
        <f t="shared" si="148"/>
        <v>0.62559890485968594</v>
      </c>
      <c r="M759" s="43">
        <f>VLOOKUP(H759,Data!$P$3:$X$122,9)</f>
        <v>0</v>
      </c>
      <c r="N759" s="43">
        <f t="shared" si="151"/>
        <v>0</v>
      </c>
      <c r="O759" s="43">
        <f t="shared" si="152"/>
        <v>0</v>
      </c>
      <c r="P759" s="30">
        <f t="shared" si="153"/>
        <v>0</v>
      </c>
      <c r="Q759" s="31">
        <f t="shared" si="155"/>
        <v>848340.75061972369</v>
      </c>
    </row>
    <row r="760" spans="1:17" x14ac:dyDescent="0.25">
      <c r="A760" s="6">
        <f t="shared" si="154"/>
        <v>66323</v>
      </c>
      <c r="B760" s="30">
        <f>IFERROR(VLOOKUP(A760, Data!$L$3:$N$123, 3),1)*Pension</f>
        <v>462186.36854879599</v>
      </c>
      <c r="C760" s="37">
        <f t="shared" si="143"/>
        <v>63.08555783709788</v>
      </c>
      <c r="D760" s="37">
        <f>IFERROR(VLOOKUP(A760,Data!$I$3:$J$1442,2),0)</f>
        <v>8.2600224999999999E-2</v>
      </c>
      <c r="E760" s="37">
        <f t="shared" si="144"/>
        <v>8.2400224999999994E-2</v>
      </c>
      <c r="F760" s="37">
        <f t="shared" si="149"/>
        <v>5.5261486096964607E-3</v>
      </c>
      <c r="G760" s="30">
        <f t="shared" si="150"/>
        <v>2554.1105579765849</v>
      </c>
      <c r="H760" s="38">
        <f t="shared" si="145"/>
        <v>158</v>
      </c>
      <c r="I760" s="39">
        <f t="shared" si="146"/>
        <v>158.71047227926078</v>
      </c>
      <c r="J760" s="40">
        <f t="shared" si="147"/>
        <v>63</v>
      </c>
      <c r="K760" s="43">
        <f>VLOOKUP(J760,Data!$Z$3:$AA$122,2)</f>
        <v>0</v>
      </c>
      <c r="L760" s="41">
        <f t="shared" si="148"/>
        <v>0.71047227926078449</v>
      </c>
      <c r="M760" s="43">
        <f>VLOOKUP(H760,Data!$P$3:$X$122,9)</f>
        <v>0</v>
      </c>
      <c r="N760" s="43">
        <f t="shared" si="151"/>
        <v>0</v>
      </c>
      <c r="O760" s="43">
        <f t="shared" si="152"/>
        <v>0</v>
      </c>
      <c r="P760" s="30">
        <f t="shared" si="153"/>
        <v>0</v>
      </c>
      <c r="Q760" s="31">
        <f t="shared" si="155"/>
        <v>848340.75061972369</v>
      </c>
    </row>
    <row r="761" spans="1:17" x14ac:dyDescent="0.25">
      <c r="A761" s="6">
        <f t="shared" si="154"/>
        <v>66354</v>
      </c>
      <c r="B761" s="30">
        <f>IFERROR(VLOOKUP(A761, Data!$L$3:$N$123, 3),1)*Pension</f>
        <v>462186.36854879599</v>
      </c>
      <c r="C761" s="37">
        <f t="shared" si="143"/>
        <v>63.170431211498972</v>
      </c>
      <c r="D761" s="37">
        <f>IFERROR(VLOOKUP(A761,Data!$I$3:$J$1442,2),0)</f>
        <v>8.2583297E-2</v>
      </c>
      <c r="E761" s="37">
        <f t="shared" si="144"/>
        <v>8.2383296999999994E-2</v>
      </c>
      <c r="F761" s="37">
        <f t="shared" si="149"/>
        <v>5.4935071839005145E-3</v>
      </c>
      <c r="G761" s="30">
        <f t="shared" si="150"/>
        <v>2539.0241359237016</v>
      </c>
      <c r="H761" s="38">
        <f t="shared" si="145"/>
        <v>158</v>
      </c>
      <c r="I761" s="39">
        <f t="shared" si="146"/>
        <v>158.79534565366188</v>
      </c>
      <c r="J761" s="40">
        <f t="shared" si="147"/>
        <v>63</v>
      </c>
      <c r="K761" s="43">
        <f>VLOOKUP(J761,Data!$Z$3:$AA$122,2)</f>
        <v>0</v>
      </c>
      <c r="L761" s="41">
        <f t="shared" si="148"/>
        <v>0.79534565366188303</v>
      </c>
      <c r="M761" s="43">
        <f>VLOOKUP(H761,Data!$P$3:$X$122,9)</f>
        <v>0</v>
      </c>
      <c r="N761" s="43">
        <f t="shared" si="151"/>
        <v>0</v>
      </c>
      <c r="O761" s="43">
        <f t="shared" si="152"/>
        <v>0</v>
      </c>
      <c r="P761" s="30">
        <f t="shared" si="153"/>
        <v>0</v>
      </c>
      <c r="Q761" s="31">
        <f t="shared" si="155"/>
        <v>848340.75061972369</v>
      </c>
    </row>
    <row r="762" spans="1:17" x14ac:dyDescent="0.25">
      <c r="A762" s="6">
        <f t="shared" si="154"/>
        <v>66384</v>
      </c>
      <c r="B762" s="30">
        <f>IFERROR(VLOOKUP(A762, Data!$L$3:$N$123, 3),1)*Pension</f>
        <v>462186.36854879599</v>
      </c>
      <c r="C762" s="37">
        <f t="shared" si="143"/>
        <v>63.252566735112936</v>
      </c>
      <c r="D762" s="37">
        <f>IFERROR(VLOOKUP(A762,Data!$I$3:$J$1442,2),0)</f>
        <v>8.2566957999999996E-2</v>
      </c>
      <c r="E762" s="37">
        <f t="shared" si="144"/>
        <v>8.236695799999999E-2</v>
      </c>
      <c r="F762" s="37">
        <f t="shared" si="149"/>
        <v>5.4621024039963771E-3</v>
      </c>
      <c r="G762" s="30">
        <f t="shared" si="150"/>
        <v>2524.5092747447343</v>
      </c>
      <c r="H762" s="38">
        <f t="shared" si="145"/>
        <v>158</v>
      </c>
      <c r="I762" s="39">
        <f t="shared" si="146"/>
        <v>158.87748117727583</v>
      </c>
      <c r="J762" s="40">
        <f t="shared" si="147"/>
        <v>63</v>
      </c>
      <c r="K762" s="43">
        <f>VLOOKUP(J762,Data!$Z$3:$AA$122,2)</f>
        <v>0</v>
      </c>
      <c r="L762" s="41">
        <f t="shared" si="148"/>
        <v>0.87748117727582553</v>
      </c>
      <c r="M762" s="43">
        <f>VLOOKUP(H762,Data!$P$3:$X$122,9)</f>
        <v>0</v>
      </c>
      <c r="N762" s="43">
        <f t="shared" si="151"/>
        <v>0</v>
      </c>
      <c r="O762" s="43">
        <f t="shared" si="152"/>
        <v>0</v>
      </c>
      <c r="P762" s="30">
        <f t="shared" si="153"/>
        <v>0</v>
      </c>
      <c r="Q762" s="31">
        <f t="shared" si="155"/>
        <v>848340.75061972369</v>
      </c>
    </row>
    <row r="763" spans="1:17" x14ac:dyDescent="0.25">
      <c r="A763" s="6">
        <f t="shared" si="154"/>
        <v>66415</v>
      </c>
      <c r="B763" s="30">
        <f>IFERROR(VLOOKUP(A763, Data!$L$3:$N$123, 3),1)*Pension</f>
        <v>462186.36854879599</v>
      </c>
      <c r="C763" s="37">
        <f t="shared" si="143"/>
        <v>63.337440109514034</v>
      </c>
      <c r="D763" s="37">
        <f>IFERROR(VLOOKUP(A763,Data!$I$3:$J$1442,2),0)</f>
        <v>8.2550118000000006E-2</v>
      </c>
      <c r="E763" s="37">
        <f t="shared" si="144"/>
        <v>8.2350118E-2</v>
      </c>
      <c r="F763" s="37">
        <f t="shared" si="149"/>
        <v>5.4298396989915449E-3</v>
      </c>
      <c r="G763" s="30">
        <f t="shared" si="150"/>
        <v>2509.5978922789895</v>
      </c>
      <c r="H763" s="38">
        <f t="shared" si="145"/>
        <v>158</v>
      </c>
      <c r="I763" s="39">
        <f t="shared" si="146"/>
        <v>158.96235455167692</v>
      </c>
      <c r="J763" s="40">
        <f t="shared" si="147"/>
        <v>63</v>
      </c>
      <c r="K763" s="43">
        <f>VLOOKUP(J763,Data!$Z$3:$AA$122,2)</f>
        <v>0</v>
      </c>
      <c r="L763" s="41">
        <f t="shared" si="148"/>
        <v>0.96235455167692407</v>
      </c>
      <c r="M763" s="43">
        <f>VLOOKUP(H763,Data!$P$3:$X$122,9)</f>
        <v>0</v>
      </c>
      <c r="N763" s="43">
        <f t="shared" si="151"/>
        <v>0</v>
      </c>
      <c r="O763" s="43">
        <f t="shared" si="152"/>
        <v>0</v>
      </c>
      <c r="P763" s="30">
        <f t="shared" si="153"/>
        <v>0</v>
      </c>
      <c r="Q763" s="31">
        <f t="shared" si="155"/>
        <v>848340.75061972369</v>
      </c>
    </row>
    <row r="764" spans="1:17" x14ac:dyDescent="0.25">
      <c r="A764" s="6">
        <f t="shared" si="154"/>
        <v>66445</v>
      </c>
      <c r="B764" s="30">
        <f>IFERROR(VLOOKUP(A764, Data!$L$3:$N$123, 3),1)*Pension</f>
        <v>462186.36854879599</v>
      </c>
      <c r="C764" s="37">
        <f t="shared" si="143"/>
        <v>63.419575633127998</v>
      </c>
      <c r="D764" s="37">
        <f>IFERROR(VLOOKUP(A764,Data!$I$3:$J$1442,2),0)</f>
        <v>8.2533864999999998E-2</v>
      </c>
      <c r="E764" s="37">
        <f t="shared" si="144"/>
        <v>8.2333864999999992E-2</v>
      </c>
      <c r="F764" s="37">
        <f t="shared" si="149"/>
        <v>5.3987988867346091E-3</v>
      </c>
      <c r="G764" s="30">
        <f t="shared" si="150"/>
        <v>2495.2512519851516</v>
      </c>
      <c r="H764" s="38">
        <f t="shared" si="145"/>
        <v>159</v>
      </c>
      <c r="I764" s="39">
        <f t="shared" si="146"/>
        <v>159.04449007529089</v>
      </c>
      <c r="J764" s="40">
        <f t="shared" si="147"/>
        <v>64</v>
      </c>
      <c r="K764" s="43">
        <f>VLOOKUP(J764,Data!$Z$3:$AA$122,2)</f>
        <v>0</v>
      </c>
      <c r="L764" s="41">
        <f t="shared" si="148"/>
        <v>4.4490075290894993E-2</v>
      </c>
      <c r="M764" s="43">
        <f>VLOOKUP(H764,Data!$P$3:$X$122,9)</f>
        <v>0</v>
      </c>
      <c r="N764" s="43">
        <f t="shared" si="151"/>
        <v>0</v>
      </c>
      <c r="O764" s="43">
        <f t="shared" si="152"/>
        <v>0</v>
      </c>
      <c r="P764" s="30">
        <f t="shared" si="153"/>
        <v>0</v>
      </c>
      <c r="Q764" s="31">
        <f t="shared" si="155"/>
        <v>848340.75061972369</v>
      </c>
    </row>
    <row r="765" spans="1:17" x14ac:dyDescent="0.25">
      <c r="A765" s="6">
        <f t="shared" si="154"/>
        <v>66476</v>
      </c>
      <c r="B765" s="30">
        <f>IFERROR(VLOOKUP(A765, Data!$L$3:$N$123, 3),1)*Pension</f>
        <v>485295.68697623571</v>
      </c>
      <c r="C765" s="37">
        <f t="shared" si="143"/>
        <v>63.504449007529089</v>
      </c>
      <c r="D765" s="37">
        <f>IFERROR(VLOOKUP(A765,Data!$I$3:$J$1442,2),0)</f>
        <v>8.2517115000000002E-2</v>
      </c>
      <c r="E765" s="37">
        <f t="shared" si="144"/>
        <v>8.2317114999999996E-2</v>
      </c>
      <c r="F765" s="37">
        <f t="shared" si="149"/>
        <v>5.3669095873297989E-3</v>
      </c>
      <c r="G765" s="30">
        <f t="shared" si="150"/>
        <v>2604.5380751225603</v>
      </c>
      <c r="H765" s="38">
        <f t="shared" si="145"/>
        <v>159</v>
      </c>
      <c r="I765" s="39">
        <f t="shared" si="146"/>
        <v>159.12936344969199</v>
      </c>
      <c r="J765" s="40">
        <f t="shared" si="147"/>
        <v>64</v>
      </c>
      <c r="K765" s="43">
        <f>VLOOKUP(J765,Data!$Z$3:$AA$122,2)</f>
        <v>0</v>
      </c>
      <c r="L765" s="41">
        <f t="shared" si="148"/>
        <v>0.12936344969199354</v>
      </c>
      <c r="M765" s="43">
        <f>VLOOKUP(H765,Data!$P$3:$X$122,9)</f>
        <v>0</v>
      </c>
      <c r="N765" s="43">
        <f t="shared" si="151"/>
        <v>0</v>
      </c>
      <c r="O765" s="43">
        <f t="shared" si="152"/>
        <v>0</v>
      </c>
      <c r="P765" s="30">
        <f t="shared" si="153"/>
        <v>0</v>
      </c>
      <c r="Q765" s="31">
        <f t="shared" si="155"/>
        <v>848340.75061972369</v>
      </c>
    </row>
    <row r="766" spans="1:17" x14ac:dyDescent="0.25">
      <c r="A766" s="6">
        <f t="shared" si="154"/>
        <v>66507</v>
      </c>
      <c r="B766" s="30">
        <f>IFERROR(VLOOKUP(A766, Data!$L$3:$N$123, 3),1)*Pension</f>
        <v>485295.68697623571</v>
      </c>
      <c r="C766" s="37">
        <f t="shared" si="143"/>
        <v>63.589322381930188</v>
      </c>
      <c r="D766" s="37">
        <f>IFERROR(VLOOKUP(A766,Data!$I$3:$J$1442,2),0)</f>
        <v>8.2500408999999997E-2</v>
      </c>
      <c r="E766" s="37">
        <f t="shared" si="144"/>
        <v>8.2300408999999991E-2</v>
      </c>
      <c r="F766" s="37">
        <f t="shared" si="149"/>
        <v>5.3352088915475278E-3</v>
      </c>
      <c r="G766" s="30">
        <f t="shared" si="150"/>
        <v>2589.1538641852785</v>
      </c>
      <c r="H766" s="38">
        <f t="shared" si="145"/>
        <v>159</v>
      </c>
      <c r="I766" s="39">
        <f t="shared" si="146"/>
        <v>159.21423682409309</v>
      </c>
      <c r="J766" s="40">
        <f t="shared" si="147"/>
        <v>64</v>
      </c>
      <c r="K766" s="43">
        <f>VLOOKUP(J766,Data!$Z$3:$AA$122,2)</f>
        <v>0</v>
      </c>
      <c r="L766" s="41">
        <f t="shared" si="148"/>
        <v>0.21423682409309208</v>
      </c>
      <c r="M766" s="43">
        <f>VLOOKUP(H766,Data!$P$3:$X$122,9)</f>
        <v>0</v>
      </c>
      <c r="N766" s="43">
        <f t="shared" si="151"/>
        <v>0</v>
      </c>
      <c r="O766" s="43">
        <f t="shared" si="152"/>
        <v>0</v>
      </c>
      <c r="P766" s="30">
        <f t="shared" si="153"/>
        <v>0</v>
      </c>
      <c r="Q766" s="31">
        <f t="shared" si="155"/>
        <v>848340.75061972369</v>
      </c>
    </row>
    <row r="767" spans="1:17" x14ac:dyDescent="0.25">
      <c r="A767" s="6">
        <f t="shared" si="154"/>
        <v>66535</v>
      </c>
      <c r="B767" s="30">
        <f>IFERROR(VLOOKUP(A767, Data!$L$3:$N$123, 3),1)*Pension</f>
        <v>485295.68697623571</v>
      </c>
      <c r="C767" s="37">
        <f t="shared" si="143"/>
        <v>63.665982203969882</v>
      </c>
      <c r="D767" s="37">
        <f>IFERROR(VLOOKUP(A767,Data!$I$3:$J$1442,2),0)</f>
        <v>8.2485357999999995E-2</v>
      </c>
      <c r="E767" s="37">
        <f t="shared" si="144"/>
        <v>8.2285357999999989E-2</v>
      </c>
      <c r="F767" s="37">
        <f t="shared" si="149"/>
        <v>5.3067369760013763E-3</v>
      </c>
      <c r="G767" s="30">
        <f t="shared" si="150"/>
        <v>2575.3365663707796</v>
      </c>
      <c r="H767" s="38">
        <f t="shared" si="145"/>
        <v>159</v>
      </c>
      <c r="I767" s="39">
        <f t="shared" si="146"/>
        <v>159.29089664613278</v>
      </c>
      <c r="J767" s="40">
        <f t="shared" si="147"/>
        <v>64</v>
      </c>
      <c r="K767" s="43">
        <f>VLOOKUP(J767,Data!$Z$3:$AA$122,2)</f>
        <v>0</v>
      </c>
      <c r="L767" s="41">
        <f t="shared" si="148"/>
        <v>0.29089664613277932</v>
      </c>
      <c r="M767" s="43">
        <f>VLOOKUP(H767,Data!$P$3:$X$122,9)</f>
        <v>0</v>
      </c>
      <c r="N767" s="43">
        <f t="shared" si="151"/>
        <v>0</v>
      </c>
      <c r="O767" s="43">
        <f t="shared" si="152"/>
        <v>0</v>
      </c>
      <c r="P767" s="30">
        <f t="shared" si="153"/>
        <v>0</v>
      </c>
      <c r="Q767" s="31">
        <f t="shared" si="155"/>
        <v>848340.75061972369</v>
      </c>
    </row>
    <row r="768" spans="1:17" x14ac:dyDescent="0.25">
      <c r="A768" s="6">
        <f t="shared" si="154"/>
        <v>66566</v>
      </c>
      <c r="B768" s="30">
        <f>IFERROR(VLOOKUP(A768, Data!$L$3:$N$123, 3),1)*Pension</f>
        <v>485295.68697623571</v>
      </c>
      <c r="C768" s="37">
        <f t="shared" si="143"/>
        <v>63.750855578370981</v>
      </c>
      <c r="D768" s="37">
        <f>IFERROR(VLOOKUP(A768,Data!$I$3:$J$1442,2),0)</f>
        <v>8.2468736000000001E-2</v>
      </c>
      <c r="E768" s="37">
        <f t="shared" si="144"/>
        <v>8.2268735999999995E-2</v>
      </c>
      <c r="F768" s="37">
        <f t="shared" si="149"/>
        <v>5.2753919062759501E-3</v>
      </c>
      <c r="G768" s="30">
        <f t="shared" si="150"/>
        <v>2560.1249392250606</v>
      </c>
      <c r="H768" s="38">
        <f t="shared" si="145"/>
        <v>159</v>
      </c>
      <c r="I768" s="39">
        <f t="shared" si="146"/>
        <v>159.37577002053388</v>
      </c>
      <c r="J768" s="40">
        <f t="shared" si="147"/>
        <v>64</v>
      </c>
      <c r="K768" s="43">
        <f>VLOOKUP(J768,Data!$Z$3:$AA$122,2)</f>
        <v>0</v>
      </c>
      <c r="L768" s="41">
        <f t="shared" si="148"/>
        <v>0.37577002053387787</v>
      </c>
      <c r="M768" s="43">
        <f>VLOOKUP(H768,Data!$P$3:$X$122,9)</f>
        <v>0</v>
      </c>
      <c r="N768" s="43">
        <f t="shared" si="151"/>
        <v>0</v>
      </c>
      <c r="O768" s="43">
        <f t="shared" si="152"/>
        <v>0</v>
      </c>
      <c r="P768" s="30">
        <f t="shared" si="153"/>
        <v>0</v>
      </c>
      <c r="Q768" s="31">
        <f t="shared" si="155"/>
        <v>848340.75061972369</v>
      </c>
    </row>
    <row r="769" spans="1:17" x14ac:dyDescent="0.25">
      <c r="A769" s="6">
        <f t="shared" si="154"/>
        <v>66596</v>
      </c>
      <c r="B769" s="30">
        <f>IFERROR(VLOOKUP(A769, Data!$L$3:$N$123, 3),1)*Pension</f>
        <v>485295.68697623571</v>
      </c>
      <c r="C769" s="37">
        <f t="shared" si="143"/>
        <v>63.832991101984945</v>
      </c>
      <c r="D769" s="37">
        <f>IFERROR(VLOOKUP(A769,Data!$I$3:$J$1442,2),0)</f>
        <v>8.2452692999999994E-2</v>
      </c>
      <c r="E769" s="37">
        <f t="shared" si="144"/>
        <v>8.2252692999999988E-2</v>
      </c>
      <c r="F769" s="37">
        <f t="shared" si="149"/>
        <v>5.2452340200773518E-3</v>
      </c>
      <c r="G769" s="30">
        <f t="shared" si="150"/>
        <v>2545.4894471245611</v>
      </c>
      <c r="H769" s="38">
        <f t="shared" si="145"/>
        <v>159</v>
      </c>
      <c r="I769" s="39">
        <f t="shared" si="146"/>
        <v>159.45790554414785</v>
      </c>
      <c r="J769" s="40">
        <f t="shared" si="147"/>
        <v>64</v>
      </c>
      <c r="K769" s="43">
        <f>VLOOKUP(J769,Data!$Z$3:$AA$122,2)</f>
        <v>0</v>
      </c>
      <c r="L769" s="41">
        <f t="shared" si="148"/>
        <v>0.45790554414784879</v>
      </c>
      <c r="M769" s="43">
        <f>VLOOKUP(H769,Data!$P$3:$X$122,9)</f>
        <v>0</v>
      </c>
      <c r="N769" s="43">
        <f t="shared" si="151"/>
        <v>0</v>
      </c>
      <c r="O769" s="43">
        <f t="shared" si="152"/>
        <v>0</v>
      </c>
      <c r="P769" s="30">
        <f t="shared" si="153"/>
        <v>0</v>
      </c>
      <c r="Q769" s="31">
        <f t="shared" si="155"/>
        <v>848340.75061972369</v>
      </c>
    </row>
    <row r="770" spans="1:17" x14ac:dyDescent="0.25">
      <c r="A770" s="6">
        <f t="shared" si="154"/>
        <v>66627</v>
      </c>
      <c r="B770" s="30">
        <f>IFERROR(VLOOKUP(A770, Data!$L$3:$N$123, 3),1)*Pension</f>
        <v>485295.68697623571</v>
      </c>
      <c r="C770" s="37">
        <f t="shared" si="143"/>
        <v>63.917864476386036</v>
      </c>
      <c r="D770" s="37">
        <f>IFERROR(VLOOKUP(A770,Data!$I$3:$J$1442,2),0)</f>
        <v>8.2436157999999995E-2</v>
      </c>
      <c r="E770" s="37">
        <f t="shared" si="144"/>
        <v>8.223615799999999E-2</v>
      </c>
      <c r="F770" s="37">
        <f t="shared" si="149"/>
        <v>5.2142521622709839E-3</v>
      </c>
      <c r="G770" s="30">
        <f t="shared" si="150"/>
        <v>2530.4540851566198</v>
      </c>
      <c r="H770" s="38">
        <f t="shared" si="145"/>
        <v>159</v>
      </c>
      <c r="I770" s="39">
        <f t="shared" si="146"/>
        <v>159.54277891854895</v>
      </c>
      <c r="J770" s="40">
        <f t="shared" si="147"/>
        <v>64</v>
      </c>
      <c r="K770" s="43">
        <f>VLOOKUP(J770,Data!$Z$3:$AA$122,2)</f>
        <v>0</v>
      </c>
      <c r="L770" s="41">
        <f t="shared" si="148"/>
        <v>0.54277891854894733</v>
      </c>
      <c r="M770" s="43">
        <f>VLOOKUP(H770,Data!$P$3:$X$122,9)</f>
        <v>0</v>
      </c>
      <c r="N770" s="43">
        <f t="shared" si="151"/>
        <v>0</v>
      </c>
      <c r="O770" s="43">
        <f t="shared" si="152"/>
        <v>0</v>
      </c>
      <c r="P770" s="30">
        <f t="shared" si="153"/>
        <v>0</v>
      </c>
      <c r="Q770" s="31">
        <f t="shared" si="155"/>
        <v>848340.75061972369</v>
      </c>
    </row>
    <row r="771" spans="1:17" x14ac:dyDescent="0.25">
      <c r="A771" s="6">
        <f t="shared" si="154"/>
        <v>66657</v>
      </c>
      <c r="B771" s="30">
        <f>IFERROR(VLOOKUP(A771, Data!$L$3:$N$123, 3),1)*Pension</f>
        <v>485295.68697623571</v>
      </c>
      <c r="C771" s="37">
        <f t="shared" ref="C771:C834" si="156">(A771-EffDate)/365.25</f>
        <v>64</v>
      </c>
      <c r="D771" s="37">
        <f>IFERROR(VLOOKUP(A771,Data!$I$3:$J$1442,2),0)</f>
        <v>8.2420199E-2</v>
      </c>
      <c r="E771" s="37">
        <f t="shared" ref="E771:E834" si="157">D771-Fees</f>
        <v>8.2220198999999994E-2</v>
      </c>
      <c r="F771" s="37">
        <f t="shared" si="149"/>
        <v>5.1844436860902666E-3</v>
      </c>
      <c r="G771" s="30">
        <f t="shared" si="150"/>
        <v>2515.9881602307837</v>
      </c>
      <c r="H771" s="38">
        <f t="shared" ref="H771:H834" si="158">IF(OR(A771 = DATE(YEAR(A771), MONTH(Date_of_Birth), DAY(Date_of_Birth)),AND(A771 = DATE(YEAR(A771), MONTH(Date_of_Birth), DAY(Date_of_Birth)-1), AND(MONTH(Date_of_Birth)=2, DAY(Date_of_Birth) = 29))), ROUND((A771-Date_of_Birth)/365.25,0),ROUNDDOWN((A771-Date_of_Birth)/365.25,0))</f>
        <v>159</v>
      </c>
      <c r="I771" s="39">
        <f t="shared" ref="I771:I834" si="159">IF(OR(A771 = DATE(YEAR(A771), MONTH(Date_of_Birth), DAY(Date_of_Birth)),AND(A771 = DATE(YEAR(A771), MONTH(Date_of_Birth), DAY(Date_of_Birth)-1), AND(MONTH(Date_of_Birth)=2, DAY(Date_of_Birth) = 29))), ROUND((A771-Date_of_Birth)/365.25,0),(A771-Date_of_Birth)/365.25)</f>
        <v>159.62491444216289</v>
      </c>
      <c r="J771" s="40">
        <f t="shared" ref="J771:J834" si="160">H771-StartAge</f>
        <v>64</v>
      </c>
      <c r="K771" s="43">
        <f>VLOOKUP(J771,Data!$Z$3:$AA$122,2)</f>
        <v>0</v>
      </c>
      <c r="L771" s="41">
        <f t="shared" ref="L771:L834" si="161">IF(A771&lt;=NextBirth,(A771-EffDate)/365.25,(I771-H771))</f>
        <v>0.62491444216288983</v>
      </c>
      <c r="M771" s="43">
        <f>VLOOKUP(H771,Data!$P$3:$X$122,9)</f>
        <v>0</v>
      </c>
      <c r="N771" s="43">
        <f t="shared" si="151"/>
        <v>0</v>
      </c>
      <c r="O771" s="43">
        <f t="shared" si="152"/>
        <v>0</v>
      </c>
      <c r="P771" s="30">
        <f t="shared" si="153"/>
        <v>0</v>
      </c>
      <c r="Q771" s="31">
        <f t="shared" si="155"/>
        <v>848340.75061972369</v>
      </c>
    </row>
    <row r="772" spans="1:17" x14ac:dyDescent="0.25">
      <c r="A772" s="6">
        <f t="shared" si="154"/>
        <v>66688</v>
      </c>
      <c r="B772" s="30">
        <f>IFERROR(VLOOKUP(A772, Data!$L$3:$N$123, 3),1)*Pension</f>
        <v>485295.68697623571</v>
      </c>
      <c r="C772" s="37">
        <f t="shared" si="156"/>
        <v>64.084873374401099</v>
      </c>
      <c r="D772" s="37">
        <f>IFERROR(VLOOKUP(A772,Data!$I$3:$J$1442,2),0)</f>
        <v>8.2403749999999998E-2</v>
      </c>
      <c r="E772" s="37">
        <f t="shared" si="157"/>
        <v>8.2203749999999992E-2</v>
      </c>
      <c r="F772" s="37">
        <f t="shared" ref="F772:F835" si="162">EXP(-E772*C772)</f>
        <v>5.1538209382093409E-3</v>
      </c>
      <c r="G772" s="30">
        <f t="shared" ref="G772:G835" si="163">B772*F772</f>
        <v>2501.1270727608098</v>
      </c>
      <c r="H772" s="38">
        <f t="shared" si="158"/>
        <v>159</v>
      </c>
      <c r="I772" s="39">
        <f t="shared" si="159"/>
        <v>159.70978781656399</v>
      </c>
      <c r="J772" s="40">
        <f t="shared" si="160"/>
        <v>64</v>
      </c>
      <c r="K772" s="43">
        <f>VLOOKUP(J772,Data!$Z$3:$AA$122,2)</f>
        <v>0</v>
      </c>
      <c r="L772" s="41">
        <f t="shared" si="161"/>
        <v>0.70978781656398837</v>
      </c>
      <c r="M772" s="43">
        <f>VLOOKUP(H772,Data!$P$3:$X$122,9)</f>
        <v>0</v>
      </c>
      <c r="N772" s="43">
        <f t="shared" ref="N772:N835" si="164">IF(M772=0, 0, EXP(-L772*M772))</f>
        <v>0</v>
      </c>
      <c r="O772" s="43">
        <f t="shared" ref="O772:O835" si="165">K772*N772</f>
        <v>0</v>
      </c>
      <c r="P772" s="30">
        <f t="shared" ref="P772:P835" si="166">G772*O772</f>
        <v>0</v>
      </c>
      <c r="Q772" s="31">
        <f t="shared" si="155"/>
        <v>848340.75061972369</v>
      </c>
    </row>
    <row r="773" spans="1:17" x14ac:dyDescent="0.25">
      <c r="A773" s="6">
        <f t="shared" ref="A773:A836" si="167">EOMONTH(A772,1)</f>
        <v>66719</v>
      </c>
      <c r="B773" s="30">
        <f>IFERROR(VLOOKUP(A773, Data!$L$3:$N$123, 3),1)*Pension</f>
        <v>485295.68697623571</v>
      </c>
      <c r="C773" s="37">
        <f t="shared" si="156"/>
        <v>64.169746748802197</v>
      </c>
      <c r="D773" s="37">
        <f>IFERROR(VLOOKUP(A773,Data!$I$3:$J$1442,2),0)</f>
        <v>8.2387345000000001E-2</v>
      </c>
      <c r="E773" s="37">
        <f t="shared" si="157"/>
        <v>8.2187344999999995E-2</v>
      </c>
      <c r="F773" s="37">
        <f t="shared" si="162"/>
        <v>5.1233789081134191E-3</v>
      </c>
      <c r="G773" s="30">
        <f t="shared" si="163"/>
        <v>2486.3536868524579</v>
      </c>
      <c r="H773" s="38">
        <f t="shared" si="158"/>
        <v>159</v>
      </c>
      <c r="I773" s="39">
        <f t="shared" si="159"/>
        <v>159.79466119096509</v>
      </c>
      <c r="J773" s="40">
        <f t="shared" si="160"/>
        <v>64</v>
      </c>
      <c r="K773" s="43">
        <f>VLOOKUP(J773,Data!$Z$3:$AA$122,2)</f>
        <v>0</v>
      </c>
      <c r="L773" s="41">
        <f t="shared" si="161"/>
        <v>0.79466119096508692</v>
      </c>
      <c r="M773" s="43">
        <f>VLOOKUP(H773,Data!$P$3:$X$122,9)</f>
        <v>0</v>
      </c>
      <c r="N773" s="43">
        <f t="shared" si="164"/>
        <v>0</v>
      </c>
      <c r="O773" s="43">
        <f t="shared" si="165"/>
        <v>0</v>
      </c>
      <c r="P773" s="30">
        <f t="shared" si="166"/>
        <v>0</v>
      </c>
      <c r="Q773" s="31">
        <f t="shared" ref="Q773:Q836" si="168">Q772+P773</f>
        <v>848340.75061972369</v>
      </c>
    </row>
    <row r="774" spans="1:17" x14ac:dyDescent="0.25">
      <c r="A774" s="6">
        <f t="shared" si="167"/>
        <v>66749</v>
      </c>
      <c r="B774" s="30">
        <f>IFERROR(VLOOKUP(A774, Data!$L$3:$N$123, 3),1)*Pension</f>
        <v>485295.68697623571</v>
      </c>
      <c r="C774" s="37">
        <f t="shared" si="156"/>
        <v>64.251882272416154</v>
      </c>
      <c r="D774" s="37">
        <f>IFERROR(VLOOKUP(A774,Data!$I$3:$J$1442,2),0)</f>
        <v>8.2371510999999994E-2</v>
      </c>
      <c r="E774" s="37">
        <f t="shared" si="157"/>
        <v>8.2171510999999989E-2</v>
      </c>
      <c r="F774" s="37">
        <f t="shared" si="162"/>
        <v>5.0940899175668007E-3</v>
      </c>
      <c r="G774" s="30">
        <f t="shared" si="163"/>
        <v>2472.1398660642967</v>
      </c>
      <c r="H774" s="38">
        <f t="shared" si="158"/>
        <v>159</v>
      </c>
      <c r="I774" s="39">
        <f t="shared" si="159"/>
        <v>159.87679671457906</v>
      </c>
      <c r="J774" s="40">
        <f t="shared" si="160"/>
        <v>64</v>
      </c>
      <c r="K774" s="43">
        <f>VLOOKUP(J774,Data!$Z$3:$AA$122,2)</f>
        <v>0</v>
      </c>
      <c r="L774" s="41">
        <f t="shared" si="161"/>
        <v>0.87679671457905783</v>
      </c>
      <c r="M774" s="43">
        <f>VLOOKUP(H774,Data!$P$3:$X$122,9)</f>
        <v>0</v>
      </c>
      <c r="N774" s="43">
        <f t="shared" si="164"/>
        <v>0</v>
      </c>
      <c r="O774" s="43">
        <f t="shared" si="165"/>
        <v>0</v>
      </c>
      <c r="P774" s="30">
        <f t="shared" si="166"/>
        <v>0</v>
      </c>
      <c r="Q774" s="31">
        <f t="shared" si="168"/>
        <v>848340.75061972369</v>
      </c>
    </row>
    <row r="775" spans="1:17" x14ac:dyDescent="0.25">
      <c r="A775" s="6">
        <f t="shared" si="167"/>
        <v>66780</v>
      </c>
      <c r="B775" s="30">
        <f>IFERROR(VLOOKUP(A775, Data!$L$3:$N$123, 3),1)*Pension</f>
        <v>485295.68697623571</v>
      </c>
      <c r="C775" s="37">
        <f t="shared" si="156"/>
        <v>64.336755646817252</v>
      </c>
      <c r="D775" s="37">
        <f>IFERROR(VLOOKUP(A775,Data!$I$3:$J$1442,2),0)</f>
        <v>8.2355190999999994E-2</v>
      </c>
      <c r="E775" s="37">
        <f t="shared" si="157"/>
        <v>8.2155190999999989E-2</v>
      </c>
      <c r="F775" s="37">
        <f t="shared" si="162"/>
        <v>5.0640007376003306E-3</v>
      </c>
      <c r="G775" s="30">
        <f t="shared" si="163"/>
        <v>2457.5377168019168</v>
      </c>
      <c r="H775" s="38">
        <f t="shared" si="158"/>
        <v>159</v>
      </c>
      <c r="I775" s="39">
        <f t="shared" si="159"/>
        <v>159.96167008898016</v>
      </c>
      <c r="J775" s="40">
        <f t="shared" si="160"/>
        <v>64</v>
      </c>
      <c r="K775" s="43">
        <f>VLOOKUP(J775,Data!$Z$3:$AA$122,2)</f>
        <v>0</v>
      </c>
      <c r="L775" s="41">
        <f t="shared" si="161"/>
        <v>0.96167008898015638</v>
      </c>
      <c r="M775" s="43">
        <f>VLOOKUP(H775,Data!$P$3:$X$122,9)</f>
        <v>0</v>
      </c>
      <c r="N775" s="43">
        <f t="shared" si="164"/>
        <v>0</v>
      </c>
      <c r="O775" s="43">
        <f t="shared" si="165"/>
        <v>0</v>
      </c>
      <c r="P775" s="30">
        <f t="shared" si="166"/>
        <v>0</v>
      </c>
      <c r="Q775" s="31">
        <f t="shared" si="168"/>
        <v>848340.75061972369</v>
      </c>
    </row>
    <row r="776" spans="1:17" x14ac:dyDescent="0.25">
      <c r="A776" s="6">
        <f t="shared" si="167"/>
        <v>66810</v>
      </c>
      <c r="B776" s="30">
        <f>IFERROR(VLOOKUP(A776, Data!$L$3:$N$123, 3),1)*Pension</f>
        <v>485295.68697623571</v>
      </c>
      <c r="C776" s="37">
        <f t="shared" si="156"/>
        <v>64.418891170431209</v>
      </c>
      <c r="D776" s="37">
        <f>IFERROR(VLOOKUP(A776,Data!$I$3:$J$1442,2),0)</f>
        <v>8.2339439E-2</v>
      </c>
      <c r="E776" s="37">
        <f t="shared" si="157"/>
        <v>8.2139438999999995E-2</v>
      </c>
      <c r="F776" s="37">
        <f t="shared" si="162"/>
        <v>5.0350512115995942E-3</v>
      </c>
      <c r="G776" s="30">
        <f t="shared" si="163"/>
        <v>2443.4886366937531</v>
      </c>
      <c r="H776" s="38">
        <f t="shared" si="158"/>
        <v>160</v>
      </c>
      <c r="I776" s="39">
        <f t="shared" si="159"/>
        <v>160.04380561259413</v>
      </c>
      <c r="J776" s="40">
        <f t="shared" si="160"/>
        <v>65</v>
      </c>
      <c r="K776" s="43">
        <f>VLOOKUP(J776,Data!$Z$3:$AA$122,2)</f>
        <v>0</v>
      </c>
      <c r="L776" s="41">
        <f t="shared" si="161"/>
        <v>4.3805612594127297E-2</v>
      </c>
      <c r="M776" s="43">
        <f>VLOOKUP(H776,Data!$P$3:$X$122,9)</f>
        <v>0</v>
      </c>
      <c r="N776" s="43">
        <f t="shared" si="164"/>
        <v>0</v>
      </c>
      <c r="O776" s="43">
        <f t="shared" si="165"/>
        <v>0</v>
      </c>
      <c r="P776" s="30">
        <f t="shared" si="166"/>
        <v>0</v>
      </c>
      <c r="Q776" s="31">
        <f t="shared" si="168"/>
        <v>848340.75061972369</v>
      </c>
    </row>
    <row r="777" spans="1:17" x14ac:dyDescent="0.25">
      <c r="A777" s="6">
        <f t="shared" si="167"/>
        <v>66841</v>
      </c>
      <c r="B777" s="30">
        <f>IFERROR(VLOOKUP(A777, Data!$L$3:$N$123, 3),1)*Pension</f>
        <v>509560.47132504755</v>
      </c>
      <c r="C777" s="37">
        <f t="shared" si="156"/>
        <v>64.503764544832308</v>
      </c>
      <c r="D777" s="37">
        <f>IFERROR(VLOOKUP(A777,Data!$I$3:$J$1442,2),0)</f>
        <v>8.2323202999999998E-2</v>
      </c>
      <c r="E777" s="37">
        <f t="shared" si="157"/>
        <v>8.2123202999999992E-2</v>
      </c>
      <c r="F777" s="37">
        <f t="shared" si="162"/>
        <v>5.0053109014145261E-3</v>
      </c>
      <c r="G777" s="30">
        <f t="shared" si="163"/>
        <v>2550.5085820531845</v>
      </c>
      <c r="H777" s="38">
        <f t="shared" si="158"/>
        <v>160</v>
      </c>
      <c r="I777" s="39">
        <f t="shared" si="159"/>
        <v>160.1286789869952</v>
      </c>
      <c r="J777" s="40">
        <f t="shared" si="160"/>
        <v>65</v>
      </c>
      <c r="K777" s="43">
        <f>VLOOKUP(J777,Data!$Z$3:$AA$122,2)</f>
        <v>0</v>
      </c>
      <c r="L777" s="41">
        <f t="shared" si="161"/>
        <v>0.12867898699519742</v>
      </c>
      <c r="M777" s="43">
        <f>VLOOKUP(H777,Data!$P$3:$X$122,9)</f>
        <v>0</v>
      </c>
      <c r="N777" s="43">
        <f t="shared" si="164"/>
        <v>0</v>
      </c>
      <c r="O777" s="43">
        <f t="shared" si="165"/>
        <v>0</v>
      </c>
      <c r="P777" s="30">
        <f t="shared" si="166"/>
        <v>0</v>
      </c>
      <c r="Q777" s="31">
        <f t="shared" si="168"/>
        <v>848340.75061972369</v>
      </c>
    </row>
    <row r="778" spans="1:17" x14ac:dyDescent="0.25">
      <c r="A778" s="6">
        <f t="shared" si="167"/>
        <v>66872</v>
      </c>
      <c r="B778" s="30">
        <f>IFERROR(VLOOKUP(A778, Data!$L$3:$N$123, 3),1)*Pension</f>
        <v>509560.47132504755</v>
      </c>
      <c r="C778" s="37">
        <f t="shared" si="156"/>
        <v>64.588637919233406</v>
      </c>
      <c r="D778" s="37">
        <f>IFERROR(VLOOKUP(A778,Data!$I$3:$J$1442,2),0)</f>
        <v>8.230701E-2</v>
      </c>
      <c r="E778" s="37">
        <f t="shared" si="157"/>
        <v>8.2107009999999994E-2</v>
      </c>
      <c r="F778" s="37">
        <f t="shared" si="162"/>
        <v>4.9757461509805602E-3</v>
      </c>
      <c r="G778" s="30">
        <f t="shared" si="163"/>
        <v>2535.4435538874454</v>
      </c>
      <c r="H778" s="38">
        <f t="shared" si="158"/>
        <v>160</v>
      </c>
      <c r="I778" s="39">
        <f t="shared" si="159"/>
        <v>160.2135523613963</v>
      </c>
      <c r="J778" s="40">
        <f t="shared" si="160"/>
        <v>65</v>
      </c>
      <c r="K778" s="43">
        <f>VLOOKUP(J778,Data!$Z$3:$AA$122,2)</f>
        <v>0</v>
      </c>
      <c r="L778" s="41">
        <f t="shared" si="161"/>
        <v>0.21355236139629596</v>
      </c>
      <c r="M778" s="43">
        <f>VLOOKUP(H778,Data!$P$3:$X$122,9)</f>
        <v>0</v>
      </c>
      <c r="N778" s="43">
        <f t="shared" si="164"/>
        <v>0</v>
      </c>
      <c r="O778" s="43">
        <f t="shared" si="165"/>
        <v>0</v>
      </c>
      <c r="P778" s="30">
        <f t="shared" si="166"/>
        <v>0</v>
      </c>
      <c r="Q778" s="31">
        <f t="shared" si="168"/>
        <v>848340.75061972369</v>
      </c>
    </row>
    <row r="779" spans="1:17" x14ac:dyDescent="0.25">
      <c r="A779" s="6">
        <f t="shared" si="167"/>
        <v>66900</v>
      </c>
      <c r="B779" s="30">
        <f>IFERROR(VLOOKUP(A779, Data!$L$3:$N$123, 3),1)*Pension</f>
        <v>509560.47132504755</v>
      </c>
      <c r="C779" s="37">
        <f t="shared" si="156"/>
        <v>64.665297741273108</v>
      </c>
      <c r="D779" s="37">
        <f>IFERROR(VLOOKUP(A779,Data!$I$3:$J$1442,2),0)</f>
        <v>8.2292421000000004E-2</v>
      </c>
      <c r="E779" s="37">
        <f t="shared" si="157"/>
        <v>8.2092420999999999E-2</v>
      </c>
      <c r="F779" s="37">
        <f t="shared" si="162"/>
        <v>4.9491925037370771E-3</v>
      </c>
      <c r="G779" s="30">
        <f t="shared" si="163"/>
        <v>2521.9128648826572</v>
      </c>
      <c r="H779" s="38">
        <f t="shared" si="158"/>
        <v>160</v>
      </c>
      <c r="I779" s="39">
        <f t="shared" si="159"/>
        <v>160.29021218343601</v>
      </c>
      <c r="J779" s="40">
        <f t="shared" si="160"/>
        <v>65</v>
      </c>
      <c r="K779" s="43">
        <f>VLOOKUP(J779,Data!$Z$3:$AA$122,2)</f>
        <v>0</v>
      </c>
      <c r="L779" s="41">
        <f t="shared" si="161"/>
        <v>0.29021218343601163</v>
      </c>
      <c r="M779" s="43">
        <f>VLOOKUP(H779,Data!$P$3:$X$122,9)</f>
        <v>0</v>
      </c>
      <c r="N779" s="43">
        <f t="shared" si="164"/>
        <v>0</v>
      </c>
      <c r="O779" s="43">
        <f t="shared" si="165"/>
        <v>0</v>
      </c>
      <c r="P779" s="30">
        <f t="shared" si="166"/>
        <v>0</v>
      </c>
      <c r="Q779" s="31">
        <f t="shared" si="168"/>
        <v>848340.75061972369</v>
      </c>
    </row>
    <row r="780" spans="1:17" x14ac:dyDescent="0.25">
      <c r="A780" s="6">
        <f t="shared" si="167"/>
        <v>66931</v>
      </c>
      <c r="B780" s="30">
        <f>IFERROR(VLOOKUP(A780, Data!$L$3:$N$123, 3),1)*Pension</f>
        <v>509560.47132504755</v>
      </c>
      <c r="C780" s="37">
        <f t="shared" si="156"/>
        <v>64.750171115674192</v>
      </c>
      <c r="D780" s="37">
        <f>IFERROR(VLOOKUP(A780,Data!$I$3:$J$1442,2),0)</f>
        <v>8.2276309000000006E-2</v>
      </c>
      <c r="E780" s="37">
        <f t="shared" si="157"/>
        <v>8.2076309E-2</v>
      </c>
      <c r="F780" s="37">
        <f t="shared" si="162"/>
        <v>4.9199591453996782E-3</v>
      </c>
      <c r="G780" s="30">
        <f t="shared" si="163"/>
        <v>2507.0167010298383</v>
      </c>
      <c r="H780" s="38">
        <f t="shared" si="158"/>
        <v>160</v>
      </c>
      <c r="I780" s="39">
        <f t="shared" si="159"/>
        <v>160.37508555783711</v>
      </c>
      <c r="J780" s="40">
        <f t="shared" si="160"/>
        <v>65</v>
      </c>
      <c r="K780" s="43">
        <f>VLOOKUP(J780,Data!$Z$3:$AA$122,2)</f>
        <v>0</v>
      </c>
      <c r="L780" s="41">
        <f t="shared" si="161"/>
        <v>0.37508555783711017</v>
      </c>
      <c r="M780" s="43">
        <f>VLOOKUP(H780,Data!$P$3:$X$122,9)</f>
        <v>0</v>
      </c>
      <c r="N780" s="43">
        <f t="shared" si="164"/>
        <v>0</v>
      </c>
      <c r="O780" s="43">
        <f t="shared" si="165"/>
        <v>0</v>
      </c>
      <c r="P780" s="30">
        <f t="shared" si="166"/>
        <v>0</v>
      </c>
      <c r="Q780" s="31">
        <f t="shared" si="168"/>
        <v>848340.75061972369</v>
      </c>
    </row>
    <row r="781" spans="1:17" x14ac:dyDescent="0.25">
      <c r="A781" s="6">
        <f t="shared" si="167"/>
        <v>66961</v>
      </c>
      <c r="B781" s="30">
        <f>IFERROR(VLOOKUP(A781, Data!$L$3:$N$123, 3),1)*Pension</f>
        <v>509560.47132504755</v>
      </c>
      <c r="C781" s="37">
        <f t="shared" si="156"/>
        <v>64.832306639288163</v>
      </c>
      <c r="D781" s="37">
        <f>IFERROR(VLOOKUP(A781,Data!$I$3:$J$1442,2),0)</f>
        <v>8.2260757000000004E-2</v>
      </c>
      <c r="E781" s="37">
        <f t="shared" si="157"/>
        <v>8.2060756999999998E-2</v>
      </c>
      <c r="F781" s="37">
        <f t="shared" si="162"/>
        <v>4.8918331870192889E-3</v>
      </c>
      <c r="G781" s="30">
        <f t="shared" si="163"/>
        <v>2492.6848244210582</v>
      </c>
      <c r="H781" s="38">
        <f t="shared" si="158"/>
        <v>160</v>
      </c>
      <c r="I781" s="39">
        <f t="shared" si="159"/>
        <v>160.45722108145105</v>
      </c>
      <c r="J781" s="40">
        <f t="shared" si="160"/>
        <v>65</v>
      </c>
      <c r="K781" s="43">
        <f>VLOOKUP(J781,Data!$Z$3:$AA$122,2)</f>
        <v>0</v>
      </c>
      <c r="L781" s="41">
        <f t="shared" si="161"/>
        <v>0.45722108145105267</v>
      </c>
      <c r="M781" s="43">
        <f>VLOOKUP(H781,Data!$P$3:$X$122,9)</f>
        <v>0</v>
      </c>
      <c r="N781" s="43">
        <f t="shared" si="164"/>
        <v>0</v>
      </c>
      <c r="O781" s="43">
        <f t="shared" si="165"/>
        <v>0</v>
      </c>
      <c r="P781" s="30">
        <f t="shared" si="166"/>
        <v>0</v>
      </c>
      <c r="Q781" s="31">
        <f t="shared" si="168"/>
        <v>848340.75061972369</v>
      </c>
    </row>
    <row r="782" spans="1:17" x14ac:dyDescent="0.25">
      <c r="A782" s="6">
        <f t="shared" si="167"/>
        <v>66992</v>
      </c>
      <c r="B782" s="30">
        <f>IFERROR(VLOOKUP(A782, Data!$L$3:$N$123, 3),1)*Pension</f>
        <v>509560.47132504755</v>
      </c>
      <c r="C782" s="37">
        <f t="shared" si="156"/>
        <v>64.917180013689247</v>
      </c>
      <c r="D782" s="37">
        <f>IFERROR(VLOOKUP(A782,Data!$I$3:$J$1442,2),0)</f>
        <v>8.2244728000000003E-2</v>
      </c>
      <c r="E782" s="37">
        <f t="shared" si="157"/>
        <v>8.2044727999999997E-2</v>
      </c>
      <c r="F782" s="37">
        <f t="shared" si="162"/>
        <v>4.8629385846383879E-3</v>
      </c>
      <c r="G782" s="30">
        <f t="shared" si="163"/>
        <v>2477.9612772130968</v>
      </c>
      <c r="H782" s="38">
        <f t="shared" si="158"/>
        <v>160</v>
      </c>
      <c r="I782" s="39">
        <f t="shared" si="159"/>
        <v>160.54209445585215</v>
      </c>
      <c r="J782" s="40">
        <f t="shared" si="160"/>
        <v>65</v>
      </c>
      <c r="K782" s="43">
        <f>VLOOKUP(J782,Data!$Z$3:$AA$122,2)</f>
        <v>0</v>
      </c>
      <c r="L782" s="41">
        <f t="shared" si="161"/>
        <v>0.54209445585215121</v>
      </c>
      <c r="M782" s="43">
        <f>VLOOKUP(H782,Data!$P$3:$X$122,9)</f>
        <v>0</v>
      </c>
      <c r="N782" s="43">
        <f t="shared" si="164"/>
        <v>0</v>
      </c>
      <c r="O782" s="43">
        <f t="shared" si="165"/>
        <v>0</v>
      </c>
      <c r="P782" s="30">
        <f t="shared" si="166"/>
        <v>0</v>
      </c>
      <c r="Q782" s="31">
        <f t="shared" si="168"/>
        <v>848340.75061972369</v>
      </c>
    </row>
    <row r="783" spans="1:17" x14ac:dyDescent="0.25">
      <c r="A783" s="6">
        <f t="shared" si="167"/>
        <v>67022</v>
      </c>
      <c r="B783" s="30">
        <f>IFERROR(VLOOKUP(A783, Data!$L$3:$N$123, 3),1)*Pension</f>
        <v>509560.47132504755</v>
      </c>
      <c r="C783" s="37">
        <f t="shared" si="156"/>
        <v>64.999315537303218</v>
      </c>
      <c r="D783" s="37">
        <f>IFERROR(VLOOKUP(A783,Data!$I$3:$J$1442,2),0)</f>
        <v>8.2229256000000001E-2</v>
      </c>
      <c r="E783" s="37">
        <f t="shared" si="157"/>
        <v>8.2029255999999995E-2</v>
      </c>
      <c r="F783" s="37">
        <f t="shared" si="162"/>
        <v>4.8351385539514395E-3</v>
      </c>
      <c r="G783" s="30">
        <f t="shared" si="163"/>
        <v>2463.7954804734045</v>
      </c>
      <c r="H783" s="38">
        <f t="shared" si="158"/>
        <v>160</v>
      </c>
      <c r="I783" s="39">
        <f t="shared" si="159"/>
        <v>160.62422997946612</v>
      </c>
      <c r="J783" s="40">
        <f t="shared" si="160"/>
        <v>65</v>
      </c>
      <c r="K783" s="43">
        <f>VLOOKUP(J783,Data!$Z$3:$AA$122,2)</f>
        <v>0</v>
      </c>
      <c r="L783" s="41">
        <f t="shared" si="161"/>
        <v>0.62422997946612213</v>
      </c>
      <c r="M783" s="43">
        <f>VLOOKUP(H783,Data!$P$3:$X$122,9)</f>
        <v>0</v>
      </c>
      <c r="N783" s="43">
        <f t="shared" si="164"/>
        <v>0</v>
      </c>
      <c r="O783" s="43">
        <f t="shared" si="165"/>
        <v>0</v>
      </c>
      <c r="P783" s="30">
        <f t="shared" si="166"/>
        <v>0</v>
      </c>
      <c r="Q783" s="31">
        <f t="shared" si="168"/>
        <v>848340.75061972369</v>
      </c>
    </row>
    <row r="784" spans="1:17" x14ac:dyDescent="0.25">
      <c r="A784" s="6">
        <f t="shared" si="167"/>
        <v>67053</v>
      </c>
      <c r="B784" s="30">
        <f>IFERROR(VLOOKUP(A784, Data!$L$3:$N$123, 3),1)*Pension</f>
        <v>509560.47132504755</v>
      </c>
      <c r="C784" s="37">
        <f t="shared" si="156"/>
        <v>65.084188911704317</v>
      </c>
      <c r="D784" s="37">
        <f>IFERROR(VLOOKUP(A784,Data!$I$3:$J$1442,2),0)</f>
        <v>8.2213308999999998E-2</v>
      </c>
      <c r="E784" s="37">
        <f t="shared" si="157"/>
        <v>8.2013308999999993E-2</v>
      </c>
      <c r="F784" s="37">
        <f t="shared" si="162"/>
        <v>4.8065788956364241E-3</v>
      </c>
      <c r="G784" s="30">
        <f t="shared" si="163"/>
        <v>2449.2426075215226</v>
      </c>
      <c r="H784" s="38">
        <f t="shared" si="158"/>
        <v>160</v>
      </c>
      <c r="I784" s="39">
        <f t="shared" si="159"/>
        <v>160.70910335386722</v>
      </c>
      <c r="J784" s="40">
        <f t="shared" si="160"/>
        <v>65</v>
      </c>
      <c r="K784" s="43">
        <f>VLOOKUP(J784,Data!$Z$3:$AA$122,2)</f>
        <v>0</v>
      </c>
      <c r="L784" s="41">
        <f t="shared" si="161"/>
        <v>0.70910335386722068</v>
      </c>
      <c r="M784" s="43">
        <f>VLOOKUP(H784,Data!$P$3:$X$122,9)</f>
        <v>0</v>
      </c>
      <c r="N784" s="43">
        <f t="shared" si="164"/>
        <v>0</v>
      </c>
      <c r="O784" s="43">
        <f t="shared" si="165"/>
        <v>0</v>
      </c>
      <c r="P784" s="30">
        <f t="shared" si="166"/>
        <v>0</v>
      </c>
      <c r="Q784" s="31">
        <f t="shared" si="168"/>
        <v>848340.75061972369</v>
      </c>
    </row>
    <row r="785" spans="1:17" x14ac:dyDescent="0.25">
      <c r="A785" s="6">
        <f t="shared" si="167"/>
        <v>67084</v>
      </c>
      <c r="B785" s="30">
        <f>IFERROR(VLOOKUP(A785, Data!$L$3:$N$123, 3),1)*Pension</f>
        <v>509560.47132504755</v>
      </c>
      <c r="C785" s="37">
        <f t="shared" si="156"/>
        <v>65.169062286105401</v>
      </c>
      <c r="D785" s="37">
        <f>IFERROR(VLOOKUP(A785,Data!$I$3:$J$1442,2),0)</f>
        <v>8.2197403000000002E-2</v>
      </c>
      <c r="E785" s="37">
        <f t="shared" si="157"/>
        <v>8.1997402999999996E-2</v>
      </c>
      <c r="F785" s="37">
        <f t="shared" si="162"/>
        <v>4.7781880976642092E-3</v>
      </c>
      <c r="G785" s="30">
        <f t="shared" si="163"/>
        <v>2434.7757791255067</v>
      </c>
      <c r="H785" s="38">
        <f t="shared" si="158"/>
        <v>160</v>
      </c>
      <c r="I785" s="39">
        <f t="shared" si="159"/>
        <v>160.79397672826832</v>
      </c>
      <c r="J785" s="40">
        <f t="shared" si="160"/>
        <v>65</v>
      </c>
      <c r="K785" s="43">
        <f>VLOOKUP(J785,Data!$Z$3:$AA$122,2)</f>
        <v>0</v>
      </c>
      <c r="L785" s="41">
        <f t="shared" si="161"/>
        <v>0.79397672826831922</v>
      </c>
      <c r="M785" s="43">
        <f>VLOOKUP(H785,Data!$P$3:$X$122,9)</f>
        <v>0</v>
      </c>
      <c r="N785" s="43">
        <f t="shared" si="164"/>
        <v>0</v>
      </c>
      <c r="O785" s="43">
        <f t="shared" si="165"/>
        <v>0</v>
      </c>
      <c r="P785" s="30">
        <f t="shared" si="166"/>
        <v>0</v>
      </c>
      <c r="Q785" s="31">
        <f t="shared" si="168"/>
        <v>848340.75061972369</v>
      </c>
    </row>
    <row r="786" spans="1:17" x14ac:dyDescent="0.25">
      <c r="A786" s="6">
        <f t="shared" si="167"/>
        <v>67114</v>
      </c>
      <c r="B786" s="30">
        <f>IFERROR(VLOOKUP(A786, Data!$L$3:$N$123, 3),1)*Pension</f>
        <v>509560.47132504755</v>
      </c>
      <c r="C786" s="37">
        <f t="shared" si="156"/>
        <v>65.251197809719372</v>
      </c>
      <c r="D786" s="37">
        <f>IFERROR(VLOOKUP(A786,Data!$I$3:$J$1442,2),0)</f>
        <v>8.2182050000000006E-2</v>
      </c>
      <c r="E786" s="37">
        <f t="shared" si="157"/>
        <v>8.1982050000000001E-2</v>
      </c>
      <c r="F786" s="37">
        <f t="shared" si="162"/>
        <v>4.7508726529621138E-3</v>
      </c>
      <c r="G786" s="30">
        <f t="shared" si="163"/>
        <v>2420.8569082486538</v>
      </c>
      <c r="H786" s="38">
        <f t="shared" si="158"/>
        <v>160</v>
      </c>
      <c r="I786" s="39">
        <f t="shared" si="159"/>
        <v>160.87611225188226</v>
      </c>
      <c r="J786" s="40">
        <f t="shared" si="160"/>
        <v>65</v>
      </c>
      <c r="K786" s="43">
        <f>VLOOKUP(J786,Data!$Z$3:$AA$122,2)</f>
        <v>0</v>
      </c>
      <c r="L786" s="41">
        <f t="shared" si="161"/>
        <v>0.87611225188226172</v>
      </c>
      <c r="M786" s="43">
        <f>VLOOKUP(H786,Data!$P$3:$X$122,9)</f>
        <v>0</v>
      </c>
      <c r="N786" s="43">
        <f t="shared" si="164"/>
        <v>0</v>
      </c>
      <c r="O786" s="43">
        <f t="shared" si="165"/>
        <v>0</v>
      </c>
      <c r="P786" s="30">
        <f t="shared" si="166"/>
        <v>0</v>
      </c>
      <c r="Q786" s="31">
        <f t="shared" si="168"/>
        <v>848340.75061972369</v>
      </c>
    </row>
    <row r="787" spans="1:17" x14ac:dyDescent="0.25">
      <c r="A787" s="6">
        <f t="shared" si="167"/>
        <v>67145</v>
      </c>
      <c r="B787" s="30">
        <f>IFERROR(VLOOKUP(A787, Data!$L$3:$N$123, 3),1)*Pension</f>
        <v>509560.47132504755</v>
      </c>
      <c r="C787" s="37">
        <f t="shared" si="156"/>
        <v>65.33607118412047</v>
      </c>
      <c r="D787" s="37">
        <f>IFERROR(VLOOKUP(A787,Data!$I$3:$J$1442,2),0)</f>
        <v>8.2166225999999995E-2</v>
      </c>
      <c r="E787" s="37">
        <f t="shared" si="157"/>
        <v>8.1966225999999989E-2</v>
      </c>
      <c r="F787" s="37">
        <f t="shared" si="162"/>
        <v>4.7228106655189065E-3</v>
      </c>
      <c r="G787" s="30">
        <f t="shared" si="163"/>
        <v>2406.5576287007757</v>
      </c>
      <c r="H787" s="38">
        <f t="shared" si="158"/>
        <v>160</v>
      </c>
      <c r="I787" s="39">
        <f t="shared" si="159"/>
        <v>160.96098562628336</v>
      </c>
      <c r="J787" s="40">
        <f t="shared" si="160"/>
        <v>65</v>
      </c>
      <c r="K787" s="43">
        <f>VLOOKUP(J787,Data!$Z$3:$AA$122,2)</f>
        <v>0</v>
      </c>
      <c r="L787" s="41">
        <f t="shared" si="161"/>
        <v>0.96098562628336026</v>
      </c>
      <c r="M787" s="43">
        <f>VLOOKUP(H787,Data!$P$3:$X$122,9)</f>
        <v>0</v>
      </c>
      <c r="N787" s="43">
        <f t="shared" si="164"/>
        <v>0</v>
      </c>
      <c r="O787" s="43">
        <f t="shared" si="165"/>
        <v>0</v>
      </c>
      <c r="P787" s="30">
        <f t="shared" si="166"/>
        <v>0</v>
      </c>
      <c r="Q787" s="31">
        <f t="shared" si="168"/>
        <v>848340.75061972369</v>
      </c>
    </row>
    <row r="788" spans="1:17" x14ac:dyDescent="0.25">
      <c r="A788" s="6">
        <f t="shared" si="167"/>
        <v>67175</v>
      </c>
      <c r="B788" s="30">
        <f>IFERROR(VLOOKUP(A788, Data!$L$3:$N$123, 3),1)*Pension</f>
        <v>509560.47132504755</v>
      </c>
      <c r="C788" s="37">
        <f t="shared" si="156"/>
        <v>65.418206707734427</v>
      </c>
      <c r="D788" s="37">
        <f>IFERROR(VLOOKUP(A788,Data!$I$3:$J$1442,2),0)</f>
        <v>8.2150951999999999E-2</v>
      </c>
      <c r="E788" s="37">
        <f t="shared" si="157"/>
        <v>8.1950951999999994E-2</v>
      </c>
      <c r="F788" s="37">
        <f t="shared" si="162"/>
        <v>4.6958115938012697E-3</v>
      </c>
      <c r="G788" s="30">
        <f t="shared" si="163"/>
        <v>2392.7999689909975</v>
      </c>
      <c r="H788" s="38">
        <f t="shared" si="158"/>
        <v>161</v>
      </c>
      <c r="I788" s="39">
        <f t="shared" si="159"/>
        <v>161.04312114989733</v>
      </c>
      <c r="J788" s="40">
        <f t="shared" si="160"/>
        <v>66</v>
      </c>
      <c r="K788" s="43">
        <f>VLOOKUP(J788,Data!$Z$3:$AA$122,2)</f>
        <v>0</v>
      </c>
      <c r="L788" s="41">
        <f t="shared" si="161"/>
        <v>4.3121149897331179E-2</v>
      </c>
      <c r="M788" s="43">
        <f>VLOOKUP(H788,Data!$P$3:$X$122,9)</f>
        <v>0</v>
      </c>
      <c r="N788" s="43">
        <f t="shared" si="164"/>
        <v>0</v>
      </c>
      <c r="O788" s="43">
        <f t="shared" si="165"/>
        <v>0</v>
      </c>
      <c r="P788" s="30">
        <f t="shared" si="166"/>
        <v>0</v>
      </c>
      <c r="Q788" s="31">
        <f t="shared" si="168"/>
        <v>848340.75061972369</v>
      </c>
    </row>
    <row r="789" spans="1:17" x14ac:dyDescent="0.25">
      <c r="A789" s="6">
        <f t="shared" si="167"/>
        <v>67206</v>
      </c>
      <c r="B789" s="30">
        <f>IFERROR(VLOOKUP(A789, Data!$L$3:$N$123, 3),1)*Pension</f>
        <v>535038.49489129998</v>
      </c>
      <c r="C789" s="37">
        <f t="shared" si="156"/>
        <v>65.503080082135526</v>
      </c>
      <c r="D789" s="37">
        <f>IFERROR(VLOOKUP(A789,Data!$I$3:$J$1442,2),0)</f>
        <v>8.2135208000000001E-2</v>
      </c>
      <c r="E789" s="37">
        <f t="shared" si="157"/>
        <v>8.1935207999999995E-2</v>
      </c>
      <c r="F789" s="37">
        <f t="shared" si="162"/>
        <v>4.6680750311753685E-3</v>
      </c>
      <c r="G789" s="30">
        <f t="shared" si="163"/>
        <v>2497.5998387197274</v>
      </c>
      <c r="H789" s="38">
        <f t="shared" si="158"/>
        <v>161</v>
      </c>
      <c r="I789" s="39">
        <f t="shared" si="159"/>
        <v>161.12799452429843</v>
      </c>
      <c r="J789" s="40">
        <f t="shared" si="160"/>
        <v>66</v>
      </c>
      <c r="K789" s="43">
        <f>VLOOKUP(J789,Data!$Z$3:$AA$122,2)</f>
        <v>0</v>
      </c>
      <c r="L789" s="41">
        <f t="shared" si="161"/>
        <v>0.12799452429842972</v>
      </c>
      <c r="M789" s="43">
        <f>VLOOKUP(H789,Data!$P$3:$X$122,9)</f>
        <v>0</v>
      </c>
      <c r="N789" s="43">
        <f t="shared" si="164"/>
        <v>0</v>
      </c>
      <c r="O789" s="43">
        <f t="shared" si="165"/>
        <v>0</v>
      </c>
      <c r="P789" s="30">
        <f t="shared" si="166"/>
        <v>0</v>
      </c>
      <c r="Q789" s="31">
        <f t="shared" si="168"/>
        <v>848340.75061972369</v>
      </c>
    </row>
    <row r="790" spans="1:17" x14ac:dyDescent="0.25">
      <c r="A790" s="6">
        <f t="shared" si="167"/>
        <v>67237</v>
      </c>
      <c r="B790" s="30">
        <f>IFERROR(VLOOKUP(A790, Data!$L$3:$N$123, 3),1)*Pension</f>
        <v>535038.49489129998</v>
      </c>
      <c r="C790" s="37">
        <f t="shared" si="156"/>
        <v>65.587953456536624</v>
      </c>
      <c r="D790" s="37">
        <f>IFERROR(VLOOKUP(A790,Data!$I$3:$J$1442,2),0)</f>
        <v>8.2119504999999995E-2</v>
      </c>
      <c r="E790" s="37">
        <f t="shared" si="157"/>
        <v>8.191950499999999E-2</v>
      </c>
      <c r="F790" s="37">
        <f t="shared" si="162"/>
        <v>4.6405022219012026E-3</v>
      </c>
      <c r="G790" s="30">
        <f t="shared" si="163"/>
        <v>2482.8473243457529</v>
      </c>
      <c r="H790" s="38">
        <f t="shared" si="158"/>
        <v>161</v>
      </c>
      <c r="I790" s="39">
        <f t="shared" si="159"/>
        <v>161.21286789869953</v>
      </c>
      <c r="J790" s="40">
        <f t="shared" si="160"/>
        <v>66</v>
      </c>
      <c r="K790" s="43">
        <f>VLOOKUP(J790,Data!$Z$3:$AA$122,2)</f>
        <v>0</v>
      </c>
      <c r="L790" s="41">
        <f t="shared" si="161"/>
        <v>0.21286789869952827</v>
      </c>
      <c r="M790" s="43">
        <f>VLOOKUP(H790,Data!$P$3:$X$122,9)</f>
        <v>0</v>
      </c>
      <c r="N790" s="43">
        <f t="shared" si="164"/>
        <v>0</v>
      </c>
      <c r="O790" s="43">
        <f t="shared" si="165"/>
        <v>0</v>
      </c>
      <c r="P790" s="30">
        <f t="shared" si="166"/>
        <v>0</v>
      </c>
      <c r="Q790" s="31">
        <f t="shared" si="168"/>
        <v>848340.75061972369</v>
      </c>
    </row>
    <row r="791" spans="1:17" x14ac:dyDescent="0.25">
      <c r="A791" s="6">
        <f t="shared" si="167"/>
        <v>67266</v>
      </c>
      <c r="B791" s="30">
        <f>IFERROR(VLOOKUP(A791, Data!$L$3:$N$123, 3),1)*Pension</f>
        <v>535038.49489129998</v>
      </c>
      <c r="C791" s="37">
        <f t="shared" si="156"/>
        <v>65.667351129363453</v>
      </c>
      <c r="D791" s="37">
        <f>IFERROR(VLOOKUP(A791,Data!$I$3:$J$1442,2),0)</f>
        <v>8.2104852000000006E-2</v>
      </c>
      <c r="E791" s="37">
        <f t="shared" si="157"/>
        <v>8.1904852E-2</v>
      </c>
      <c r="F791" s="37">
        <f t="shared" si="162"/>
        <v>4.6148557167946186E-3</v>
      </c>
      <c r="G791" s="30">
        <f t="shared" si="163"/>
        <v>2469.125456854304</v>
      </c>
      <c r="H791" s="38">
        <f t="shared" si="158"/>
        <v>161</v>
      </c>
      <c r="I791" s="39">
        <f t="shared" si="159"/>
        <v>161.29226557152634</v>
      </c>
      <c r="J791" s="40">
        <f t="shared" si="160"/>
        <v>66</v>
      </c>
      <c r="K791" s="43">
        <f>VLOOKUP(J791,Data!$Z$3:$AA$122,2)</f>
        <v>0</v>
      </c>
      <c r="L791" s="41">
        <f t="shared" si="161"/>
        <v>0.29226557152634314</v>
      </c>
      <c r="M791" s="43">
        <f>VLOOKUP(H791,Data!$P$3:$X$122,9)</f>
        <v>0</v>
      </c>
      <c r="N791" s="43">
        <f t="shared" si="164"/>
        <v>0</v>
      </c>
      <c r="O791" s="43">
        <f t="shared" si="165"/>
        <v>0</v>
      </c>
      <c r="P791" s="30">
        <f t="shared" si="166"/>
        <v>0</v>
      </c>
      <c r="Q791" s="31">
        <f t="shared" si="168"/>
        <v>848340.75061972369</v>
      </c>
    </row>
    <row r="792" spans="1:17" x14ac:dyDescent="0.25">
      <c r="A792" s="6">
        <f t="shared" si="167"/>
        <v>67297</v>
      </c>
      <c r="B792" s="30">
        <f>IFERROR(VLOOKUP(A792, Data!$L$3:$N$123, 3),1)*Pension</f>
        <v>535038.49489129998</v>
      </c>
      <c r="C792" s="37">
        <f t="shared" si="156"/>
        <v>65.752224503764552</v>
      </c>
      <c r="D792" s="37">
        <f>IFERROR(VLOOKUP(A792,Data!$I$3:$J$1442,2),0)</f>
        <v>8.2089228E-2</v>
      </c>
      <c r="E792" s="37">
        <f t="shared" si="157"/>
        <v>8.1889227999999994E-2</v>
      </c>
      <c r="F792" s="37">
        <f t="shared" si="162"/>
        <v>4.58759708035111E-3</v>
      </c>
      <c r="G792" s="30">
        <f t="shared" si="163"/>
        <v>2454.5410370387799</v>
      </c>
      <c r="H792" s="38">
        <f t="shared" si="158"/>
        <v>161</v>
      </c>
      <c r="I792" s="39">
        <f t="shared" si="159"/>
        <v>161.37713894592744</v>
      </c>
      <c r="J792" s="40">
        <f t="shared" si="160"/>
        <v>66</v>
      </c>
      <c r="K792" s="43">
        <f>VLOOKUP(J792,Data!$Z$3:$AA$122,2)</f>
        <v>0</v>
      </c>
      <c r="L792" s="41">
        <f t="shared" si="161"/>
        <v>0.37713894592744168</v>
      </c>
      <c r="M792" s="43">
        <f>VLOOKUP(H792,Data!$P$3:$X$122,9)</f>
        <v>0</v>
      </c>
      <c r="N792" s="43">
        <f t="shared" si="164"/>
        <v>0</v>
      </c>
      <c r="O792" s="43">
        <f t="shared" si="165"/>
        <v>0</v>
      </c>
      <c r="P792" s="30">
        <f t="shared" si="166"/>
        <v>0</v>
      </c>
      <c r="Q792" s="31">
        <f t="shared" si="168"/>
        <v>848340.75061972369</v>
      </c>
    </row>
    <row r="793" spans="1:17" x14ac:dyDescent="0.25">
      <c r="A793" s="6">
        <f t="shared" si="167"/>
        <v>67327</v>
      </c>
      <c r="B793" s="30">
        <f>IFERROR(VLOOKUP(A793, Data!$L$3:$N$123, 3),1)*Pension</f>
        <v>535038.49489129998</v>
      </c>
      <c r="C793" s="37">
        <f t="shared" si="156"/>
        <v>65.834360027378509</v>
      </c>
      <c r="D793" s="37">
        <f>IFERROR(VLOOKUP(A793,Data!$I$3:$J$1442,2),0)</f>
        <v>8.2074146000000001E-2</v>
      </c>
      <c r="E793" s="37">
        <f t="shared" si="157"/>
        <v>8.1874145999999995E-2</v>
      </c>
      <c r="F793" s="37">
        <f t="shared" si="162"/>
        <v>4.5613711735669272E-3</v>
      </c>
      <c r="G793" s="30">
        <f t="shared" si="163"/>
        <v>2440.5091673458114</v>
      </c>
      <c r="H793" s="38">
        <f t="shared" si="158"/>
        <v>161</v>
      </c>
      <c r="I793" s="39">
        <f t="shared" si="159"/>
        <v>161.45927446954141</v>
      </c>
      <c r="J793" s="40">
        <f t="shared" si="160"/>
        <v>66</v>
      </c>
      <c r="K793" s="43">
        <f>VLOOKUP(J793,Data!$Z$3:$AA$122,2)</f>
        <v>0</v>
      </c>
      <c r="L793" s="41">
        <f t="shared" si="161"/>
        <v>0.4592744695414126</v>
      </c>
      <c r="M793" s="43">
        <f>VLOOKUP(H793,Data!$P$3:$X$122,9)</f>
        <v>0</v>
      </c>
      <c r="N793" s="43">
        <f t="shared" si="164"/>
        <v>0</v>
      </c>
      <c r="O793" s="43">
        <f t="shared" si="165"/>
        <v>0</v>
      </c>
      <c r="P793" s="30">
        <f t="shared" si="166"/>
        <v>0</v>
      </c>
      <c r="Q793" s="31">
        <f t="shared" si="168"/>
        <v>848340.75061972369</v>
      </c>
    </row>
    <row r="794" spans="1:17" x14ac:dyDescent="0.25">
      <c r="A794" s="6">
        <f t="shared" si="167"/>
        <v>67358</v>
      </c>
      <c r="B794" s="30">
        <f>IFERROR(VLOOKUP(A794, Data!$L$3:$N$123, 3),1)*Pension</f>
        <v>535038.49489129998</v>
      </c>
      <c r="C794" s="37">
        <f t="shared" si="156"/>
        <v>65.919233401779607</v>
      </c>
      <c r="D794" s="37">
        <f>IFERROR(VLOOKUP(A794,Data!$I$3:$J$1442,2),0)</f>
        <v>8.2058600999999995E-2</v>
      </c>
      <c r="E794" s="37">
        <f t="shared" si="157"/>
        <v>8.1858600999999989E-2</v>
      </c>
      <c r="F794" s="37">
        <f t="shared" si="162"/>
        <v>4.5344284906577211E-3</v>
      </c>
      <c r="G794" s="30">
        <f t="shared" si="163"/>
        <v>2426.0937948337364</v>
      </c>
      <c r="H794" s="38">
        <f t="shared" si="158"/>
        <v>161</v>
      </c>
      <c r="I794" s="39">
        <f t="shared" si="159"/>
        <v>161.54414784394251</v>
      </c>
      <c r="J794" s="40">
        <f t="shared" si="160"/>
        <v>66</v>
      </c>
      <c r="K794" s="43">
        <f>VLOOKUP(J794,Data!$Z$3:$AA$122,2)</f>
        <v>0</v>
      </c>
      <c r="L794" s="41">
        <f t="shared" si="161"/>
        <v>0.54414784394251114</v>
      </c>
      <c r="M794" s="43">
        <f>VLOOKUP(H794,Data!$P$3:$X$122,9)</f>
        <v>0</v>
      </c>
      <c r="N794" s="43">
        <f t="shared" si="164"/>
        <v>0</v>
      </c>
      <c r="O794" s="43">
        <f t="shared" si="165"/>
        <v>0</v>
      </c>
      <c r="P794" s="30">
        <f t="shared" si="166"/>
        <v>0</v>
      </c>
      <c r="Q794" s="31">
        <f t="shared" si="168"/>
        <v>848340.75061972369</v>
      </c>
    </row>
    <row r="795" spans="1:17" x14ac:dyDescent="0.25">
      <c r="A795" s="6">
        <f t="shared" si="167"/>
        <v>67388</v>
      </c>
      <c r="B795" s="30">
        <f>IFERROR(VLOOKUP(A795, Data!$L$3:$N$123, 3),1)*Pension</f>
        <v>535038.49489129998</v>
      </c>
      <c r="C795" s="37">
        <f t="shared" si="156"/>
        <v>66.001368925393564</v>
      </c>
      <c r="D795" s="37">
        <f>IFERROR(VLOOKUP(A795,Data!$I$3:$J$1442,2),0)</f>
        <v>8.2043594999999997E-2</v>
      </c>
      <c r="E795" s="37">
        <f t="shared" si="157"/>
        <v>8.1843594999999991E-2</v>
      </c>
      <c r="F795" s="37">
        <f t="shared" si="162"/>
        <v>4.5085066150961448E-3</v>
      </c>
      <c r="G795" s="30">
        <f t="shared" si="163"/>
        <v>2412.2245935485107</v>
      </c>
      <c r="H795" s="38">
        <f t="shared" si="158"/>
        <v>161</v>
      </c>
      <c r="I795" s="39">
        <f t="shared" si="159"/>
        <v>161.62628336755648</v>
      </c>
      <c r="J795" s="40">
        <f t="shared" si="160"/>
        <v>66</v>
      </c>
      <c r="K795" s="43">
        <f>VLOOKUP(J795,Data!$Z$3:$AA$122,2)</f>
        <v>0</v>
      </c>
      <c r="L795" s="41">
        <f t="shared" si="161"/>
        <v>0.62628336755648206</v>
      </c>
      <c r="M795" s="43">
        <f>VLOOKUP(H795,Data!$P$3:$X$122,9)</f>
        <v>0</v>
      </c>
      <c r="N795" s="43">
        <f t="shared" si="164"/>
        <v>0</v>
      </c>
      <c r="O795" s="43">
        <f t="shared" si="165"/>
        <v>0</v>
      </c>
      <c r="P795" s="30">
        <f t="shared" si="166"/>
        <v>0</v>
      </c>
      <c r="Q795" s="31">
        <f t="shared" si="168"/>
        <v>848340.75061972369</v>
      </c>
    </row>
    <row r="796" spans="1:17" x14ac:dyDescent="0.25">
      <c r="A796" s="6">
        <f t="shared" si="167"/>
        <v>67419</v>
      </c>
      <c r="B796" s="30">
        <f>IFERROR(VLOOKUP(A796, Data!$L$3:$N$123, 3),1)*Pension</f>
        <v>535038.49489129998</v>
      </c>
      <c r="C796" s="37">
        <f t="shared" si="156"/>
        <v>66.086242299794662</v>
      </c>
      <c r="D796" s="37">
        <f>IFERROR(VLOOKUP(A796,Data!$I$3:$J$1442,2),0)</f>
        <v>8.2028128000000006E-2</v>
      </c>
      <c r="E796" s="37">
        <f t="shared" si="157"/>
        <v>8.1828128E-2</v>
      </c>
      <c r="F796" s="37">
        <f t="shared" si="162"/>
        <v>4.4818763417876269E-3</v>
      </c>
      <c r="G796" s="30">
        <f t="shared" si="163"/>
        <v>2397.9763721989775</v>
      </c>
      <c r="H796" s="38">
        <f t="shared" si="158"/>
        <v>161</v>
      </c>
      <c r="I796" s="39">
        <f t="shared" si="159"/>
        <v>161.71115674195755</v>
      </c>
      <c r="J796" s="40">
        <f t="shared" si="160"/>
        <v>66</v>
      </c>
      <c r="K796" s="43">
        <f>VLOOKUP(J796,Data!$Z$3:$AA$122,2)</f>
        <v>0</v>
      </c>
      <c r="L796" s="41">
        <f t="shared" si="161"/>
        <v>0.71115674195755219</v>
      </c>
      <c r="M796" s="43">
        <f>VLOOKUP(H796,Data!$P$3:$X$122,9)</f>
        <v>0</v>
      </c>
      <c r="N796" s="43">
        <f t="shared" si="164"/>
        <v>0</v>
      </c>
      <c r="O796" s="43">
        <f t="shared" si="165"/>
        <v>0</v>
      </c>
      <c r="P796" s="30">
        <f t="shared" si="166"/>
        <v>0</v>
      </c>
      <c r="Q796" s="31">
        <f t="shared" si="168"/>
        <v>848340.75061972369</v>
      </c>
    </row>
    <row r="797" spans="1:17" x14ac:dyDescent="0.25">
      <c r="A797" s="6">
        <f t="shared" si="167"/>
        <v>67450</v>
      </c>
      <c r="B797" s="30">
        <f>IFERROR(VLOOKUP(A797, Data!$L$3:$N$123, 3),1)*Pension</f>
        <v>535038.49489129998</v>
      </c>
      <c r="C797" s="37">
        <f t="shared" si="156"/>
        <v>66.171115674195761</v>
      </c>
      <c r="D797" s="37">
        <f>IFERROR(VLOOKUP(A797,Data!$I$3:$J$1442,2),0)</f>
        <v>8.2012700999999993E-2</v>
      </c>
      <c r="E797" s="37">
        <f t="shared" si="157"/>
        <v>8.1812700999999988E-2</v>
      </c>
      <c r="F797" s="37">
        <f t="shared" si="162"/>
        <v>4.4554032695702473E-3</v>
      </c>
      <c r="G797" s="30">
        <f t="shared" si="163"/>
        <v>2383.8122594846418</v>
      </c>
      <c r="H797" s="38">
        <f t="shared" si="158"/>
        <v>161</v>
      </c>
      <c r="I797" s="39">
        <f t="shared" si="159"/>
        <v>161.79603011635865</v>
      </c>
      <c r="J797" s="40">
        <f t="shared" si="160"/>
        <v>66</v>
      </c>
      <c r="K797" s="43">
        <f>VLOOKUP(J797,Data!$Z$3:$AA$122,2)</f>
        <v>0</v>
      </c>
      <c r="L797" s="41">
        <f t="shared" si="161"/>
        <v>0.79603011635865073</v>
      </c>
      <c r="M797" s="43">
        <f>VLOOKUP(H797,Data!$P$3:$X$122,9)</f>
        <v>0</v>
      </c>
      <c r="N797" s="43">
        <f t="shared" si="164"/>
        <v>0</v>
      </c>
      <c r="O797" s="43">
        <f t="shared" si="165"/>
        <v>0</v>
      </c>
      <c r="P797" s="30">
        <f t="shared" si="166"/>
        <v>0</v>
      </c>
      <c r="Q797" s="31">
        <f t="shared" si="168"/>
        <v>848340.75061972369</v>
      </c>
    </row>
    <row r="798" spans="1:17" x14ac:dyDescent="0.25">
      <c r="A798" s="6">
        <f t="shared" si="167"/>
        <v>67480</v>
      </c>
      <c r="B798" s="30">
        <f>IFERROR(VLOOKUP(A798, Data!$L$3:$N$123, 3),1)*Pension</f>
        <v>535038.49489129998</v>
      </c>
      <c r="C798" s="37">
        <f t="shared" si="156"/>
        <v>66.253251197809718</v>
      </c>
      <c r="D798" s="37">
        <f>IFERROR(VLOOKUP(A798,Data!$I$3:$J$1442,2),0)</f>
        <v>8.1997809000000005E-2</v>
      </c>
      <c r="E798" s="37">
        <f t="shared" si="157"/>
        <v>8.1797808999999999E-2</v>
      </c>
      <c r="F798" s="37">
        <f t="shared" si="162"/>
        <v>4.4299331421366267E-3</v>
      </c>
      <c r="G798" s="30">
        <f t="shared" si="163"/>
        <v>2370.184760837868</v>
      </c>
      <c r="H798" s="38">
        <f t="shared" si="158"/>
        <v>161</v>
      </c>
      <c r="I798" s="39">
        <f t="shared" si="159"/>
        <v>161.87816563997262</v>
      </c>
      <c r="J798" s="40">
        <f t="shared" si="160"/>
        <v>66</v>
      </c>
      <c r="K798" s="43">
        <f>VLOOKUP(J798,Data!$Z$3:$AA$122,2)</f>
        <v>0</v>
      </c>
      <c r="L798" s="41">
        <f t="shared" si="161"/>
        <v>0.87816563997262165</v>
      </c>
      <c r="M798" s="43">
        <f>VLOOKUP(H798,Data!$P$3:$X$122,9)</f>
        <v>0</v>
      </c>
      <c r="N798" s="43">
        <f t="shared" si="164"/>
        <v>0</v>
      </c>
      <c r="O798" s="43">
        <f t="shared" si="165"/>
        <v>0</v>
      </c>
      <c r="P798" s="30">
        <f t="shared" si="166"/>
        <v>0</v>
      </c>
      <c r="Q798" s="31">
        <f t="shared" si="168"/>
        <v>848340.75061972369</v>
      </c>
    </row>
    <row r="799" spans="1:17" x14ac:dyDescent="0.25">
      <c r="A799" s="6">
        <f t="shared" si="167"/>
        <v>67511</v>
      </c>
      <c r="B799" s="30">
        <f>IFERROR(VLOOKUP(A799, Data!$L$3:$N$123, 3),1)*Pension</f>
        <v>535038.49489129998</v>
      </c>
      <c r="C799" s="37">
        <f t="shared" si="156"/>
        <v>66.338124572210816</v>
      </c>
      <c r="D799" s="37">
        <f>IFERROR(VLOOKUP(A799,Data!$I$3:$J$1442,2),0)</f>
        <v>8.1982459999999993E-2</v>
      </c>
      <c r="E799" s="37">
        <f t="shared" si="157"/>
        <v>8.1782459999999987E-2</v>
      </c>
      <c r="F799" s="37">
        <f t="shared" si="162"/>
        <v>4.4037667739464312E-3</v>
      </c>
      <c r="G799" s="30">
        <f t="shared" si="163"/>
        <v>2356.184746584614</v>
      </c>
      <c r="H799" s="38">
        <f t="shared" si="158"/>
        <v>161</v>
      </c>
      <c r="I799" s="39">
        <f t="shared" si="159"/>
        <v>161.96303901437372</v>
      </c>
      <c r="J799" s="40">
        <f t="shared" si="160"/>
        <v>66</v>
      </c>
      <c r="K799" s="43">
        <f>VLOOKUP(J799,Data!$Z$3:$AA$122,2)</f>
        <v>0</v>
      </c>
      <c r="L799" s="41">
        <f t="shared" si="161"/>
        <v>0.96303901437372019</v>
      </c>
      <c r="M799" s="43">
        <f>VLOOKUP(H799,Data!$P$3:$X$122,9)</f>
        <v>0</v>
      </c>
      <c r="N799" s="43">
        <f t="shared" si="164"/>
        <v>0</v>
      </c>
      <c r="O799" s="43">
        <f t="shared" si="165"/>
        <v>0</v>
      </c>
      <c r="P799" s="30">
        <f t="shared" si="166"/>
        <v>0</v>
      </c>
      <c r="Q799" s="31">
        <f t="shared" si="168"/>
        <v>848340.75061972369</v>
      </c>
    </row>
    <row r="800" spans="1:17" x14ac:dyDescent="0.25">
      <c r="A800" s="6">
        <f t="shared" si="167"/>
        <v>67541</v>
      </c>
      <c r="B800" s="30">
        <f>IFERROR(VLOOKUP(A800, Data!$L$3:$N$123, 3),1)*Pension</f>
        <v>535038.49489129998</v>
      </c>
      <c r="C800" s="37">
        <f t="shared" si="156"/>
        <v>66.420260095824773</v>
      </c>
      <c r="D800" s="37">
        <f>IFERROR(VLOOKUP(A800,Data!$I$3:$J$1442,2),0)</f>
        <v>8.1967643000000007E-2</v>
      </c>
      <c r="E800" s="37">
        <f t="shared" si="157"/>
        <v>8.1767643000000001E-2</v>
      </c>
      <c r="F800" s="37">
        <f t="shared" si="162"/>
        <v>4.3785917897320231E-3</v>
      </c>
      <c r="G800" s="30">
        <f t="shared" si="163"/>
        <v>2342.7151609216253</v>
      </c>
      <c r="H800" s="38">
        <f t="shared" si="158"/>
        <v>162</v>
      </c>
      <c r="I800" s="39">
        <f t="shared" si="159"/>
        <v>162.04517453798769</v>
      </c>
      <c r="J800" s="40">
        <f t="shared" si="160"/>
        <v>67</v>
      </c>
      <c r="K800" s="43">
        <f>VLOOKUP(J800,Data!$Z$3:$AA$122,2)</f>
        <v>0</v>
      </c>
      <c r="L800" s="41">
        <f t="shared" si="161"/>
        <v>4.517453798769111E-2</v>
      </c>
      <c r="M800" s="43">
        <f>VLOOKUP(H800,Data!$P$3:$X$122,9)</f>
        <v>0</v>
      </c>
      <c r="N800" s="43">
        <f t="shared" si="164"/>
        <v>0</v>
      </c>
      <c r="O800" s="43">
        <f t="shared" si="165"/>
        <v>0</v>
      </c>
      <c r="P800" s="30">
        <f t="shared" si="166"/>
        <v>0</v>
      </c>
      <c r="Q800" s="31">
        <f t="shared" si="168"/>
        <v>848340.75061972369</v>
      </c>
    </row>
    <row r="801" spans="1:17" x14ac:dyDescent="0.25">
      <c r="A801" s="6">
        <f t="shared" si="167"/>
        <v>67572</v>
      </c>
      <c r="B801" s="30">
        <f>IFERROR(VLOOKUP(A801, Data!$L$3:$N$123, 3),1)*Pension</f>
        <v>561790.41963586491</v>
      </c>
      <c r="C801" s="37">
        <f t="shared" si="156"/>
        <v>66.505133470225871</v>
      </c>
      <c r="D801" s="37">
        <f>IFERROR(VLOOKUP(A801,Data!$I$3:$J$1442,2),0)</f>
        <v>8.1952370999999996E-2</v>
      </c>
      <c r="E801" s="37">
        <f t="shared" si="157"/>
        <v>8.175237099999999E-2</v>
      </c>
      <c r="F801" s="37">
        <f t="shared" si="162"/>
        <v>4.3527286927103805E-3</v>
      </c>
      <c r="G801" s="30">
        <f t="shared" si="163"/>
        <v>2445.3212788388341</v>
      </c>
      <c r="H801" s="38">
        <f t="shared" si="158"/>
        <v>162</v>
      </c>
      <c r="I801" s="39">
        <f t="shared" si="159"/>
        <v>162.13004791238876</v>
      </c>
      <c r="J801" s="40">
        <f t="shared" si="160"/>
        <v>67</v>
      </c>
      <c r="K801" s="43">
        <f>VLOOKUP(J801,Data!$Z$3:$AA$122,2)</f>
        <v>0</v>
      </c>
      <c r="L801" s="41">
        <f t="shared" si="161"/>
        <v>0.13004791238876123</v>
      </c>
      <c r="M801" s="43">
        <f>VLOOKUP(H801,Data!$P$3:$X$122,9)</f>
        <v>0</v>
      </c>
      <c r="N801" s="43">
        <f t="shared" si="164"/>
        <v>0</v>
      </c>
      <c r="O801" s="43">
        <f t="shared" si="165"/>
        <v>0</v>
      </c>
      <c r="P801" s="30">
        <f t="shared" si="166"/>
        <v>0</v>
      </c>
      <c r="Q801" s="31">
        <f t="shared" si="168"/>
        <v>848340.75061972369</v>
      </c>
    </row>
    <row r="802" spans="1:17" x14ac:dyDescent="0.25">
      <c r="A802" s="6">
        <f t="shared" si="167"/>
        <v>67603</v>
      </c>
      <c r="B802" s="30">
        <f>IFERROR(VLOOKUP(A802, Data!$L$3:$N$123, 3),1)*Pension</f>
        <v>561790.41963586491</v>
      </c>
      <c r="C802" s="37">
        <f t="shared" si="156"/>
        <v>66.59000684462697</v>
      </c>
      <c r="D802" s="37">
        <f>IFERROR(VLOOKUP(A802,Data!$I$3:$J$1442,2),0)</f>
        <v>8.1937136999999993E-2</v>
      </c>
      <c r="E802" s="37">
        <f t="shared" si="157"/>
        <v>8.1737136999999987E-2</v>
      </c>
      <c r="F802" s="37">
        <f t="shared" si="162"/>
        <v>4.3270186297186984E-3</v>
      </c>
      <c r="G802" s="30">
        <f t="shared" si="163"/>
        <v>2430.8776117618727</v>
      </c>
      <c r="H802" s="38">
        <f t="shared" si="158"/>
        <v>162</v>
      </c>
      <c r="I802" s="39">
        <f t="shared" si="159"/>
        <v>162.21492128678986</v>
      </c>
      <c r="J802" s="40">
        <f t="shared" si="160"/>
        <v>67</v>
      </c>
      <c r="K802" s="43">
        <f>VLOOKUP(J802,Data!$Z$3:$AA$122,2)</f>
        <v>0</v>
      </c>
      <c r="L802" s="41">
        <f t="shared" si="161"/>
        <v>0.21492128678985978</v>
      </c>
      <c r="M802" s="43">
        <f>VLOOKUP(H802,Data!$P$3:$X$122,9)</f>
        <v>0</v>
      </c>
      <c r="N802" s="43">
        <f t="shared" si="164"/>
        <v>0</v>
      </c>
      <c r="O802" s="43">
        <f t="shared" si="165"/>
        <v>0</v>
      </c>
      <c r="P802" s="30">
        <f t="shared" si="166"/>
        <v>0</v>
      </c>
      <c r="Q802" s="31">
        <f t="shared" si="168"/>
        <v>848340.75061972369</v>
      </c>
    </row>
    <row r="803" spans="1:17" x14ac:dyDescent="0.25">
      <c r="A803" s="6">
        <f t="shared" si="167"/>
        <v>67631</v>
      </c>
      <c r="B803" s="30">
        <f>IFERROR(VLOOKUP(A803, Data!$L$3:$N$123, 3),1)*Pension</f>
        <v>561790.41963586491</v>
      </c>
      <c r="C803" s="37">
        <f t="shared" si="156"/>
        <v>66.666666666666671</v>
      </c>
      <c r="D803" s="37">
        <f>IFERROR(VLOOKUP(A803,Data!$I$3:$J$1442,2),0)</f>
        <v>8.1923411000000002E-2</v>
      </c>
      <c r="E803" s="37">
        <f t="shared" si="157"/>
        <v>8.1723410999999996E-2</v>
      </c>
      <c r="F803" s="37">
        <f t="shared" si="162"/>
        <v>4.303927074169725E-3</v>
      </c>
      <c r="G803" s="30">
        <f t="shared" si="163"/>
        <v>2417.9049970799701</v>
      </c>
      <c r="H803" s="38">
        <f t="shared" si="158"/>
        <v>162</v>
      </c>
      <c r="I803" s="39">
        <f t="shared" si="159"/>
        <v>162.29158110882958</v>
      </c>
      <c r="J803" s="40">
        <f t="shared" si="160"/>
        <v>67</v>
      </c>
      <c r="K803" s="43">
        <f>VLOOKUP(J803,Data!$Z$3:$AA$122,2)</f>
        <v>0</v>
      </c>
      <c r="L803" s="41">
        <f t="shared" si="161"/>
        <v>0.29158110882957544</v>
      </c>
      <c r="M803" s="43">
        <f>VLOOKUP(H803,Data!$P$3:$X$122,9)</f>
        <v>0</v>
      </c>
      <c r="N803" s="43">
        <f t="shared" si="164"/>
        <v>0</v>
      </c>
      <c r="O803" s="43">
        <f t="shared" si="165"/>
        <v>0</v>
      </c>
      <c r="P803" s="30">
        <f t="shared" si="166"/>
        <v>0</v>
      </c>
      <c r="Q803" s="31">
        <f t="shared" si="168"/>
        <v>848340.75061972369</v>
      </c>
    </row>
    <row r="804" spans="1:17" x14ac:dyDescent="0.25">
      <c r="A804" s="6">
        <f t="shared" si="167"/>
        <v>67662</v>
      </c>
      <c r="B804" s="30">
        <f>IFERROR(VLOOKUP(A804, Data!$L$3:$N$123, 3),1)*Pension</f>
        <v>561790.41963586491</v>
      </c>
      <c r="C804" s="37">
        <f t="shared" si="156"/>
        <v>66.751540041067756</v>
      </c>
      <c r="D804" s="37">
        <f>IFERROR(VLOOKUP(A804,Data!$I$3:$J$1442,2),0)</f>
        <v>8.1908252000000001E-2</v>
      </c>
      <c r="E804" s="37">
        <f t="shared" si="157"/>
        <v>8.1708251999999995E-2</v>
      </c>
      <c r="F804" s="37">
        <f t="shared" si="162"/>
        <v>4.278504890510175E-3</v>
      </c>
      <c r="G804" s="30">
        <f t="shared" si="163"/>
        <v>2403.6230578538116</v>
      </c>
      <c r="H804" s="38">
        <f t="shared" si="158"/>
        <v>162</v>
      </c>
      <c r="I804" s="39">
        <f t="shared" si="159"/>
        <v>162.37645448323067</v>
      </c>
      <c r="J804" s="40">
        <f t="shared" si="160"/>
        <v>67</v>
      </c>
      <c r="K804" s="43">
        <f>VLOOKUP(J804,Data!$Z$3:$AA$122,2)</f>
        <v>0</v>
      </c>
      <c r="L804" s="41">
        <f t="shared" si="161"/>
        <v>0.37645448323067399</v>
      </c>
      <c r="M804" s="43">
        <f>VLOOKUP(H804,Data!$P$3:$X$122,9)</f>
        <v>0</v>
      </c>
      <c r="N804" s="43">
        <f t="shared" si="164"/>
        <v>0</v>
      </c>
      <c r="O804" s="43">
        <f t="shared" si="165"/>
        <v>0</v>
      </c>
      <c r="P804" s="30">
        <f t="shared" si="166"/>
        <v>0</v>
      </c>
      <c r="Q804" s="31">
        <f t="shared" si="168"/>
        <v>848340.75061972369</v>
      </c>
    </row>
    <row r="805" spans="1:17" x14ac:dyDescent="0.25">
      <c r="A805" s="6">
        <f t="shared" si="167"/>
        <v>67692</v>
      </c>
      <c r="B805" s="30">
        <f>IFERROR(VLOOKUP(A805, Data!$L$3:$N$123, 3),1)*Pension</f>
        <v>561790.41963586491</v>
      </c>
      <c r="C805" s="37">
        <f t="shared" si="156"/>
        <v>66.833675564681727</v>
      </c>
      <c r="D805" s="37">
        <f>IFERROR(VLOOKUP(A805,Data!$I$3:$J$1442,2),0)</f>
        <v>8.1893617000000002E-2</v>
      </c>
      <c r="E805" s="37">
        <f t="shared" si="157"/>
        <v>8.1693616999999996E-2</v>
      </c>
      <c r="F805" s="37">
        <f t="shared" si="162"/>
        <v>4.2540462323859855E-3</v>
      </c>
      <c r="G805" s="30">
        <f t="shared" si="163"/>
        <v>2389.8824180424926</v>
      </c>
      <c r="H805" s="38">
        <f t="shared" si="158"/>
        <v>162</v>
      </c>
      <c r="I805" s="39">
        <f t="shared" si="159"/>
        <v>162.45859000684462</v>
      </c>
      <c r="J805" s="40">
        <f t="shared" si="160"/>
        <v>67</v>
      </c>
      <c r="K805" s="43">
        <f>VLOOKUP(J805,Data!$Z$3:$AA$122,2)</f>
        <v>0</v>
      </c>
      <c r="L805" s="41">
        <f t="shared" si="161"/>
        <v>0.45859000684461648</v>
      </c>
      <c r="M805" s="43">
        <f>VLOOKUP(H805,Data!$P$3:$X$122,9)</f>
        <v>0</v>
      </c>
      <c r="N805" s="43">
        <f t="shared" si="164"/>
        <v>0</v>
      </c>
      <c r="O805" s="43">
        <f t="shared" si="165"/>
        <v>0</v>
      </c>
      <c r="P805" s="30">
        <f t="shared" si="166"/>
        <v>0</v>
      </c>
      <c r="Q805" s="31">
        <f t="shared" si="168"/>
        <v>848340.75061972369</v>
      </c>
    </row>
    <row r="806" spans="1:17" x14ac:dyDescent="0.25">
      <c r="A806" s="6">
        <f t="shared" si="167"/>
        <v>67723</v>
      </c>
      <c r="B806" s="30">
        <f>IFERROR(VLOOKUP(A806, Data!$L$3:$N$123, 3),1)*Pension</f>
        <v>561790.41963586491</v>
      </c>
      <c r="C806" s="37">
        <f t="shared" si="156"/>
        <v>66.918548939082825</v>
      </c>
      <c r="D806" s="37">
        <f>IFERROR(VLOOKUP(A806,Data!$I$3:$J$1442,2),0)</f>
        <v>8.1878533000000003E-2</v>
      </c>
      <c r="E806" s="37">
        <f t="shared" si="157"/>
        <v>8.1678532999999998E-2</v>
      </c>
      <c r="F806" s="37">
        <f t="shared" si="162"/>
        <v>4.2289188575124984E-3</v>
      </c>
      <c r="G806" s="30">
        <f t="shared" si="163"/>
        <v>2375.7660995679689</v>
      </c>
      <c r="H806" s="38">
        <f t="shared" si="158"/>
        <v>162</v>
      </c>
      <c r="I806" s="39">
        <f t="shared" si="159"/>
        <v>162.54346338124572</v>
      </c>
      <c r="J806" s="40">
        <f t="shared" si="160"/>
        <v>67</v>
      </c>
      <c r="K806" s="43">
        <f>VLOOKUP(J806,Data!$Z$3:$AA$122,2)</f>
        <v>0</v>
      </c>
      <c r="L806" s="41">
        <f t="shared" si="161"/>
        <v>0.54346338124571503</v>
      </c>
      <c r="M806" s="43">
        <f>VLOOKUP(H806,Data!$P$3:$X$122,9)</f>
        <v>0</v>
      </c>
      <c r="N806" s="43">
        <f t="shared" si="164"/>
        <v>0</v>
      </c>
      <c r="O806" s="43">
        <f t="shared" si="165"/>
        <v>0</v>
      </c>
      <c r="P806" s="30">
        <f t="shared" si="166"/>
        <v>0</v>
      </c>
      <c r="Q806" s="31">
        <f t="shared" si="168"/>
        <v>848340.75061972369</v>
      </c>
    </row>
    <row r="807" spans="1:17" x14ac:dyDescent="0.25">
      <c r="A807" s="6">
        <f t="shared" si="167"/>
        <v>67753</v>
      </c>
      <c r="B807" s="30">
        <f>IFERROR(VLOOKUP(A807, Data!$L$3:$N$123, 3),1)*Pension</f>
        <v>561790.41963586491</v>
      </c>
      <c r="C807" s="37">
        <f t="shared" si="156"/>
        <v>67.000684462696782</v>
      </c>
      <c r="D807" s="37">
        <f>IFERROR(VLOOKUP(A807,Data!$I$3:$J$1442,2),0)</f>
        <v>8.1863971999999993E-2</v>
      </c>
      <c r="E807" s="37">
        <f t="shared" si="157"/>
        <v>8.1663971999999987E-2</v>
      </c>
      <c r="F807" s="37">
        <f t="shared" si="162"/>
        <v>4.2047433582419703E-3</v>
      </c>
      <c r="G807" s="30">
        <f t="shared" si="163"/>
        <v>2362.1845356878725</v>
      </c>
      <c r="H807" s="38">
        <f t="shared" si="158"/>
        <v>162</v>
      </c>
      <c r="I807" s="39">
        <f t="shared" si="159"/>
        <v>162.62559890485969</v>
      </c>
      <c r="J807" s="40">
        <f t="shared" si="160"/>
        <v>67</v>
      </c>
      <c r="K807" s="43">
        <f>VLOOKUP(J807,Data!$Z$3:$AA$122,2)</f>
        <v>0</v>
      </c>
      <c r="L807" s="41">
        <f t="shared" si="161"/>
        <v>0.62559890485968594</v>
      </c>
      <c r="M807" s="43">
        <f>VLOOKUP(H807,Data!$P$3:$X$122,9)</f>
        <v>0</v>
      </c>
      <c r="N807" s="43">
        <f t="shared" si="164"/>
        <v>0</v>
      </c>
      <c r="O807" s="43">
        <f t="shared" si="165"/>
        <v>0</v>
      </c>
      <c r="P807" s="30">
        <f t="shared" si="166"/>
        <v>0</v>
      </c>
      <c r="Q807" s="31">
        <f t="shared" si="168"/>
        <v>848340.75061972369</v>
      </c>
    </row>
    <row r="808" spans="1:17" x14ac:dyDescent="0.25">
      <c r="A808" s="6">
        <f t="shared" si="167"/>
        <v>67784</v>
      </c>
      <c r="B808" s="30">
        <f>IFERROR(VLOOKUP(A808, Data!$L$3:$N$123, 3),1)*Pension</f>
        <v>561790.41963586491</v>
      </c>
      <c r="C808" s="37">
        <f t="shared" si="156"/>
        <v>67.08555783709788</v>
      </c>
      <c r="D808" s="37">
        <f>IFERROR(VLOOKUP(A808,Data!$I$3:$J$1442,2),0)</f>
        <v>8.1848962999999997E-2</v>
      </c>
      <c r="E808" s="37">
        <f t="shared" si="157"/>
        <v>8.1648962999999991E-2</v>
      </c>
      <c r="F808" s="37">
        <f t="shared" si="162"/>
        <v>4.1799072166079851E-3</v>
      </c>
      <c r="G808" s="30">
        <f t="shared" si="163"/>
        <v>2348.2318292571799</v>
      </c>
      <c r="H808" s="38">
        <f t="shared" si="158"/>
        <v>162</v>
      </c>
      <c r="I808" s="39">
        <f t="shared" si="159"/>
        <v>162.71047227926078</v>
      </c>
      <c r="J808" s="40">
        <f t="shared" si="160"/>
        <v>67</v>
      </c>
      <c r="K808" s="43">
        <f>VLOOKUP(J808,Data!$Z$3:$AA$122,2)</f>
        <v>0</v>
      </c>
      <c r="L808" s="41">
        <f t="shared" si="161"/>
        <v>0.71047227926078449</v>
      </c>
      <c r="M808" s="43">
        <f>VLOOKUP(H808,Data!$P$3:$X$122,9)</f>
        <v>0</v>
      </c>
      <c r="N808" s="43">
        <f t="shared" si="164"/>
        <v>0</v>
      </c>
      <c r="O808" s="43">
        <f t="shared" si="165"/>
        <v>0</v>
      </c>
      <c r="P808" s="30">
        <f t="shared" si="166"/>
        <v>0</v>
      </c>
      <c r="Q808" s="31">
        <f t="shared" si="168"/>
        <v>848340.75061972369</v>
      </c>
    </row>
    <row r="809" spans="1:17" x14ac:dyDescent="0.25">
      <c r="A809" s="6">
        <f t="shared" si="167"/>
        <v>67815</v>
      </c>
      <c r="B809" s="30">
        <f>IFERROR(VLOOKUP(A809, Data!$L$3:$N$123, 3),1)*Pension</f>
        <v>561790.41963586491</v>
      </c>
      <c r="C809" s="37">
        <f t="shared" si="156"/>
        <v>67.170431211498979</v>
      </c>
      <c r="D809" s="37">
        <f>IFERROR(VLOOKUP(A809,Data!$I$3:$J$1442,2),0)</f>
        <v>8.1833991999999994E-2</v>
      </c>
      <c r="E809" s="37">
        <f t="shared" si="157"/>
        <v>8.1633991999999989E-2</v>
      </c>
      <c r="F809" s="37">
        <f t="shared" si="162"/>
        <v>4.1552177547909044E-3</v>
      </c>
      <c r="G809" s="30">
        <f t="shared" si="163"/>
        <v>2334.3615261423784</v>
      </c>
      <c r="H809" s="38">
        <f t="shared" si="158"/>
        <v>162</v>
      </c>
      <c r="I809" s="39">
        <f t="shared" si="159"/>
        <v>162.79534565366188</v>
      </c>
      <c r="J809" s="40">
        <f t="shared" si="160"/>
        <v>67</v>
      </c>
      <c r="K809" s="43">
        <f>VLOOKUP(J809,Data!$Z$3:$AA$122,2)</f>
        <v>0</v>
      </c>
      <c r="L809" s="41">
        <f t="shared" si="161"/>
        <v>0.79534565366188303</v>
      </c>
      <c r="M809" s="43">
        <f>VLOOKUP(H809,Data!$P$3:$X$122,9)</f>
        <v>0</v>
      </c>
      <c r="N809" s="43">
        <f t="shared" si="164"/>
        <v>0</v>
      </c>
      <c r="O809" s="43">
        <f t="shared" si="165"/>
        <v>0</v>
      </c>
      <c r="P809" s="30">
        <f t="shared" si="166"/>
        <v>0</v>
      </c>
      <c r="Q809" s="31">
        <f t="shared" si="168"/>
        <v>848340.75061972369</v>
      </c>
    </row>
    <row r="810" spans="1:17" x14ac:dyDescent="0.25">
      <c r="A810" s="6">
        <f t="shared" si="167"/>
        <v>67845</v>
      </c>
      <c r="B810" s="30">
        <f>IFERROR(VLOOKUP(A810, Data!$L$3:$N$123, 3),1)*Pension</f>
        <v>561790.41963586491</v>
      </c>
      <c r="C810" s="37">
        <f t="shared" si="156"/>
        <v>67.252566735112936</v>
      </c>
      <c r="D810" s="37">
        <f>IFERROR(VLOOKUP(A810,Data!$I$3:$J$1442,2),0)</f>
        <v>8.1819539999999996E-2</v>
      </c>
      <c r="E810" s="37">
        <f t="shared" si="157"/>
        <v>8.161953999999999E-2</v>
      </c>
      <c r="F810" s="37">
        <f t="shared" si="162"/>
        <v>4.1314635648084467E-3</v>
      </c>
      <c r="G810" s="30">
        <f t="shared" si="163"/>
        <v>2321.0166497840237</v>
      </c>
      <c r="H810" s="38">
        <f t="shared" si="158"/>
        <v>162</v>
      </c>
      <c r="I810" s="39">
        <f t="shared" si="159"/>
        <v>162.87748117727583</v>
      </c>
      <c r="J810" s="40">
        <f t="shared" si="160"/>
        <v>67</v>
      </c>
      <c r="K810" s="43">
        <f>VLOOKUP(J810,Data!$Z$3:$AA$122,2)</f>
        <v>0</v>
      </c>
      <c r="L810" s="41">
        <f t="shared" si="161"/>
        <v>0.87748117727582553</v>
      </c>
      <c r="M810" s="43">
        <f>VLOOKUP(H810,Data!$P$3:$X$122,9)</f>
        <v>0</v>
      </c>
      <c r="N810" s="43">
        <f t="shared" si="164"/>
        <v>0</v>
      </c>
      <c r="O810" s="43">
        <f t="shared" si="165"/>
        <v>0</v>
      </c>
      <c r="P810" s="30">
        <f t="shared" si="166"/>
        <v>0</v>
      </c>
      <c r="Q810" s="31">
        <f t="shared" si="168"/>
        <v>848340.75061972369</v>
      </c>
    </row>
    <row r="811" spans="1:17" x14ac:dyDescent="0.25">
      <c r="A811" s="6">
        <f t="shared" si="167"/>
        <v>67876</v>
      </c>
      <c r="B811" s="30">
        <f>IFERROR(VLOOKUP(A811, Data!$L$3:$N$123, 3),1)*Pension</f>
        <v>561790.41963586491</v>
      </c>
      <c r="C811" s="37">
        <f t="shared" si="156"/>
        <v>67.337440109514034</v>
      </c>
      <c r="D811" s="37">
        <f>IFERROR(VLOOKUP(A811,Data!$I$3:$J$1442,2),0)</f>
        <v>8.1804642999999996E-2</v>
      </c>
      <c r="E811" s="37">
        <f t="shared" si="157"/>
        <v>8.1604642999999991E-2</v>
      </c>
      <c r="F811" s="37">
        <f t="shared" si="162"/>
        <v>4.1070603049075602E-3</v>
      </c>
      <c r="G811" s="30">
        <f t="shared" si="163"/>
        <v>2307.3071321638217</v>
      </c>
      <c r="H811" s="38">
        <f t="shared" si="158"/>
        <v>162</v>
      </c>
      <c r="I811" s="39">
        <f t="shared" si="159"/>
        <v>162.96235455167692</v>
      </c>
      <c r="J811" s="40">
        <f t="shared" si="160"/>
        <v>67</v>
      </c>
      <c r="K811" s="43">
        <f>VLOOKUP(J811,Data!$Z$3:$AA$122,2)</f>
        <v>0</v>
      </c>
      <c r="L811" s="41">
        <f t="shared" si="161"/>
        <v>0.96235455167692407</v>
      </c>
      <c r="M811" s="43">
        <f>VLOOKUP(H811,Data!$P$3:$X$122,9)</f>
        <v>0</v>
      </c>
      <c r="N811" s="43">
        <f t="shared" si="164"/>
        <v>0</v>
      </c>
      <c r="O811" s="43">
        <f t="shared" si="165"/>
        <v>0</v>
      </c>
      <c r="P811" s="30">
        <f t="shared" si="166"/>
        <v>0</v>
      </c>
      <c r="Q811" s="31">
        <f t="shared" si="168"/>
        <v>848340.75061972369</v>
      </c>
    </row>
    <row r="812" spans="1:17" x14ac:dyDescent="0.25">
      <c r="A812" s="6">
        <f t="shared" si="167"/>
        <v>67906</v>
      </c>
      <c r="B812" s="30">
        <f>IFERROR(VLOOKUP(A812, Data!$L$3:$N$123, 3),1)*Pension</f>
        <v>561790.41963586491</v>
      </c>
      <c r="C812" s="37">
        <f t="shared" si="156"/>
        <v>67.419575633127991</v>
      </c>
      <c r="D812" s="37">
        <f>IFERROR(VLOOKUP(A812,Data!$I$3:$J$1442,2),0)</f>
        <v>8.1790262000000002E-2</v>
      </c>
      <c r="E812" s="37">
        <f t="shared" si="157"/>
        <v>8.1590261999999997E-2</v>
      </c>
      <c r="F812" s="37">
        <f t="shared" si="162"/>
        <v>4.0835815700756249E-3</v>
      </c>
      <c r="G812" s="30">
        <f t="shared" si="163"/>
        <v>2294.1170038700693</v>
      </c>
      <c r="H812" s="38">
        <f t="shared" si="158"/>
        <v>163</v>
      </c>
      <c r="I812" s="39">
        <f t="shared" si="159"/>
        <v>163.04449007529089</v>
      </c>
      <c r="J812" s="40">
        <f t="shared" si="160"/>
        <v>68</v>
      </c>
      <c r="K812" s="43">
        <f>VLOOKUP(J812,Data!$Z$3:$AA$122,2)</f>
        <v>0</v>
      </c>
      <c r="L812" s="41">
        <f t="shared" si="161"/>
        <v>4.4490075290894993E-2</v>
      </c>
      <c r="M812" s="43">
        <f>VLOOKUP(H812,Data!$P$3:$X$122,9)</f>
        <v>0</v>
      </c>
      <c r="N812" s="43">
        <f t="shared" si="164"/>
        <v>0</v>
      </c>
      <c r="O812" s="43">
        <f t="shared" si="165"/>
        <v>0</v>
      </c>
      <c r="P812" s="30">
        <f t="shared" si="166"/>
        <v>0</v>
      </c>
      <c r="Q812" s="31">
        <f t="shared" si="168"/>
        <v>848340.75061972369</v>
      </c>
    </row>
    <row r="813" spans="1:17" x14ac:dyDescent="0.25">
      <c r="A813" s="6">
        <f t="shared" si="167"/>
        <v>67937</v>
      </c>
      <c r="B813" s="30">
        <f>IFERROR(VLOOKUP(A813, Data!$L$3:$N$123, 3),1)*Pension</f>
        <v>589879.9406176582</v>
      </c>
      <c r="C813" s="37">
        <f t="shared" si="156"/>
        <v>67.504449007529089</v>
      </c>
      <c r="D813" s="37">
        <f>IFERROR(VLOOKUP(A813,Data!$I$3:$J$1442,2),0)</f>
        <v>8.1775439000000005E-2</v>
      </c>
      <c r="E813" s="37">
        <f t="shared" si="157"/>
        <v>8.1575439E-2</v>
      </c>
      <c r="F813" s="37">
        <f t="shared" si="162"/>
        <v>4.0594610428682804E-3</v>
      </c>
      <c r="G813" s="30">
        <f t="shared" si="163"/>
        <v>2394.5946389068381</v>
      </c>
      <c r="H813" s="38">
        <f t="shared" si="158"/>
        <v>163</v>
      </c>
      <c r="I813" s="39">
        <f t="shared" si="159"/>
        <v>163.12936344969199</v>
      </c>
      <c r="J813" s="40">
        <f t="shared" si="160"/>
        <v>68</v>
      </c>
      <c r="K813" s="43">
        <f>VLOOKUP(J813,Data!$Z$3:$AA$122,2)</f>
        <v>0</v>
      </c>
      <c r="L813" s="41">
        <f t="shared" si="161"/>
        <v>0.12936344969199354</v>
      </c>
      <c r="M813" s="43">
        <f>VLOOKUP(H813,Data!$P$3:$X$122,9)</f>
        <v>0</v>
      </c>
      <c r="N813" s="43">
        <f t="shared" si="164"/>
        <v>0</v>
      </c>
      <c r="O813" s="43">
        <f t="shared" si="165"/>
        <v>0</v>
      </c>
      <c r="P813" s="30">
        <f t="shared" si="166"/>
        <v>0</v>
      </c>
      <c r="Q813" s="31">
        <f t="shared" si="168"/>
        <v>848340.75061972369</v>
      </c>
    </row>
    <row r="814" spans="1:17" x14ac:dyDescent="0.25">
      <c r="A814" s="6">
        <f t="shared" si="167"/>
        <v>67968</v>
      </c>
      <c r="B814" s="30">
        <f>IFERROR(VLOOKUP(A814, Data!$L$3:$N$123, 3),1)*Pension</f>
        <v>589879.9406176582</v>
      </c>
      <c r="C814" s="37">
        <f t="shared" si="156"/>
        <v>67.589322381930188</v>
      </c>
      <c r="D814" s="37">
        <f>IFERROR(VLOOKUP(A814,Data!$I$3:$J$1442,2),0)</f>
        <v>8.1760653000000003E-2</v>
      </c>
      <c r="E814" s="37">
        <f t="shared" si="157"/>
        <v>8.1560652999999997E-2</v>
      </c>
      <c r="F814" s="37">
        <f t="shared" si="162"/>
        <v>4.0354830505405434E-3</v>
      </c>
      <c r="G814" s="30">
        <f t="shared" si="163"/>
        <v>2380.4505022164217</v>
      </c>
      <c r="H814" s="38">
        <f t="shared" si="158"/>
        <v>163</v>
      </c>
      <c r="I814" s="39">
        <f t="shared" si="159"/>
        <v>163.21423682409309</v>
      </c>
      <c r="J814" s="40">
        <f t="shared" si="160"/>
        <v>68</v>
      </c>
      <c r="K814" s="43">
        <f>VLOOKUP(J814,Data!$Z$3:$AA$122,2)</f>
        <v>0</v>
      </c>
      <c r="L814" s="41">
        <f t="shared" si="161"/>
        <v>0.21423682409309208</v>
      </c>
      <c r="M814" s="43">
        <f>VLOOKUP(H814,Data!$P$3:$X$122,9)</f>
        <v>0</v>
      </c>
      <c r="N814" s="43">
        <f t="shared" si="164"/>
        <v>0</v>
      </c>
      <c r="O814" s="43">
        <f t="shared" si="165"/>
        <v>0</v>
      </c>
      <c r="P814" s="30">
        <f t="shared" si="166"/>
        <v>0</v>
      </c>
      <c r="Q814" s="31">
        <f t="shared" si="168"/>
        <v>848340.75061972369</v>
      </c>
    </row>
    <row r="815" spans="1:17" x14ac:dyDescent="0.25">
      <c r="A815" s="6">
        <f t="shared" si="167"/>
        <v>67996</v>
      </c>
      <c r="B815" s="30">
        <f>IFERROR(VLOOKUP(A815, Data!$L$3:$N$123, 3),1)*Pension</f>
        <v>589879.9406176582</v>
      </c>
      <c r="C815" s="37">
        <f t="shared" si="156"/>
        <v>67.665982203969889</v>
      </c>
      <c r="D815" s="37">
        <f>IFERROR(VLOOKUP(A815,Data!$I$3:$J$1442,2),0)</f>
        <v>8.1747328999999994E-2</v>
      </c>
      <c r="E815" s="37">
        <f t="shared" si="157"/>
        <v>8.1547328999999988E-2</v>
      </c>
      <c r="F815" s="37">
        <f t="shared" si="162"/>
        <v>4.0139474800144279E-3</v>
      </c>
      <c r="G815" s="30">
        <f t="shared" si="163"/>
        <v>2367.7471011533094</v>
      </c>
      <c r="H815" s="38">
        <f t="shared" si="158"/>
        <v>163</v>
      </c>
      <c r="I815" s="39">
        <f t="shared" si="159"/>
        <v>163.29089664613278</v>
      </c>
      <c r="J815" s="40">
        <f t="shared" si="160"/>
        <v>68</v>
      </c>
      <c r="K815" s="43">
        <f>VLOOKUP(J815,Data!$Z$3:$AA$122,2)</f>
        <v>0</v>
      </c>
      <c r="L815" s="41">
        <f t="shared" si="161"/>
        <v>0.29089664613277932</v>
      </c>
      <c r="M815" s="43">
        <f>VLOOKUP(H815,Data!$P$3:$X$122,9)</f>
        <v>0</v>
      </c>
      <c r="N815" s="43">
        <f t="shared" si="164"/>
        <v>0</v>
      </c>
      <c r="O815" s="43">
        <f t="shared" si="165"/>
        <v>0</v>
      </c>
      <c r="P815" s="30">
        <f t="shared" si="166"/>
        <v>0</v>
      </c>
      <c r="Q815" s="31">
        <f t="shared" si="168"/>
        <v>848340.75061972369</v>
      </c>
    </row>
    <row r="816" spans="1:17" x14ac:dyDescent="0.25">
      <c r="A816" s="6">
        <f t="shared" si="167"/>
        <v>68027</v>
      </c>
      <c r="B816" s="30">
        <f>IFERROR(VLOOKUP(A816, Data!$L$3:$N$123, 3),1)*Pension</f>
        <v>589879.9406176582</v>
      </c>
      <c r="C816" s="37">
        <f t="shared" si="156"/>
        <v>67.750855578370974</v>
      </c>
      <c r="D816" s="37">
        <f>IFERROR(VLOOKUP(A816,Data!$I$3:$J$1442,2),0)</f>
        <v>8.1732613999999995E-2</v>
      </c>
      <c r="E816" s="37">
        <f t="shared" si="157"/>
        <v>8.1532613999999989E-2</v>
      </c>
      <c r="F816" s="37">
        <f t="shared" si="162"/>
        <v>3.9902381783454045E-3</v>
      </c>
      <c r="G816" s="30">
        <f t="shared" si="163"/>
        <v>2353.7614596926996</v>
      </c>
      <c r="H816" s="38">
        <f t="shared" si="158"/>
        <v>163</v>
      </c>
      <c r="I816" s="39">
        <f t="shared" si="159"/>
        <v>163.37577002053388</v>
      </c>
      <c r="J816" s="40">
        <f t="shared" si="160"/>
        <v>68</v>
      </c>
      <c r="K816" s="43">
        <f>VLOOKUP(J816,Data!$Z$3:$AA$122,2)</f>
        <v>0</v>
      </c>
      <c r="L816" s="41">
        <f t="shared" si="161"/>
        <v>0.37577002053387787</v>
      </c>
      <c r="M816" s="43">
        <f>VLOOKUP(H816,Data!$P$3:$X$122,9)</f>
        <v>0</v>
      </c>
      <c r="N816" s="43">
        <f t="shared" si="164"/>
        <v>0</v>
      </c>
      <c r="O816" s="43">
        <f t="shared" si="165"/>
        <v>0</v>
      </c>
      <c r="P816" s="30">
        <f t="shared" si="166"/>
        <v>0</v>
      </c>
      <c r="Q816" s="31">
        <f t="shared" si="168"/>
        <v>848340.75061972369</v>
      </c>
    </row>
    <row r="817" spans="1:17" x14ac:dyDescent="0.25">
      <c r="A817" s="6">
        <f t="shared" si="167"/>
        <v>68057</v>
      </c>
      <c r="B817" s="30">
        <f>IFERROR(VLOOKUP(A817, Data!$L$3:$N$123, 3),1)*Pension</f>
        <v>589879.9406176582</v>
      </c>
      <c r="C817" s="37">
        <f t="shared" si="156"/>
        <v>67.832991101984945</v>
      </c>
      <c r="D817" s="37">
        <f>IFERROR(VLOOKUP(A817,Data!$I$3:$J$1442,2),0)</f>
        <v>8.1718408000000006E-2</v>
      </c>
      <c r="E817" s="37">
        <f t="shared" si="157"/>
        <v>8.1518408000000001E-2</v>
      </c>
      <c r="F817" s="37">
        <f t="shared" si="162"/>
        <v>3.9674272408899095E-3</v>
      </c>
      <c r="G817" s="30">
        <f t="shared" si="163"/>
        <v>2340.3057452610192</v>
      </c>
      <c r="H817" s="38">
        <f t="shared" si="158"/>
        <v>163</v>
      </c>
      <c r="I817" s="39">
        <f t="shared" si="159"/>
        <v>163.45790554414785</v>
      </c>
      <c r="J817" s="40">
        <f t="shared" si="160"/>
        <v>68</v>
      </c>
      <c r="K817" s="43">
        <f>VLOOKUP(J817,Data!$Z$3:$AA$122,2)</f>
        <v>0</v>
      </c>
      <c r="L817" s="41">
        <f t="shared" si="161"/>
        <v>0.45790554414784879</v>
      </c>
      <c r="M817" s="43">
        <f>VLOOKUP(H817,Data!$P$3:$X$122,9)</f>
        <v>0</v>
      </c>
      <c r="N817" s="43">
        <f t="shared" si="164"/>
        <v>0</v>
      </c>
      <c r="O817" s="43">
        <f t="shared" si="165"/>
        <v>0</v>
      </c>
      <c r="P817" s="30">
        <f t="shared" si="166"/>
        <v>0</v>
      </c>
      <c r="Q817" s="31">
        <f t="shared" si="168"/>
        <v>848340.75061972369</v>
      </c>
    </row>
    <row r="818" spans="1:17" x14ac:dyDescent="0.25">
      <c r="A818" s="6">
        <f t="shared" si="167"/>
        <v>68088</v>
      </c>
      <c r="B818" s="30">
        <f>IFERROR(VLOOKUP(A818, Data!$L$3:$N$123, 3),1)*Pension</f>
        <v>589879.9406176582</v>
      </c>
      <c r="C818" s="37">
        <f t="shared" si="156"/>
        <v>67.917864476386043</v>
      </c>
      <c r="D818" s="37">
        <f>IFERROR(VLOOKUP(A818,Data!$I$3:$J$1442,2),0)</f>
        <v>8.1703763999999998E-2</v>
      </c>
      <c r="E818" s="37">
        <f t="shared" si="157"/>
        <v>8.1503763999999992E-2</v>
      </c>
      <c r="F818" s="37">
        <f t="shared" si="162"/>
        <v>3.9439930766074962E-3</v>
      </c>
      <c r="G818" s="30">
        <f t="shared" si="163"/>
        <v>2326.482401825685</v>
      </c>
      <c r="H818" s="38">
        <f t="shared" si="158"/>
        <v>163</v>
      </c>
      <c r="I818" s="39">
        <f t="shared" si="159"/>
        <v>163.54277891854895</v>
      </c>
      <c r="J818" s="40">
        <f t="shared" si="160"/>
        <v>68</v>
      </c>
      <c r="K818" s="43">
        <f>VLOOKUP(J818,Data!$Z$3:$AA$122,2)</f>
        <v>0</v>
      </c>
      <c r="L818" s="41">
        <f t="shared" si="161"/>
        <v>0.54277891854894733</v>
      </c>
      <c r="M818" s="43">
        <f>VLOOKUP(H818,Data!$P$3:$X$122,9)</f>
        <v>0</v>
      </c>
      <c r="N818" s="43">
        <f t="shared" si="164"/>
        <v>0</v>
      </c>
      <c r="O818" s="43">
        <f t="shared" si="165"/>
        <v>0</v>
      </c>
      <c r="P818" s="30">
        <f t="shared" si="166"/>
        <v>0</v>
      </c>
      <c r="Q818" s="31">
        <f t="shared" si="168"/>
        <v>848340.75061972369</v>
      </c>
    </row>
    <row r="819" spans="1:17" x14ac:dyDescent="0.25">
      <c r="A819" s="6">
        <f t="shared" si="167"/>
        <v>68118</v>
      </c>
      <c r="B819" s="30">
        <f>IFERROR(VLOOKUP(A819, Data!$L$3:$N$123, 3),1)*Pension</f>
        <v>589879.9406176582</v>
      </c>
      <c r="C819" s="37">
        <f t="shared" si="156"/>
        <v>68</v>
      </c>
      <c r="D819" s="37">
        <f>IFERROR(VLOOKUP(A819,Data!$I$3:$J$1442,2),0)</f>
        <v>8.1689628E-2</v>
      </c>
      <c r="E819" s="37">
        <f t="shared" si="157"/>
        <v>8.1489627999999995E-2</v>
      </c>
      <c r="F819" s="37">
        <f t="shared" si="162"/>
        <v>3.921446437819053E-3</v>
      </c>
      <c r="G819" s="30">
        <f t="shared" si="163"/>
        <v>2313.1825918760301</v>
      </c>
      <c r="H819" s="38">
        <f t="shared" si="158"/>
        <v>163</v>
      </c>
      <c r="I819" s="39">
        <f t="shared" si="159"/>
        <v>163.62491444216289</v>
      </c>
      <c r="J819" s="40">
        <f t="shared" si="160"/>
        <v>68</v>
      </c>
      <c r="K819" s="43">
        <f>VLOOKUP(J819,Data!$Z$3:$AA$122,2)</f>
        <v>0</v>
      </c>
      <c r="L819" s="41">
        <f t="shared" si="161"/>
        <v>0.62491444216288983</v>
      </c>
      <c r="M819" s="43">
        <f>VLOOKUP(H819,Data!$P$3:$X$122,9)</f>
        <v>0</v>
      </c>
      <c r="N819" s="43">
        <f t="shared" si="164"/>
        <v>0</v>
      </c>
      <c r="O819" s="43">
        <f t="shared" si="165"/>
        <v>0</v>
      </c>
      <c r="P819" s="30">
        <f t="shared" si="166"/>
        <v>0</v>
      </c>
      <c r="Q819" s="31">
        <f t="shared" si="168"/>
        <v>848340.75061972369</v>
      </c>
    </row>
    <row r="820" spans="1:17" x14ac:dyDescent="0.25">
      <c r="A820" s="6">
        <f t="shared" si="167"/>
        <v>68149</v>
      </c>
      <c r="B820" s="30">
        <f>IFERROR(VLOOKUP(A820, Data!$L$3:$N$123, 3),1)*Pension</f>
        <v>589879.9406176582</v>
      </c>
      <c r="C820" s="37">
        <f t="shared" si="156"/>
        <v>68.084873374401099</v>
      </c>
      <c r="D820" s="37">
        <f>IFERROR(VLOOKUP(A820,Data!$I$3:$J$1442,2),0)</f>
        <v>8.1675056999999995E-2</v>
      </c>
      <c r="E820" s="37">
        <f t="shared" si="157"/>
        <v>8.147505699999999E-2</v>
      </c>
      <c r="F820" s="37">
        <f t="shared" si="162"/>
        <v>3.8982835464652032E-3</v>
      </c>
      <c r="G820" s="30">
        <f t="shared" si="163"/>
        <v>2299.5192668996879</v>
      </c>
      <c r="H820" s="38">
        <f t="shared" si="158"/>
        <v>163</v>
      </c>
      <c r="I820" s="39">
        <f t="shared" si="159"/>
        <v>163.70978781656399</v>
      </c>
      <c r="J820" s="40">
        <f t="shared" si="160"/>
        <v>68</v>
      </c>
      <c r="K820" s="43">
        <f>VLOOKUP(J820,Data!$Z$3:$AA$122,2)</f>
        <v>0</v>
      </c>
      <c r="L820" s="41">
        <f t="shared" si="161"/>
        <v>0.70978781656398837</v>
      </c>
      <c r="M820" s="43">
        <f>VLOOKUP(H820,Data!$P$3:$X$122,9)</f>
        <v>0</v>
      </c>
      <c r="N820" s="43">
        <f t="shared" si="164"/>
        <v>0</v>
      </c>
      <c r="O820" s="43">
        <f t="shared" si="165"/>
        <v>0</v>
      </c>
      <c r="P820" s="30">
        <f t="shared" si="166"/>
        <v>0</v>
      </c>
      <c r="Q820" s="31">
        <f t="shared" si="168"/>
        <v>848340.75061972369</v>
      </c>
    </row>
    <row r="821" spans="1:17" x14ac:dyDescent="0.25">
      <c r="A821" s="6">
        <f t="shared" si="167"/>
        <v>68180</v>
      </c>
      <c r="B821" s="30">
        <f>IFERROR(VLOOKUP(A821, Data!$L$3:$N$123, 3),1)*Pension</f>
        <v>589879.9406176582</v>
      </c>
      <c r="C821" s="37">
        <f t="shared" si="156"/>
        <v>68.169746748802197</v>
      </c>
      <c r="D821" s="37">
        <f>IFERROR(VLOOKUP(A821,Data!$I$3:$J$1442,2),0)</f>
        <v>8.1660521999999999E-2</v>
      </c>
      <c r="E821" s="37">
        <f t="shared" si="157"/>
        <v>8.1460521999999994E-2</v>
      </c>
      <c r="F821" s="37">
        <f t="shared" si="162"/>
        <v>3.8752575465282975E-3</v>
      </c>
      <c r="G821" s="30">
        <f t="shared" si="163"/>
        <v>2285.9366914242437</v>
      </c>
      <c r="H821" s="38">
        <f t="shared" si="158"/>
        <v>163</v>
      </c>
      <c r="I821" s="39">
        <f t="shared" si="159"/>
        <v>163.79466119096509</v>
      </c>
      <c r="J821" s="40">
        <f t="shared" si="160"/>
        <v>68</v>
      </c>
      <c r="K821" s="43">
        <f>VLOOKUP(J821,Data!$Z$3:$AA$122,2)</f>
        <v>0</v>
      </c>
      <c r="L821" s="41">
        <f t="shared" si="161"/>
        <v>0.79466119096508692</v>
      </c>
      <c r="M821" s="43">
        <f>VLOOKUP(H821,Data!$P$3:$X$122,9)</f>
        <v>0</v>
      </c>
      <c r="N821" s="43">
        <f t="shared" si="164"/>
        <v>0</v>
      </c>
      <c r="O821" s="43">
        <f t="shared" si="165"/>
        <v>0</v>
      </c>
      <c r="P821" s="30">
        <f t="shared" si="166"/>
        <v>0</v>
      </c>
      <c r="Q821" s="31">
        <f t="shared" si="168"/>
        <v>848340.75061972369</v>
      </c>
    </row>
    <row r="822" spans="1:17" x14ac:dyDescent="0.25">
      <c r="A822" s="6">
        <f t="shared" si="167"/>
        <v>68210</v>
      </c>
      <c r="B822" s="30">
        <f>IFERROR(VLOOKUP(A822, Data!$L$3:$N$123, 3),1)*Pension</f>
        <v>589879.9406176582</v>
      </c>
      <c r="C822" s="37">
        <f t="shared" si="156"/>
        <v>68.251882272416154</v>
      </c>
      <c r="D822" s="37">
        <f>IFERROR(VLOOKUP(A822,Data!$I$3:$J$1442,2),0)</f>
        <v>8.1646490000000002E-2</v>
      </c>
      <c r="E822" s="37">
        <f t="shared" si="157"/>
        <v>8.1446489999999996E-2</v>
      </c>
      <c r="F822" s="37">
        <f t="shared" si="162"/>
        <v>3.8531039027729021E-3</v>
      </c>
      <c r="G822" s="30">
        <f t="shared" si="163"/>
        <v>2272.8687013613467</v>
      </c>
      <c r="H822" s="38">
        <f t="shared" si="158"/>
        <v>163</v>
      </c>
      <c r="I822" s="39">
        <f t="shared" si="159"/>
        <v>163.87679671457906</v>
      </c>
      <c r="J822" s="40">
        <f t="shared" si="160"/>
        <v>68</v>
      </c>
      <c r="K822" s="43">
        <f>VLOOKUP(J822,Data!$Z$3:$AA$122,2)</f>
        <v>0</v>
      </c>
      <c r="L822" s="41">
        <f t="shared" si="161"/>
        <v>0.87679671457905783</v>
      </c>
      <c r="M822" s="43">
        <f>VLOOKUP(H822,Data!$P$3:$X$122,9)</f>
        <v>0</v>
      </c>
      <c r="N822" s="43">
        <f t="shared" si="164"/>
        <v>0</v>
      </c>
      <c r="O822" s="43">
        <f t="shared" si="165"/>
        <v>0</v>
      </c>
      <c r="P822" s="30">
        <f t="shared" si="166"/>
        <v>0</v>
      </c>
      <c r="Q822" s="31">
        <f t="shared" si="168"/>
        <v>848340.75061972369</v>
      </c>
    </row>
    <row r="823" spans="1:17" x14ac:dyDescent="0.25">
      <c r="A823" s="6">
        <f t="shared" si="167"/>
        <v>68241</v>
      </c>
      <c r="B823" s="30">
        <f>IFERROR(VLOOKUP(A823, Data!$L$3:$N$123, 3),1)*Pension</f>
        <v>589879.9406176582</v>
      </c>
      <c r="C823" s="37">
        <f t="shared" si="156"/>
        <v>68.336755646817252</v>
      </c>
      <c r="D823" s="37">
        <f>IFERROR(VLOOKUP(A823,Data!$I$3:$J$1442,2),0)</f>
        <v>8.1632025999999996E-2</v>
      </c>
      <c r="E823" s="37">
        <f t="shared" si="157"/>
        <v>8.1432025999999991E-2</v>
      </c>
      <c r="F823" s="37">
        <f t="shared" si="162"/>
        <v>3.8303447660813774E-3</v>
      </c>
      <c r="G823" s="30">
        <f t="shared" si="163"/>
        <v>2259.443543161241</v>
      </c>
      <c r="H823" s="38">
        <f t="shared" si="158"/>
        <v>163</v>
      </c>
      <c r="I823" s="39">
        <f t="shared" si="159"/>
        <v>163.96167008898016</v>
      </c>
      <c r="J823" s="40">
        <f t="shared" si="160"/>
        <v>68</v>
      </c>
      <c r="K823" s="43">
        <f>VLOOKUP(J823,Data!$Z$3:$AA$122,2)</f>
        <v>0</v>
      </c>
      <c r="L823" s="41">
        <f t="shared" si="161"/>
        <v>0.96167008898015638</v>
      </c>
      <c r="M823" s="43">
        <f>VLOOKUP(H823,Data!$P$3:$X$122,9)</f>
        <v>0</v>
      </c>
      <c r="N823" s="43">
        <f t="shared" si="164"/>
        <v>0</v>
      </c>
      <c r="O823" s="43">
        <f t="shared" si="165"/>
        <v>0</v>
      </c>
      <c r="P823" s="30">
        <f t="shared" si="166"/>
        <v>0</v>
      </c>
      <c r="Q823" s="31">
        <f t="shared" si="168"/>
        <v>848340.75061972369</v>
      </c>
    </row>
    <row r="824" spans="1:17" x14ac:dyDescent="0.25">
      <c r="A824" s="6">
        <f t="shared" si="167"/>
        <v>68271</v>
      </c>
      <c r="B824" s="30">
        <f>IFERROR(VLOOKUP(A824, Data!$L$3:$N$123, 3),1)*Pension</f>
        <v>589879.9406176582</v>
      </c>
      <c r="C824" s="37">
        <f t="shared" si="156"/>
        <v>68.418891170431209</v>
      </c>
      <c r="D824" s="37">
        <f>IFERROR(VLOOKUP(A824,Data!$I$3:$J$1442,2),0)</f>
        <v>8.1618062000000005E-2</v>
      </c>
      <c r="E824" s="37">
        <f t="shared" si="157"/>
        <v>8.1418061999999999E-2</v>
      </c>
      <c r="F824" s="37">
        <f t="shared" si="162"/>
        <v>3.8084479947772718E-3</v>
      </c>
      <c r="G824" s="30">
        <f t="shared" si="163"/>
        <v>2246.5270770046563</v>
      </c>
      <c r="H824" s="38">
        <f t="shared" si="158"/>
        <v>164</v>
      </c>
      <c r="I824" s="39">
        <f t="shared" si="159"/>
        <v>164.04380561259413</v>
      </c>
      <c r="J824" s="40">
        <f t="shared" si="160"/>
        <v>69</v>
      </c>
      <c r="K824" s="43">
        <f>VLOOKUP(J824,Data!$Z$3:$AA$122,2)</f>
        <v>0</v>
      </c>
      <c r="L824" s="41">
        <f t="shared" si="161"/>
        <v>4.3805612594127297E-2</v>
      </c>
      <c r="M824" s="43">
        <f>VLOOKUP(H824,Data!$P$3:$X$122,9)</f>
        <v>0</v>
      </c>
      <c r="N824" s="43">
        <f t="shared" si="164"/>
        <v>0</v>
      </c>
      <c r="O824" s="43">
        <f t="shared" si="165"/>
        <v>0</v>
      </c>
      <c r="P824" s="30">
        <f t="shared" si="166"/>
        <v>0</v>
      </c>
      <c r="Q824" s="31">
        <f t="shared" si="168"/>
        <v>848340.75061972369</v>
      </c>
    </row>
    <row r="825" spans="1:17" x14ac:dyDescent="0.25">
      <c r="A825" s="6">
        <f t="shared" si="167"/>
        <v>68302</v>
      </c>
      <c r="B825" s="30">
        <f>IFERROR(VLOOKUP(A825, Data!$L$3:$N$123, 3),1)*Pension</f>
        <v>619373.93764854106</v>
      </c>
      <c r="C825" s="37">
        <f t="shared" si="156"/>
        <v>68.503764544832308</v>
      </c>
      <c r="D825" s="37">
        <f>IFERROR(VLOOKUP(A825,Data!$I$3:$J$1442,2),0)</f>
        <v>8.1603668000000004E-2</v>
      </c>
      <c r="E825" s="37">
        <f t="shared" si="157"/>
        <v>8.1403667999999998E-2</v>
      </c>
      <c r="F825" s="37">
        <f t="shared" si="162"/>
        <v>3.7859527526704546E-3</v>
      </c>
      <c r="G825" s="30">
        <f t="shared" si="163"/>
        <v>2344.9204641728325</v>
      </c>
      <c r="H825" s="38">
        <f t="shared" si="158"/>
        <v>164</v>
      </c>
      <c r="I825" s="39">
        <f t="shared" si="159"/>
        <v>164.1286789869952</v>
      </c>
      <c r="J825" s="40">
        <f t="shared" si="160"/>
        <v>69</v>
      </c>
      <c r="K825" s="43">
        <f>VLOOKUP(J825,Data!$Z$3:$AA$122,2)</f>
        <v>0</v>
      </c>
      <c r="L825" s="41">
        <f t="shared" si="161"/>
        <v>0.12867898699519742</v>
      </c>
      <c r="M825" s="43">
        <f>VLOOKUP(H825,Data!$P$3:$X$122,9)</f>
        <v>0</v>
      </c>
      <c r="N825" s="43">
        <f t="shared" si="164"/>
        <v>0</v>
      </c>
      <c r="O825" s="43">
        <f t="shared" si="165"/>
        <v>0</v>
      </c>
      <c r="P825" s="30">
        <f t="shared" si="166"/>
        <v>0</v>
      </c>
      <c r="Q825" s="31">
        <f t="shared" si="168"/>
        <v>848340.75061972369</v>
      </c>
    </row>
    <row r="826" spans="1:17" x14ac:dyDescent="0.25">
      <c r="A826" s="6">
        <f t="shared" si="167"/>
        <v>68333</v>
      </c>
      <c r="B826" s="30">
        <f>IFERROR(VLOOKUP(A826, Data!$L$3:$N$123, 3),1)*Pension</f>
        <v>619373.93764854106</v>
      </c>
      <c r="C826" s="37">
        <f t="shared" si="156"/>
        <v>68.588637919233406</v>
      </c>
      <c r="D826" s="37">
        <f>IFERROR(VLOOKUP(A826,Data!$I$3:$J$1442,2),0)</f>
        <v>8.1589309999999998E-2</v>
      </c>
      <c r="E826" s="37">
        <f t="shared" si="157"/>
        <v>8.1389309999999992E-2</v>
      </c>
      <c r="F826" s="37">
        <f t="shared" si="162"/>
        <v>3.7635902852028065E-3</v>
      </c>
      <c r="G826" s="30">
        <f t="shared" si="163"/>
        <v>2331.0697346418578</v>
      </c>
      <c r="H826" s="38">
        <f t="shared" si="158"/>
        <v>164</v>
      </c>
      <c r="I826" s="39">
        <f t="shared" si="159"/>
        <v>164.2135523613963</v>
      </c>
      <c r="J826" s="40">
        <f t="shared" si="160"/>
        <v>69</v>
      </c>
      <c r="K826" s="43">
        <f>VLOOKUP(J826,Data!$Z$3:$AA$122,2)</f>
        <v>0</v>
      </c>
      <c r="L826" s="41">
        <f t="shared" si="161"/>
        <v>0.21355236139629596</v>
      </c>
      <c r="M826" s="43">
        <f>VLOOKUP(H826,Data!$P$3:$X$122,9)</f>
        <v>0</v>
      </c>
      <c r="N826" s="43">
        <f t="shared" si="164"/>
        <v>0</v>
      </c>
      <c r="O826" s="43">
        <f t="shared" si="165"/>
        <v>0</v>
      </c>
      <c r="P826" s="30">
        <f t="shared" si="166"/>
        <v>0</v>
      </c>
      <c r="Q826" s="31">
        <f t="shared" si="168"/>
        <v>848340.75061972369</v>
      </c>
    </row>
    <row r="827" spans="1:17" x14ac:dyDescent="0.25">
      <c r="A827" s="6">
        <f t="shared" si="167"/>
        <v>68361</v>
      </c>
      <c r="B827" s="30">
        <f>IFERROR(VLOOKUP(A827, Data!$L$3:$N$123, 3),1)*Pension</f>
        <v>619373.93764854106</v>
      </c>
      <c r="C827" s="37">
        <f t="shared" si="156"/>
        <v>68.665297741273108</v>
      </c>
      <c r="D827" s="37">
        <f>IFERROR(VLOOKUP(A827,Data!$I$3:$J$1442,2),0)</f>
        <v>8.1576371999999994E-2</v>
      </c>
      <c r="E827" s="37">
        <f t="shared" si="157"/>
        <v>8.1376371999999988E-2</v>
      </c>
      <c r="F827" s="37">
        <f t="shared" si="162"/>
        <v>3.7435054797727578E-3</v>
      </c>
      <c r="G827" s="30">
        <f t="shared" si="163"/>
        <v>2318.6297296157441</v>
      </c>
      <c r="H827" s="38">
        <f t="shared" si="158"/>
        <v>164</v>
      </c>
      <c r="I827" s="39">
        <f t="shared" si="159"/>
        <v>164.29021218343601</v>
      </c>
      <c r="J827" s="40">
        <f t="shared" si="160"/>
        <v>69</v>
      </c>
      <c r="K827" s="43">
        <f>VLOOKUP(J827,Data!$Z$3:$AA$122,2)</f>
        <v>0</v>
      </c>
      <c r="L827" s="41">
        <f t="shared" si="161"/>
        <v>0.29021218343601163</v>
      </c>
      <c r="M827" s="43">
        <f>VLOOKUP(H827,Data!$P$3:$X$122,9)</f>
        <v>0</v>
      </c>
      <c r="N827" s="43">
        <f t="shared" si="164"/>
        <v>0</v>
      </c>
      <c r="O827" s="43">
        <f t="shared" si="165"/>
        <v>0</v>
      </c>
      <c r="P827" s="30">
        <f t="shared" si="166"/>
        <v>0</v>
      </c>
      <c r="Q827" s="31">
        <f t="shared" si="168"/>
        <v>848340.75061972369</v>
      </c>
    </row>
    <row r="828" spans="1:17" x14ac:dyDescent="0.25">
      <c r="A828" s="6">
        <f t="shared" si="167"/>
        <v>68392</v>
      </c>
      <c r="B828" s="30">
        <f>IFERROR(VLOOKUP(A828, Data!$L$3:$N$123, 3),1)*Pension</f>
        <v>619373.93764854106</v>
      </c>
      <c r="C828" s="37">
        <f t="shared" si="156"/>
        <v>68.750171115674192</v>
      </c>
      <c r="D828" s="37">
        <f>IFERROR(VLOOKUP(A828,Data!$I$3:$J$1442,2),0)</f>
        <v>8.1562080999999995E-2</v>
      </c>
      <c r="E828" s="37">
        <f t="shared" si="157"/>
        <v>8.1362080999999989E-2</v>
      </c>
      <c r="F828" s="37">
        <f t="shared" si="162"/>
        <v>3.721393846050166E-3</v>
      </c>
      <c r="G828" s="30">
        <f t="shared" si="163"/>
        <v>2304.9343599691401</v>
      </c>
      <c r="H828" s="38">
        <f t="shared" si="158"/>
        <v>164</v>
      </c>
      <c r="I828" s="39">
        <f t="shared" si="159"/>
        <v>164.37508555783711</v>
      </c>
      <c r="J828" s="40">
        <f t="shared" si="160"/>
        <v>69</v>
      </c>
      <c r="K828" s="43">
        <f>VLOOKUP(J828,Data!$Z$3:$AA$122,2)</f>
        <v>0</v>
      </c>
      <c r="L828" s="41">
        <f t="shared" si="161"/>
        <v>0.37508555783711017</v>
      </c>
      <c r="M828" s="43">
        <f>VLOOKUP(H828,Data!$P$3:$X$122,9)</f>
        <v>0</v>
      </c>
      <c r="N828" s="43">
        <f t="shared" si="164"/>
        <v>0</v>
      </c>
      <c r="O828" s="43">
        <f t="shared" si="165"/>
        <v>0</v>
      </c>
      <c r="P828" s="30">
        <f t="shared" si="166"/>
        <v>0</v>
      </c>
      <c r="Q828" s="31">
        <f t="shared" si="168"/>
        <v>848340.75061972369</v>
      </c>
    </row>
    <row r="829" spans="1:17" x14ac:dyDescent="0.25">
      <c r="A829" s="6">
        <f t="shared" si="167"/>
        <v>68422</v>
      </c>
      <c r="B829" s="30">
        <f>IFERROR(VLOOKUP(A829, Data!$L$3:$N$123, 3),1)*Pension</f>
        <v>619373.93764854106</v>
      </c>
      <c r="C829" s="37">
        <f t="shared" si="156"/>
        <v>68.832306639288163</v>
      </c>
      <c r="D829" s="37">
        <f>IFERROR(VLOOKUP(A829,Data!$I$3:$J$1442,2),0)</f>
        <v>8.1548284999999998E-2</v>
      </c>
      <c r="E829" s="37">
        <f t="shared" si="157"/>
        <v>8.1348284999999992E-2</v>
      </c>
      <c r="F829" s="37">
        <f t="shared" si="162"/>
        <v>3.7001197399749676E-3</v>
      </c>
      <c r="G829" s="30">
        <f t="shared" si="163"/>
        <v>2291.7577331193916</v>
      </c>
      <c r="H829" s="38">
        <f t="shared" si="158"/>
        <v>164</v>
      </c>
      <c r="I829" s="39">
        <f t="shared" si="159"/>
        <v>164.45722108145105</v>
      </c>
      <c r="J829" s="40">
        <f t="shared" si="160"/>
        <v>69</v>
      </c>
      <c r="K829" s="43">
        <f>VLOOKUP(J829,Data!$Z$3:$AA$122,2)</f>
        <v>0</v>
      </c>
      <c r="L829" s="41">
        <f t="shared" si="161"/>
        <v>0.45722108145105267</v>
      </c>
      <c r="M829" s="43">
        <f>VLOOKUP(H829,Data!$P$3:$X$122,9)</f>
        <v>0</v>
      </c>
      <c r="N829" s="43">
        <f t="shared" si="164"/>
        <v>0</v>
      </c>
      <c r="O829" s="43">
        <f t="shared" si="165"/>
        <v>0</v>
      </c>
      <c r="P829" s="30">
        <f t="shared" si="166"/>
        <v>0</v>
      </c>
      <c r="Q829" s="31">
        <f t="shared" si="168"/>
        <v>848340.75061972369</v>
      </c>
    </row>
    <row r="830" spans="1:17" x14ac:dyDescent="0.25">
      <c r="A830" s="6">
        <f t="shared" si="167"/>
        <v>68453</v>
      </c>
      <c r="B830" s="30">
        <f>IFERROR(VLOOKUP(A830, Data!$L$3:$N$123, 3),1)*Pension</f>
        <v>619373.93764854106</v>
      </c>
      <c r="C830" s="37">
        <f t="shared" si="156"/>
        <v>68.917180013689247</v>
      </c>
      <c r="D830" s="37">
        <f>IFERROR(VLOOKUP(A830,Data!$I$3:$J$1442,2),0)</f>
        <v>8.1534064000000003E-2</v>
      </c>
      <c r="E830" s="37">
        <f t="shared" si="157"/>
        <v>8.1334063999999998E-2</v>
      </c>
      <c r="F830" s="37">
        <f t="shared" si="162"/>
        <v>3.6782641739918952E-3</v>
      </c>
      <c r="G830" s="30">
        <f t="shared" si="163"/>
        <v>2278.2209651569183</v>
      </c>
      <c r="H830" s="38">
        <f t="shared" si="158"/>
        <v>164</v>
      </c>
      <c r="I830" s="39">
        <f t="shared" si="159"/>
        <v>164.54209445585215</v>
      </c>
      <c r="J830" s="40">
        <f t="shared" si="160"/>
        <v>69</v>
      </c>
      <c r="K830" s="43">
        <f>VLOOKUP(J830,Data!$Z$3:$AA$122,2)</f>
        <v>0</v>
      </c>
      <c r="L830" s="41">
        <f t="shared" si="161"/>
        <v>0.54209445585215121</v>
      </c>
      <c r="M830" s="43">
        <f>VLOOKUP(H830,Data!$P$3:$X$122,9)</f>
        <v>0</v>
      </c>
      <c r="N830" s="43">
        <f t="shared" si="164"/>
        <v>0</v>
      </c>
      <c r="O830" s="43">
        <f t="shared" si="165"/>
        <v>0</v>
      </c>
      <c r="P830" s="30">
        <f t="shared" si="166"/>
        <v>0</v>
      </c>
      <c r="Q830" s="31">
        <f t="shared" si="168"/>
        <v>848340.75061972369</v>
      </c>
    </row>
    <row r="831" spans="1:17" x14ac:dyDescent="0.25">
      <c r="A831" s="6">
        <f t="shared" si="167"/>
        <v>68483</v>
      </c>
      <c r="B831" s="30">
        <f>IFERROR(VLOOKUP(A831, Data!$L$3:$N$123, 3),1)*Pension</f>
        <v>619373.93764854106</v>
      </c>
      <c r="C831" s="37">
        <f t="shared" si="156"/>
        <v>68.999315537303218</v>
      </c>
      <c r="D831" s="37">
        <f>IFERROR(VLOOKUP(A831,Data!$I$3:$J$1442,2),0)</f>
        <v>8.1520334E-2</v>
      </c>
      <c r="E831" s="37">
        <f t="shared" si="157"/>
        <v>8.1320333999999994E-2</v>
      </c>
      <c r="F831" s="37">
        <f t="shared" si="162"/>
        <v>3.6572368150567156E-3</v>
      </c>
      <c r="G831" s="30">
        <f t="shared" si="163"/>
        <v>2265.1971670548869</v>
      </c>
      <c r="H831" s="38">
        <f t="shared" si="158"/>
        <v>164</v>
      </c>
      <c r="I831" s="39">
        <f t="shared" si="159"/>
        <v>164.62422997946612</v>
      </c>
      <c r="J831" s="40">
        <f t="shared" si="160"/>
        <v>69</v>
      </c>
      <c r="K831" s="43">
        <f>VLOOKUP(J831,Data!$Z$3:$AA$122,2)</f>
        <v>0</v>
      </c>
      <c r="L831" s="41">
        <f t="shared" si="161"/>
        <v>0.62422997946612213</v>
      </c>
      <c r="M831" s="43">
        <f>VLOOKUP(H831,Data!$P$3:$X$122,9)</f>
        <v>0</v>
      </c>
      <c r="N831" s="43">
        <f t="shared" si="164"/>
        <v>0</v>
      </c>
      <c r="O831" s="43">
        <f t="shared" si="165"/>
        <v>0</v>
      </c>
      <c r="P831" s="30">
        <f t="shared" si="166"/>
        <v>0</v>
      </c>
      <c r="Q831" s="31">
        <f t="shared" si="168"/>
        <v>848340.75061972369</v>
      </c>
    </row>
    <row r="832" spans="1:17" x14ac:dyDescent="0.25">
      <c r="A832" s="6">
        <f t="shared" si="167"/>
        <v>68514</v>
      </c>
      <c r="B832" s="30">
        <f>IFERROR(VLOOKUP(A832, Data!$L$3:$N$123, 3),1)*Pension</f>
        <v>619373.93764854106</v>
      </c>
      <c r="C832" s="37">
        <f t="shared" si="156"/>
        <v>69.084188911704317</v>
      </c>
      <c r="D832" s="37">
        <f>IFERROR(VLOOKUP(A832,Data!$I$3:$J$1442,2),0)</f>
        <v>8.1506181999999996E-2</v>
      </c>
      <c r="E832" s="37">
        <f t="shared" si="157"/>
        <v>8.1306181999999991E-2</v>
      </c>
      <c r="F832" s="37">
        <f t="shared" si="162"/>
        <v>3.6356344756211718E-3</v>
      </c>
      <c r="G832" s="30">
        <f t="shared" si="163"/>
        <v>2251.8172410162738</v>
      </c>
      <c r="H832" s="38">
        <f t="shared" si="158"/>
        <v>164</v>
      </c>
      <c r="I832" s="39">
        <f t="shared" si="159"/>
        <v>164.70910335386722</v>
      </c>
      <c r="J832" s="40">
        <f t="shared" si="160"/>
        <v>69</v>
      </c>
      <c r="K832" s="43">
        <f>VLOOKUP(J832,Data!$Z$3:$AA$122,2)</f>
        <v>0</v>
      </c>
      <c r="L832" s="41">
        <f t="shared" si="161"/>
        <v>0.70910335386722068</v>
      </c>
      <c r="M832" s="43">
        <f>VLOOKUP(H832,Data!$P$3:$X$122,9)</f>
        <v>0</v>
      </c>
      <c r="N832" s="43">
        <f t="shared" si="164"/>
        <v>0</v>
      </c>
      <c r="O832" s="43">
        <f t="shared" si="165"/>
        <v>0</v>
      </c>
      <c r="P832" s="30">
        <f t="shared" si="166"/>
        <v>0</v>
      </c>
      <c r="Q832" s="31">
        <f t="shared" si="168"/>
        <v>848340.75061972369</v>
      </c>
    </row>
    <row r="833" spans="1:17" x14ac:dyDescent="0.25">
      <c r="A833" s="6">
        <f t="shared" si="167"/>
        <v>68545</v>
      </c>
      <c r="B833" s="30">
        <f>IFERROR(VLOOKUP(A833, Data!$L$3:$N$123, 3),1)*Pension</f>
        <v>619373.93764854106</v>
      </c>
      <c r="C833" s="37">
        <f t="shared" si="156"/>
        <v>69.169062286105401</v>
      </c>
      <c r="D833" s="37">
        <f>IFERROR(VLOOKUP(A833,Data!$I$3:$J$1442,2),0)</f>
        <v>8.1492064000000003E-2</v>
      </c>
      <c r="E833" s="37">
        <f t="shared" si="157"/>
        <v>8.1292063999999997E-2</v>
      </c>
      <c r="F833" s="37">
        <f t="shared" si="162"/>
        <v>3.6141599180869936E-3</v>
      </c>
      <c r="G833" s="30">
        <f t="shared" si="163"/>
        <v>2238.5164597570697</v>
      </c>
      <c r="H833" s="38">
        <f t="shared" si="158"/>
        <v>164</v>
      </c>
      <c r="I833" s="39">
        <f t="shared" si="159"/>
        <v>164.79397672826832</v>
      </c>
      <c r="J833" s="40">
        <f t="shared" si="160"/>
        <v>69</v>
      </c>
      <c r="K833" s="43">
        <f>VLOOKUP(J833,Data!$Z$3:$AA$122,2)</f>
        <v>0</v>
      </c>
      <c r="L833" s="41">
        <f t="shared" si="161"/>
        <v>0.79397672826831922</v>
      </c>
      <c r="M833" s="43">
        <f>VLOOKUP(H833,Data!$P$3:$X$122,9)</f>
        <v>0</v>
      </c>
      <c r="N833" s="43">
        <f t="shared" si="164"/>
        <v>0</v>
      </c>
      <c r="O833" s="43">
        <f t="shared" si="165"/>
        <v>0</v>
      </c>
      <c r="P833" s="30">
        <f t="shared" si="166"/>
        <v>0</v>
      </c>
      <c r="Q833" s="31">
        <f t="shared" si="168"/>
        <v>848340.75061972369</v>
      </c>
    </row>
    <row r="834" spans="1:17" x14ac:dyDescent="0.25">
      <c r="A834" s="6">
        <f t="shared" si="167"/>
        <v>68575</v>
      </c>
      <c r="B834" s="30">
        <f>IFERROR(VLOOKUP(A834, Data!$L$3:$N$123, 3),1)*Pension</f>
        <v>619373.93764854106</v>
      </c>
      <c r="C834" s="37">
        <f t="shared" si="156"/>
        <v>69.251197809719372</v>
      </c>
      <c r="D834" s="37">
        <f>IFERROR(VLOOKUP(A834,Data!$I$3:$J$1442,2),0)</f>
        <v>8.1478434000000002E-2</v>
      </c>
      <c r="E834" s="37">
        <f t="shared" si="157"/>
        <v>8.1278433999999997E-2</v>
      </c>
      <c r="F834" s="37">
        <f t="shared" si="162"/>
        <v>3.5934989595293814E-3</v>
      </c>
      <c r="G834" s="30">
        <f t="shared" si="163"/>
        <v>2225.7196004996481</v>
      </c>
      <c r="H834" s="38">
        <f t="shared" si="158"/>
        <v>164</v>
      </c>
      <c r="I834" s="39">
        <f t="shared" si="159"/>
        <v>164.87611225188226</v>
      </c>
      <c r="J834" s="40">
        <f t="shared" si="160"/>
        <v>69</v>
      </c>
      <c r="K834" s="43">
        <f>VLOOKUP(J834,Data!$Z$3:$AA$122,2)</f>
        <v>0</v>
      </c>
      <c r="L834" s="41">
        <f t="shared" si="161"/>
        <v>0.87611225188226172</v>
      </c>
      <c r="M834" s="43">
        <f>VLOOKUP(H834,Data!$P$3:$X$122,9)</f>
        <v>0</v>
      </c>
      <c r="N834" s="43">
        <f t="shared" si="164"/>
        <v>0</v>
      </c>
      <c r="O834" s="43">
        <f t="shared" si="165"/>
        <v>0</v>
      </c>
      <c r="P834" s="30">
        <f t="shared" si="166"/>
        <v>0</v>
      </c>
      <c r="Q834" s="31">
        <f t="shared" si="168"/>
        <v>848340.75061972369</v>
      </c>
    </row>
    <row r="835" spans="1:17" x14ac:dyDescent="0.25">
      <c r="A835" s="6">
        <f t="shared" si="167"/>
        <v>68606</v>
      </c>
      <c r="B835" s="30">
        <f>IFERROR(VLOOKUP(A835, Data!$L$3:$N$123, 3),1)*Pension</f>
        <v>619373.93764854106</v>
      </c>
      <c r="C835" s="37">
        <f t="shared" ref="C835:C898" si="169">(A835-EffDate)/365.25</f>
        <v>69.33607118412047</v>
      </c>
      <c r="D835" s="37">
        <f>IFERROR(VLOOKUP(A835,Data!$I$3:$J$1442,2),0)</f>
        <v>8.1464384000000001E-2</v>
      </c>
      <c r="E835" s="37">
        <f t="shared" ref="E835:E898" si="170">D835-Fees</f>
        <v>8.1264383999999995E-2</v>
      </c>
      <c r="F835" s="37">
        <f t="shared" si="162"/>
        <v>3.5722732763477658E-3</v>
      </c>
      <c r="G835" s="30">
        <f t="shared" si="163"/>
        <v>2212.5729655281707</v>
      </c>
      <c r="H835" s="38">
        <f t="shared" ref="H835:H898" si="171">IF(OR(A835 = DATE(YEAR(A835), MONTH(Date_of_Birth), DAY(Date_of_Birth)),AND(A835 = DATE(YEAR(A835), MONTH(Date_of_Birth), DAY(Date_of_Birth)-1), AND(MONTH(Date_of_Birth)=2, DAY(Date_of_Birth) = 29))), ROUND((A835-Date_of_Birth)/365.25,0),ROUNDDOWN((A835-Date_of_Birth)/365.25,0))</f>
        <v>164</v>
      </c>
      <c r="I835" s="39">
        <f t="shared" ref="I835:I898" si="172">IF(OR(A835 = DATE(YEAR(A835), MONTH(Date_of_Birth), DAY(Date_of_Birth)),AND(A835 = DATE(YEAR(A835), MONTH(Date_of_Birth), DAY(Date_of_Birth)-1), AND(MONTH(Date_of_Birth)=2, DAY(Date_of_Birth) = 29))), ROUND((A835-Date_of_Birth)/365.25,0),(A835-Date_of_Birth)/365.25)</f>
        <v>164.96098562628336</v>
      </c>
      <c r="J835" s="40">
        <f t="shared" ref="J835:J898" si="173">H835-StartAge</f>
        <v>69</v>
      </c>
      <c r="K835" s="43">
        <f>VLOOKUP(J835,Data!$Z$3:$AA$122,2)</f>
        <v>0</v>
      </c>
      <c r="L835" s="41">
        <f t="shared" ref="L835:L898" si="174">IF(A835&lt;=NextBirth,(A835-EffDate)/365.25,(I835-H835))</f>
        <v>0.96098562628336026</v>
      </c>
      <c r="M835" s="43">
        <f>VLOOKUP(H835,Data!$P$3:$X$122,9)</f>
        <v>0</v>
      </c>
      <c r="N835" s="43">
        <f t="shared" si="164"/>
        <v>0</v>
      </c>
      <c r="O835" s="43">
        <f t="shared" si="165"/>
        <v>0</v>
      </c>
      <c r="P835" s="30">
        <f t="shared" si="166"/>
        <v>0</v>
      </c>
      <c r="Q835" s="31">
        <f t="shared" si="168"/>
        <v>848340.75061972369</v>
      </c>
    </row>
    <row r="836" spans="1:17" x14ac:dyDescent="0.25">
      <c r="A836" s="6">
        <f t="shared" si="167"/>
        <v>68636</v>
      </c>
      <c r="B836" s="30">
        <f>IFERROR(VLOOKUP(A836, Data!$L$3:$N$123, 3),1)*Pension</f>
        <v>619373.93764854106</v>
      </c>
      <c r="C836" s="37">
        <f t="shared" si="169"/>
        <v>69.418206707734427</v>
      </c>
      <c r="D836" s="37">
        <f>IFERROR(VLOOKUP(A836,Data!$I$3:$J$1442,2),0)</f>
        <v>8.1450819999999993E-2</v>
      </c>
      <c r="E836" s="37">
        <f t="shared" si="170"/>
        <v>8.1250819999999987E-2</v>
      </c>
      <c r="F836" s="37">
        <f t="shared" ref="F836:F899" si="175">EXP(-E836*C836)</f>
        <v>3.5518516570830472E-3</v>
      </c>
      <c r="G836" s="30">
        <f t="shared" ref="G836:G899" si="176">B836*F836</f>
        <v>2199.9243467910223</v>
      </c>
      <c r="H836" s="38">
        <f t="shared" si="171"/>
        <v>165</v>
      </c>
      <c r="I836" s="39">
        <f t="shared" si="172"/>
        <v>165.04312114989733</v>
      </c>
      <c r="J836" s="40">
        <f t="shared" si="173"/>
        <v>70</v>
      </c>
      <c r="K836" s="43">
        <f>VLOOKUP(J836,Data!$Z$3:$AA$122,2)</f>
        <v>0</v>
      </c>
      <c r="L836" s="41">
        <f t="shared" si="174"/>
        <v>4.3121149897331179E-2</v>
      </c>
      <c r="M836" s="43">
        <f>VLOOKUP(H836,Data!$P$3:$X$122,9)</f>
        <v>0</v>
      </c>
      <c r="N836" s="43">
        <f t="shared" ref="N836:N899" si="177">IF(M836=0, 0, EXP(-L836*M836))</f>
        <v>0</v>
      </c>
      <c r="O836" s="43">
        <f t="shared" ref="O836:O899" si="178">K836*N836</f>
        <v>0</v>
      </c>
      <c r="P836" s="30">
        <f t="shared" ref="P836:P899" si="179">G836*O836</f>
        <v>0</v>
      </c>
      <c r="Q836" s="31">
        <f t="shared" si="168"/>
        <v>848340.75061972369</v>
      </c>
    </row>
    <row r="837" spans="1:17" x14ac:dyDescent="0.25">
      <c r="A837" s="6">
        <f t="shared" ref="A837:A900" si="180">EOMONTH(A836,1)</f>
        <v>68667</v>
      </c>
      <c r="B837" s="30">
        <f>IFERROR(VLOOKUP(A837, Data!$L$3:$N$123, 3),1)*Pension</f>
        <v>650342.63453096815</v>
      </c>
      <c r="C837" s="37">
        <f t="shared" si="169"/>
        <v>69.503080082135526</v>
      </c>
      <c r="D837" s="37">
        <f>IFERROR(VLOOKUP(A837,Data!$I$3:$J$1442,2),0)</f>
        <v>8.1436836999999998E-2</v>
      </c>
      <c r="E837" s="37">
        <f t="shared" si="170"/>
        <v>8.1236836999999992E-2</v>
      </c>
      <c r="F837" s="37">
        <f t="shared" si="175"/>
        <v>3.5308720897426391E-3</v>
      </c>
      <c r="G837" s="30">
        <f t="shared" si="176"/>
        <v>2296.2766570350927</v>
      </c>
      <c r="H837" s="38">
        <f t="shared" si="171"/>
        <v>165</v>
      </c>
      <c r="I837" s="39">
        <f t="shared" si="172"/>
        <v>165.12799452429843</v>
      </c>
      <c r="J837" s="40">
        <f t="shared" si="173"/>
        <v>70</v>
      </c>
      <c r="K837" s="43">
        <f>VLOOKUP(J837,Data!$Z$3:$AA$122,2)</f>
        <v>0</v>
      </c>
      <c r="L837" s="41">
        <f t="shared" si="174"/>
        <v>0.12799452429842972</v>
      </c>
      <c r="M837" s="43">
        <f>VLOOKUP(H837,Data!$P$3:$X$122,9)</f>
        <v>0</v>
      </c>
      <c r="N837" s="43">
        <f t="shared" si="177"/>
        <v>0</v>
      </c>
      <c r="O837" s="43">
        <f t="shared" si="178"/>
        <v>0</v>
      </c>
      <c r="P837" s="30">
        <f t="shared" si="179"/>
        <v>0</v>
      </c>
      <c r="Q837" s="31">
        <f t="shared" ref="Q837:Q900" si="181">Q836+P837</f>
        <v>848340.75061972369</v>
      </c>
    </row>
    <row r="838" spans="1:17" x14ac:dyDescent="0.25">
      <c r="A838" s="6">
        <f t="shared" si="180"/>
        <v>68698</v>
      </c>
      <c r="B838" s="30">
        <f>IFERROR(VLOOKUP(A838, Data!$L$3:$N$123, 3),1)*Pension</f>
        <v>650342.63453096815</v>
      </c>
      <c r="C838" s="37">
        <f t="shared" si="169"/>
        <v>69.587953456536624</v>
      </c>
      <c r="D838" s="37">
        <f>IFERROR(VLOOKUP(A838,Data!$I$3:$J$1442,2),0)</f>
        <v>8.1422888999999998E-2</v>
      </c>
      <c r="E838" s="37">
        <f t="shared" si="170"/>
        <v>8.1222888999999993E-2</v>
      </c>
      <c r="F838" s="37">
        <f t="shared" si="175"/>
        <v>3.5100162238433921E-3</v>
      </c>
      <c r="G838" s="30">
        <f t="shared" si="176"/>
        <v>2282.7131982607521</v>
      </c>
      <c r="H838" s="38">
        <f t="shared" si="171"/>
        <v>165</v>
      </c>
      <c r="I838" s="39">
        <f t="shared" si="172"/>
        <v>165.21286789869953</v>
      </c>
      <c r="J838" s="40">
        <f t="shared" si="173"/>
        <v>70</v>
      </c>
      <c r="K838" s="43">
        <f>VLOOKUP(J838,Data!$Z$3:$AA$122,2)</f>
        <v>0</v>
      </c>
      <c r="L838" s="41">
        <f t="shared" si="174"/>
        <v>0.21286789869952827</v>
      </c>
      <c r="M838" s="43">
        <f>VLOOKUP(H838,Data!$P$3:$X$122,9)</f>
        <v>0</v>
      </c>
      <c r="N838" s="43">
        <f t="shared" si="177"/>
        <v>0</v>
      </c>
      <c r="O838" s="43">
        <f t="shared" si="178"/>
        <v>0</v>
      </c>
      <c r="P838" s="30">
        <f t="shared" si="179"/>
        <v>0</v>
      </c>
      <c r="Q838" s="31">
        <f t="shared" si="181"/>
        <v>848340.75061972369</v>
      </c>
    </row>
    <row r="839" spans="1:17" x14ac:dyDescent="0.25">
      <c r="A839" s="6">
        <f t="shared" si="180"/>
        <v>68727</v>
      </c>
      <c r="B839" s="30">
        <f>IFERROR(VLOOKUP(A839, Data!$L$3:$N$123, 3),1)*Pension</f>
        <v>650342.63453096815</v>
      </c>
      <c r="C839" s="37">
        <f t="shared" si="169"/>
        <v>69.667351129363453</v>
      </c>
      <c r="D839" s="37">
        <f>IFERROR(VLOOKUP(A839,Data!$I$3:$J$1442,2),0)</f>
        <v>8.1409870999999995E-2</v>
      </c>
      <c r="E839" s="37">
        <f t="shared" si="170"/>
        <v>8.1209870999999989E-2</v>
      </c>
      <c r="F839" s="37">
        <f t="shared" si="175"/>
        <v>3.4906175914334509E-3</v>
      </c>
      <c r="G839" s="30">
        <f t="shared" si="176"/>
        <v>2270.0974405529732</v>
      </c>
      <c r="H839" s="38">
        <f t="shared" si="171"/>
        <v>165</v>
      </c>
      <c r="I839" s="39">
        <f t="shared" si="172"/>
        <v>165.29226557152634</v>
      </c>
      <c r="J839" s="40">
        <f t="shared" si="173"/>
        <v>70</v>
      </c>
      <c r="K839" s="43">
        <f>VLOOKUP(J839,Data!$Z$3:$AA$122,2)</f>
        <v>0</v>
      </c>
      <c r="L839" s="41">
        <f t="shared" si="174"/>
        <v>0.29226557152634314</v>
      </c>
      <c r="M839" s="43">
        <f>VLOOKUP(H839,Data!$P$3:$X$122,9)</f>
        <v>0</v>
      </c>
      <c r="N839" s="43">
        <f t="shared" si="177"/>
        <v>0</v>
      </c>
      <c r="O839" s="43">
        <f t="shared" si="178"/>
        <v>0</v>
      </c>
      <c r="P839" s="30">
        <f t="shared" si="179"/>
        <v>0</v>
      </c>
      <c r="Q839" s="31">
        <f t="shared" si="181"/>
        <v>848340.75061972369</v>
      </c>
    </row>
    <row r="840" spans="1:17" x14ac:dyDescent="0.25">
      <c r="A840" s="6">
        <f t="shared" si="180"/>
        <v>68758</v>
      </c>
      <c r="B840" s="30">
        <f>IFERROR(VLOOKUP(A840, Data!$L$3:$N$123, 3),1)*Pension</f>
        <v>650342.63453096815</v>
      </c>
      <c r="C840" s="37">
        <f t="shared" si="169"/>
        <v>69.752224503764552</v>
      </c>
      <c r="D840" s="37">
        <f>IFERROR(VLOOKUP(A840,Data!$I$3:$J$1442,2),0)</f>
        <v>8.1395988000000002E-2</v>
      </c>
      <c r="E840" s="37">
        <f t="shared" si="170"/>
        <v>8.1195987999999997E-2</v>
      </c>
      <c r="F840" s="37">
        <f t="shared" si="175"/>
        <v>3.469999657311134E-3</v>
      </c>
      <c r="G840" s="30">
        <f t="shared" si="176"/>
        <v>2256.6887189572794</v>
      </c>
      <c r="H840" s="38">
        <f t="shared" si="171"/>
        <v>165</v>
      </c>
      <c r="I840" s="39">
        <f t="shared" si="172"/>
        <v>165.37713894592744</v>
      </c>
      <c r="J840" s="40">
        <f t="shared" si="173"/>
        <v>70</v>
      </c>
      <c r="K840" s="43">
        <f>VLOOKUP(J840,Data!$Z$3:$AA$122,2)</f>
        <v>0</v>
      </c>
      <c r="L840" s="41">
        <f t="shared" si="174"/>
        <v>0.37713894592744168</v>
      </c>
      <c r="M840" s="43">
        <f>VLOOKUP(H840,Data!$P$3:$X$122,9)</f>
        <v>0</v>
      </c>
      <c r="N840" s="43">
        <f t="shared" si="177"/>
        <v>0</v>
      </c>
      <c r="O840" s="43">
        <f t="shared" si="178"/>
        <v>0</v>
      </c>
      <c r="P840" s="30">
        <f t="shared" si="179"/>
        <v>0</v>
      </c>
      <c r="Q840" s="31">
        <f t="shared" si="181"/>
        <v>848340.75061972369</v>
      </c>
    </row>
    <row r="841" spans="1:17" x14ac:dyDescent="0.25">
      <c r="A841" s="6">
        <f t="shared" si="180"/>
        <v>68788</v>
      </c>
      <c r="B841" s="30">
        <f>IFERROR(VLOOKUP(A841, Data!$L$3:$N$123, 3),1)*Pension</f>
        <v>650342.63453096815</v>
      </c>
      <c r="C841" s="37">
        <f t="shared" si="169"/>
        <v>69.834360027378509</v>
      </c>
      <c r="D841" s="37">
        <f>IFERROR(VLOOKUP(A841,Data!$I$3:$J$1442,2),0)</f>
        <v>8.1382584999999993E-2</v>
      </c>
      <c r="E841" s="37">
        <f t="shared" si="170"/>
        <v>8.1182584999999988E-2</v>
      </c>
      <c r="F841" s="37">
        <f t="shared" si="175"/>
        <v>3.4501627717195417E-3</v>
      </c>
      <c r="G841" s="30">
        <f t="shared" si="176"/>
        <v>2243.7879465207538</v>
      </c>
      <c r="H841" s="38">
        <f t="shared" si="171"/>
        <v>165</v>
      </c>
      <c r="I841" s="39">
        <f t="shared" si="172"/>
        <v>165.45927446954141</v>
      </c>
      <c r="J841" s="40">
        <f t="shared" si="173"/>
        <v>70</v>
      </c>
      <c r="K841" s="43">
        <f>VLOOKUP(J841,Data!$Z$3:$AA$122,2)</f>
        <v>0</v>
      </c>
      <c r="L841" s="41">
        <f t="shared" si="174"/>
        <v>0.4592744695414126</v>
      </c>
      <c r="M841" s="43">
        <f>VLOOKUP(H841,Data!$P$3:$X$122,9)</f>
        <v>0</v>
      </c>
      <c r="N841" s="43">
        <f t="shared" si="177"/>
        <v>0</v>
      </c>
      <c r="O841" s="43">
        <f t="shared" si="178"/>
        <v>0</v>
      </c>
      <c r="P841" s="30">
        <f t="shared" si="179"/>
        <v>0</v>
      </c>
      <c r="Q841" s="31">
        <f t="shared" si="181"/>
        <v>848340.75061972369</v>
      </c>
    </row>
    <row r="842" spans="1:17" x14ac:dyDescent="0.25">
      <c r="A842" s="6">
        <f t="shared" si="180"/>
        <v>68819</v>
      </c>
      <c r="B842" s="30">
        <f>IFERROR(VLOOKUP(A842, Data!$L$3:$N$123, 3),1)*Pension</f>
        <v>650342.63453096815</v>
      </c>
      <c r="C842" s="37">
        <f t="shared" si="169"/>
        <v>69.919233401779607</v>
      </c>
      <c r="D842" s="37">
        <f>IFERROR(VLOOKUP(A842,Data!$I$3:$J$1442,2),0)</f>
        <v>8.1368768999999994E-2</v>
      </c>
      <c r="E842" s="37">
        <f t="shared" si="170"/>
        <v>8.1168768999999988E-2</v>
      </c>
      <c r="F842" s="37">
        <f t="shared" si="175"/>
        <v>3.4297836189579466E-3</v>
      </c>
      <c r="G842" s="30">
        <f t="shared" si="176"/>
        <v>2230.5345146242694</v>
      </c>
      <c r="H842" s="38">
        <f t="shared" si="171"/>
        <v>165</v>
      </c>
      <c r="I842" s="39">
        <f t="shared" si="172"/>
        <v>165.54414784394251</v>
      </c>
      <c r="J842" s="40">
        <f t="shared" si="173"/>
        <v>70</v>
      </c>
      <c r="K842" s="43">
        <f>VLOOKUP(J842,Data!$Z$3:$AA$122,2)</f>
        <v>0</v>
      </c>
      <c r="L842" s="41">
        <f t="shared" si="174"/>
        <v>0.54414784394251114</v>
      </c>
      <c r="M842" s="43">
        <f>VLOOKUP(H842,Data!$P$3:$X$122,9)</f>
        <v>0</v>
      </c>
      <c r="N842" s="43">
        <f t="shared" si="177"/>
        <v>0</v>
      </c>
      <c r="O842" s="43">
        <f t="shared" si="178"/>
        <v>0</v>
      </c>
      <c r="P842" s="30">
        <f t="shared" si="179"/>
        <v>0</v>
      </c>
      <c r="Q842" s="31">
        <f t="shared" si="181"/>
        <v>848340.75061972369</v>
      </c>
    </row>
    <row r="843" spans="1:17" x14ac:dyDescent="0.25">
      <c r="A843" s="6">
        <f t="shared" si="180"/>
        <v>68849</v>
      </c>
      <c r="B843" s="30">
        <f>IFERROR(VLOOKUP(A843, Data!$L$3:$N$123, 3),1)*Pension</f>
        <v>650342.63453096815</v>
      </c>
      <c r="C843" s="37">
        <f t="shared" si="169"/>
        <v>70.001368925393564</v>
      </c>
      <c r="D843" s="37">
        <f>IFERROR(VLOOKUP(A843,Data!$I$3:$J$1442,2),0)</f>
        <v>8.1355430000000006E-2</v>
      </c>
      <c r="E843" s="37">
        <f t="shared" si="170"/>
        <v>8.1155430000000001E-2</v>
      </c>
      <c r="F843" s="37">
        <f t="shared" si="175"/>
        <v>3.4101766151495407E-3</v>
      </c>
      <c r="G843" s="30">
        <f t="shared" si="176"/>
        <v>2217.7832441122519</v>
      </c>
      <c r="H843" s="38">
        <f t="shared" si="171"/>
        <v>165</v>
      </c>
      <c r="I843" s="39">
        <f t="shared" si="172"/>
        <v>165.62628336755648</v>
      </c>
      <c r="J843" s="40">
        <f t="shared" si="173"/>
        <v>70</v>
      </c>
      <c r="K843" s="43">
        <f>VLOOKUP(J843,Data!$Z$3:$AA$122,2)</f>
        <v>0</v>
      </c>
      <c r="L843" s="41">
        <f t="shared" si="174"/>
        <v>0.62628336755648206</v>
      </c>
      <c r="M843" s="43">
        <f>VLOOKUP(H843,Data!$P$3:$X$122,9)</f>
        <v>0</v>
      </c>
      <c r="N843" s="43">
        <f t="shared" si="177"/>
        <v>0</v>
      </c>
      <c r="O843" s="43">
        <f t="shared" si="178"/>
        <v>0</v>
      </c>
      <c r="P843" s="30">
        <f t="shared" si="179"/>
        <v>0</v>
      </c>
      <c r="Q843" s="31">
        <f t="shared" si="181"/>
        <v>848340.75061972369</v>
      </c>
    </row>
    <row r="844" spans="1:17" x14ac:dyDescent="0.25">
      <c r="A844" s="6">
        <f t="shared" si="180"/>
        <v>68880</v>
      </c>
      <c r="B844" s="30">
        <f>IFERROR(VLOOKUP(A844, Data!$L$3:$N$123, 3),1)*Pension</f>
        <v>650342.63453096815</v>
      </c>
      <c r="C844" s="37">
        <f t="shared" si="169"/>
        <v>70.086242299794662</v>
      </c>
      <c r="D844" s="37">
        <f>IFERROR(VLOOKUP(A844,Data!$I$3:$J$1442,2),0)</f>
        <v>8.1341679E-2</v>
      </c>
      <c r="E844" s="37">
        <f t="shared" si="170"/>
        <v>8.1141678999999994E-2</v>
      </c>
      <c r="F844" s="37">
        <f t="shared" si="175"/>
        <v>3.3900338411273754E-3</v>
      </c>
      <c r="G844" s="30">
        <f t="shared" si="176"/>
        <v>2204.6835393879151</v>
      </c>
      <c r="H844" s="38">
        <f t="shared" si="171"/>
        <v>165</v>
      </c>
      <c r="I844" s="39">
        <f t="shared" si="172"/>
        <v>165.71115674195755</v>
      </c>
      <c r="J844" s="40">
        <f t="shared" si="173"/>
        <v>70</v>
      </c>
      <c r="K844" s="43">
        <f>VLOOKUP(J844,Data!$Z$3:$AA$122,2)</f>
        <v>0</v>
      </c>
      <c r="L844" s="41">
        <f t="shared" si="174"/>
        <v>0.71115674195755219</v>
      </c>
      <c r="M844" s="43">
        <f>VLOOKUP(H844,Data!$P$3:$X$122,9)</f>
        <v>0</v>
      </c>
      <c r="N844" s="43">
        <f t="shared" si="177"/>
        <v>0</v>
      </c>
      <c r="O844" s="43">
        <f t="shared" si="178"/>
        <v>0</v>
      </c>
      <c r="P844" s="30">
        <f t="shared" si="179"/>
        <v>0</v>
      </c>
      <c r="Q844" s="31">
        <f t="shared" si="181"/>
        <v>848340.75061972369</v>
      </c>
    </row>
    <row r="845" spans="1:17" x14ac:dyDescent="0.25">
      <c r="A845" s="6">
        <f t="shared" si="180"/>
        <v>68911</v>
      </c>
      <c r="B845" s="30">
        <f>IFERROR(VLOOKUP(A845, Data!$L$3:$N$123, 3),1)*Pension</f>
        <v>650342.63453096815</v>
      </c>
      <c r="C845" s="37">
        <f t="shared" si="169"/>
        <v>70.171115674195761</v>
      </c>
      <c r="D845" s="37">
        <f>IFERROR(VLOOKUP(A845,Data!$I$3:$J$1442,2),0)</f>
        <v>8.1327962000000004E-2</v>
      </c>
      <c r="E845" s="37">
        <f t="shared" si="170"/>
        <v>8.1127961999999998E-2</v>
      </c>
      <c r="F845" s="37">
        <f t="shared" si="175"/>
        <v>3.3700098697473004E-3</v>
      </c>
      <c r="G845" s="30">
        <f t="shared" si="176"/>
        <v>2191.6610970868242</v>
      </c>
      <c r="H845" s="38">
        <f t="shared" si="171"/>
        <v>165</v>
      </c>
      <c r="I845" s="39">
        <f t="shared" si="172"/>
        <v>165.79603011635865</v>
      </c>
      <c r="J845" s="40">
        <f t="shared" si="173"/>
        <v>70</v>
      </c>
      <c r="K845" s="43">
        <f>VLOOKUP(J845,Data!$Z$3:$AA$122,2)</f>
        <v>0</v>
      </c>
      <c r="L845" s="41">
        <f t="shared" si="174"/>
        <v>0.79603011635865073</v>
      </c>
      <c r="M845" s="43">
        <f>VLOOKUP(H845,Data!$P$3:$X$122,9)</f>
        <v>0</v>
      </c>
      <c r="N845" s="43">
        <f t="shared" si="177"/>
        <v>0</v>
      </c>
      <c r="O845" s="43">
        <f t="shared" si="178"/>
        <v>0</v>
      </c>
      <c r="P845" s="30">
        <f t="shared" si="179"/>
        <v>0</v>
      </c>
      <c r="Q845" s="31">
        <f t="shared" si="181"/>
        <v>848340.75061972369</v>
      </c>
    </row>
    <row r="846" spans="1:17" x14ac:dyDescent="0.25">
      <c r="A846" s="6">
        <f t="shared" si="180"/>
        <v>68941</v>
      </c>
      <c r="B846" s="30">
        <f>IFERROR(VLOOKUP(A846, Data!$L$3:$N$123, 3),1)*Pension</f>
        <v>650342.63453096815</v>
      </c>
      <c r="C846" s="37">
        <f t="shared" si="169"/>
        <v>70.253251197809718</v>
      </c>
      <c r="D846" s="37">
        <f>IFERROR(VLOOKUP(A846,Data!$I$3:$J$1442,2),0)</f>
        <v>8.1314717999999994E-2</v>
      </c>
      <c r="E846" s="37">
        <f t="shared" si="170"/>
        <v>8.1114717999999988E-2</v>
      </c>
      <c r="F846" s="37">
        <f t="shared" si="175"/>
        <v>3.3507446994935509E-3</v>
      </c>
      <c r="G846" s="30">
        <f t="shared" si="176"/>
        <v>2179.1321355093132</v>
      </c>
      <c r="H846" s="38">
        <f t="shared" si="171"/>
        <v>165</v>
      </c>
      <c r="I846" s="39">
        <f t="shared" si="172"/>
        <v>165.87816563997262</v>
      </c>
      <c r="J846" s="40">
        <f t="shared" si="173"/>
        <v>70</v>
      </c>
      <c r="K846" s="43">
        <f>VLOOKUP(J846,Data!$Z$3:$AA$122,2)</f>
        <v>0</v>
      </c>
      <c r="L846" s="41">
        <f t="shared" si="174"/>
        <v>0.87816563997262165</v>
      </c>
      <c r="M846" s="43">
        <f>VLOOKUP(H846,Data!$P$3:$X$122,9)</f>
        <v>0</v>
      </c>
      <c r="N846" s="43">
        <f t="shared" si="177"/>
        <v>0</v>
      </c>
      <c r="O846" s="43">
        <f t="shared" si="178"/>
        <v>0</v>
      </c>
      <c r="P846" s="30">
        <f t="shared" si="179"/>
        <v>0</v>
      </c>
      <c r="Q846" s="31">
        <f t="shared" si="181"/>
        <v>848340.75061972369</v>
      </c>
    </row>
    <row r="847" spans="1:17" x14ac:dyDescent="0.25">
      <c r="A847" s="6">
        <f t="shared" si="180"/>
        <v>68972</v>
      </c>
      <c r="B847" s="30">
        <f>IFERROR(VLOOKUP(A847, Data!$L$3:$N$123, 3),1)*Pension</f>
        <v>650342.63453096815</v>
      </c>
      <c r="C847" s="37">
        <f t="shared" si="169"/>
        <v>70.338124572210816</v>
      </c>
      <c r="D847" s="37">
        <f>IFERROR(VLOOKUP(A847,Data!$I$3:$J$1442,2),0)</f>
        <v>8.1301066000000005E-2</v>
      </c>
      <c r="E847" s="37">
        <f t="shared" si="170"/>
        <v>8.1101065999999999E-2</v>
      </c>
      <c r="F847" s="37">
        <f t="shared" si="175"/>
        <v>3.3309528217938937E-3</v>
      </c>
      <c r="G847" s="30">
        <f t="shared" si="176"/>
        <v>2166.2606336238032</v>
      </c>
      <c r="H847" s="38">
        <f t="shared" si="171"/>
        <v>165</v>
      </c>
      <c r="I847" s="39">
        <f t="shared" si="172"/>
        <v>165.96303901437372</v>
      </c>
      <c r="J847" s="40">
        <f t="shared" si="173"/>
        <v>70</v>
      </c>
      <c r="K847" s="43">
        <f>VLOOKUP(J847,Data!$Z$3:$AA$122,2)</f>
        <v>0</v>
      </c>
      <c r="L847" s="41">
        <f t="shared" si="174"/>
        <v>0.96303901437372019</v>
      </c>
      <c r="M847" s="43">
        <f>VLOOKUP(H847,Data!$P$3:$X$122,9)</f>
        <v>0</v>
      </c>
      <c r="N847" s="43">
        <f t="shared" si="177"/>
        <v>0</v>
      </c>
      <c r="O847" s="43">
        <f t="shared" si="178"/>
        <v>0</v>
      </c>
      <c r="P847" s="30">
        <f t="shared" si="179"/>
        <v>0</v>
      </c>
      <c r="Q847" s="31">
        <f t="shared" si="181"/>
        <v>848340.75061972369</v>
      </c>
    </row>
    <row r="848" spans="1:17" x14ac:dyDescent="0.25">
      <c r="A848" s="6">
        <f t="shared" si="180"/>
        <v>69002</v>
      </c>
      <c r="B848" s="30">
        <f>IFERROR(VLOOKUP(A848, Data!$L$3:$N$123, 3),1)*Pension</f>
        <v>650342.63453096815</v>
      </c>
      <c r="C848" s="37">
        <f t="shared" si="169"/>
        <v>70.420260095824773</v>
      </c>
      <c r="D848" s="37">
        <f>IFERROR(VLOOKUP(A848,Data!$I$3:$J$1442,2),0)</f>
        <v>8.1287885000000004E-2</v>
      </c>
      <c r="E848" s="37">
        <f t="shared" si="170"/>
        <v>8.1087884999999998E-2</v>
      </c>
      <c r="F848" s="37">
        <f t="shared" si="175"/>
        <v>3.3119108757388564E-3</v>
      </c>
      <c r="G848" s="30">
        <f t="shared" si="176"/>
        <v>2153.8768442597739</v>
      </c>
      <c r="H848" s="38">
        <f t="shared" si="171"/>
        <v>166</v>
      </c>
      <c r="I848" s="39">
        <f t="shared" si="172"/>
        <v>166.04517453798769</v>
      </c>
      <c r="J848" s="40">
        <f t="shared" si="173"/>
        <v>71</v>
      </c>
      <c r="K848" s="43">
        <f>VLOOKUP(J848,Data!$Z$3:$AA$122,2)</f>
        <v>0</v>
      </c>
      <c r="L848" s="41">
        <f t="shared" si="174"/>
        <v>4.517453798769111E-2</v>
      </c>
      <c r="M848" s="43">
        <f>VLOOKUP(H848,Data!$P$3:$X$122,9)</f>
        <v>0</v>
      </c>
      <c r="N848" s="43">
        <f t="shared" si="177"/>
        <v>0</v>
      </c>
      <c r="O848" s="43">
        <f t="shared" si="178"/>
        <v>0</v>
      </c>
      <c r="P848" s="30">
        <f t="shared" si="179"/>
        <v>0</v>
      </c>
      <c r="Q848" s="31">
        <f t="shared" si="181"/>
        <v>848340.75061972369</v>
      </c>
    </row>
    <row r="849" spans="1:17" x14ac:dyDescent="0.25">
      <c r="A849" s="6">
        <f t="shared" si="180"/>
        <v>69033</v>
      </c>
      <c r="B849" s="30">
        <f>IFERROR(VLOOKUP(A849, Data!$L$3:$N$123, 3),1)*Pension</f>
        <v>682859.76625751657</v>
      </c>
      <c r="C849" s="37">
        <f t="shared" si="169"/>
        <v>70.505133470225871</v>
      </c>
      <c r="D849" s="37">
        <f>IFERROR(VLOOKUP(A849,Data!$I$3:$J$1442,2),0)</f>
        <v>8.1274297999999995E-2</v>
      </c>
      <c r="E849" s="37">
        <f t="shared" si="170"/>
        <v>8.1074297999999989E-2</v>
      </c>
      <c r="F849" s="37">
        <f t="shared" si="175"/>
        <v>3.2923482944852245E-3</v>
      </c>
      <c r="G849" s="30">
        <f t="shared" si="176"/>
        <v>2248.2121868105137</v>
      </c>
      <c r="H849" s="38">
        <f t="shared" si="171"/>
        <v>166</v>
      </c>
      <c r="I849" s="39">
        <f t="shared" si="172"/>
        <v>166.13004791238876</v>
      </c>
      <c r="J849" s="40">
        <f t="shared" si="173"/>
        <v>71</v>
      </c>
      <c r="K849" s="43">
        <f>VLOOKUP(J849,Data!$Z$3:$AA$122,2)</f>
        <v>0</v>
      </c>
      <c r="L849" s="41">
        <f t="shared" si="174"/>
        <v>0.13004791238876123</v>
      </c>
      <c r="M849" s="43">
        <f>VLOOKUP(H849,Data!$P$3:$X$122,9)</f>
        <v>0</v>
      </c>
      <c r="N849" s="43">
        <f t="shared" si="177"/>
        <v>0</v>
      </c>
      <c r="O849" s="43">
        <f t="shared" si="178"/>
        <v>0</v>
      </c>
      <c r="P849" s="30">
        <f t="shared" si="179"/>
        <v>0</v>
      </c>
      <c r="Q849" s="31">
        <f t="shared" si="181"/>
        <v>848340.75061972369</v>
      </c>
    </row>
    <row r="850" spans="1:17" x14ac:dyDescent="0.25">
      <c r="A850" s="6">
        <f t="shared" si="180"/>
        <v>69064</v>
      </c>
      <c r="B850" s="30">
        <f>IFERROR(VLOOKUP(A850, Data!$L$3:$N$123, 3),1)*Pension</f>
        <v>682859.76625751657</v>
      </c>
      <c r="C850" s="37">
        <f t="shared" si="169"/>
        <v>70.59000684462697</v>
      </c>
      <c r="D850" s="37">
        <f>IFERROR(VLOOKUP(A850,Data!$I$3:$J$1442,2),0)</f>
        <v>8.1260742999999996E-2</v>
      </c>
      <c r="E850" s="37">
        <f t="shared" si="170"/>
        <v>8.1060742999999991E-2</v>
      </c>
      <c r="F850" s="37">
        <f t="shared" si="175"/>
        <v>3.2729014195839292E-3</v>
      </c>
      <c r="G850" s="30">
        <f t="shared" si="176"/>
        <v>2234.9326983609762</v>
      </c>
      <c r="H850" s="38">
        <f t="shared" si="171"/>
        <v>166</v>
      </c>
      <c r="I850" s="39">
        <f t="shared" si="172"/>
        <v>166.21492128678986</v>
      </c>
      <c r="J850" s="40">
        <f t="shared" si="173"/>
        <v>71</v>
      </c>
      <c r="K850" s="43">
        <f>VLOOKUP(J850,Data!$Z$3:$AA$122,2)</f>
        <v>0</v>
      </c>
      <c r="L850" s="41">
        <f t="shared" si="174"/>
        <v>0.21492128678985978</v>
      </c>
      <c r="M850" s="43">
        <f>VLOOKUP(H850,Data!$P$3:$X$122,9)</f>
        <v>0</v>
      </c>
      <c r="N850" s="43">
        <f t="shared" si="177"/>
        <v>0</v>
      </c>
      <c r="O850" s="43">
        <f t="shared" si="178"/>
        <v>0</v>
      </c>
      <c r="P850" s="30">
        <f t="shared" si="179"/>
        <v>0</v>
      </c>
      <c r="Q850" s="31">
        <f t="shared" si="181"/>
        <v>848340.75061972369</v>
      </c>
    </row>
    <row r="851" spans="1:17" x14ac:dyDescent="0.25">
      <c r="A851" s="6">
        <f t="shared" si="180"/>
        <v>69092</v>
      </c>
      <c r="B851" s="30">
        <f>IFERROR(VLOOKUP(A851, Data!$L$3:$N$123, 3),1)*Pension</f>
        <v>682859.76625751657</v>
      </c>
      <c r="C851" s="37">
        <f t="shared" si="169"/>
        <v>70.666666666666671</v>
      </c>
      <c r="D851" s="37">
        <f>IFERROR(VLOOKUP(A851,Data!$I$3:$J$1442,2),0)</f>
        <v>8.1248527000000001E-2</v>
      </c>
      <c r="E851" s="37">
        <f t="shared" si="170"/>
        <v>8.1048526999999995E-2</v>
      </c>
      <c r="F851" s="37">
        <f t="shared" si="175"/>
        <v>3.2554354243927888E-3</v>
      </c>
      <c r="G851" s="30">
        <f t="shared" si="176"/>
        <v>2223.0058729672992</v>
      </c>
      <c r="H851" s="38">
        <f t="shared" si="171"/>
        <v>166</v>
      </c>
      <c r="I851" s="39">
        <f t="shared" si="172"/>
        <v>166.29158110882958</v>
      </c>
      <c r="J851" s="40">
        <f t="shared" si="173"/>
        <v>71</v>
      </c>
      <c r="K851" s="43">
        <f>VLOOKUP(J851,Data!$Z$3:$AA$122,2)</f>
        <v>0</v>
      </c>
      <c r="L851" s="41">
        <f t="shared" si="174"/>
        <v>0.29158110882957544</v>
      </c>
      <c r="M851" s="43">
        <f>VLOOKUP(H851,Data!$P$3:$X$122,9)</f>
        <v>0</v>
      </c>
      <c r="N851" s="43">
        <f t="shared" si="177"/>
        <v>0</v>
      </c>
      <c r="O851" s="43">
        <f t="shared" si="178"/>
        <v>0</v>
      </c>
      <c r="P851" s="30">
        <f t="shared" si="179"/>
        <v>0</v>
      </c>
      <c r="Q851" s="31">
        <f t="shared" si="181"/>
        <v>848340.75061972369</v>
      </c>
    </row>
    <row r="852" spans="1:17" x14ac:dyDescent="0.25">
      <c r="A852" s="6">
        <f t="shared" si="180"/>
        <v>69123</v>
      </c>
      <c r="B852" s="30">
        <f>IFERROR(VLOOKUP(A852, Data!$L$3:$N$123, 3),1)*Pension</f>
        <v>682859.76625751657</v>
      </c>
      <c r="C852" s="37">
        <f t="shared" si="169"/>
        <v>70.751540041067756</v>
      </c>
      <c r="D852" s="37">
        <f>IFERROR(VLOOKUP(A852,Data!$I$3:$J$1442,2),0)</f>
        <v>8.1235033999999998E-2</v>
      </c>
      <c r="E852" s="37">
        <f t="shared" si="170"/>
        <v>8.1035033999999992E-2</v>
      </c>
      <c r="F852" s="37">
        <f t="shared" si="175"/>
        <v>3.2362065507818283E-3</v>
      </c>
      <c r="G852" s="30">
        <f t="shared" si="176"/>
        <v>2209.8752488279233</v>
      </c>
      <c r="H852" s="38">
        <f t="shared" si="171"/>
        <v>166</v>
      </c>
      <c r="I852" s="39">
        <f t="shared" si="172"/>
        <v>166.37645448323067</v>
      </c>
      <c r="J852" s="40">
        <f t="shared" si="173"/>
        <v>71</v>
      </c>
      <c r="K852" s="43">
        <f>VLOOKUP(J852,Data!$Z$3:$AA$122,2)</f>
        <v>0</v>
      </c>
      <c r="L852" s="41">
        <f t="shared" si="174"/>
        <v>0.37645448323067399</v>
      </c>
      <c r="M852" s="43">
        <f>VLOOKUP(H852,Data!$P$3:$X$122,9)</f>
        <v>0</v>
      </c>
      <c r="N852" s="43">
        <f t="shared" si="177"/>
        <v>0</v>
      </c>
      <c r="O852" s="43">
        <f t="shared" si="178"/>
        <v>0</v>
      </c>
      <c r="P852" s="30">
        <f t="shared" si="179"/>
        <v>0</v>
      </c>
      <c r="Q852" s="31">
        <f t="shared" si="181"/>
        <v>848340.75061972369</v>
      </c>
    </row>
    <row r="853" spans="1:17" x14ac:dyDescent="0.25">
      <c r="A853" s="6">
        <f t="shared" si="180"/>
        <v>69153</v>
      </c>
      <c r="B853" s="30">
        <f>IFERROR(VLOOKUP(A853, Data!$L$3:$N$123, 3),1)*Pension</f>
        <v>682859.76625751657</v>
      </c>
      <c r="C853" s="37">
        <f t="shared" si="169"/>
        <v>70.833675564681727</v>
      </c>
      <c r="D853" s="37">
        <f>IFERROR(VLOOKUP(A853,Data!$I$3:$J$1442,2),0)</f>
        <v>8.1222006999999999E-2</v>
      </c>
      <c r="E853" s="37">
        <f t="shared" si="170"/>
        <v>8.1022006999999993E-2</v>
      </c>
      <c r="F853" s="37">
        <f t="shared" si="175"/>
        <v>3.2177061230518381E-3</v>
      </c>
      <c r="G853" s="30">
        <f t="shared" si="176"/>
        <v>2197.2420510725578</v>
      </c>
      <c r="H853" s="38">
        <f t="shared" si="171"/>
        <v>166</v>
      </c>
      <c r="I853" s="39">
        <f t="shared" si="172"/>
        <v>166.45859000684462</v>
      </c>
      <c r="J853" s="40">
        <f t="shared" si="173"/>
        <v>71</v>
      </c>
      <c r="K853" s="43">
        <f>VLOOKUP(J853,Data!$Z$3:$AA$122,2)</f>
        <v>0</v>
      </c>
      <c r="L853" s="41">
        <f t="shared" si="174"/>
        <v>0.45859000684461648</v>
      </c>
      <c r="M853" s="43">
        <f>VLOOKUP(H853,Data!$P$3:$X$122,9)</f>
        <v>0</v>
      </c>
      <c r="N853" s="43">
        <f t="shared" si="177"/>
        <v>0</v>
      </c>
      <c r="O853" s="43">
        <f t="shared" si="178"/>
        <v>0</v>
      </c>
      <c r="P853" s="30">
        <f t="shared" si="179"/>
        <v>0</v>
      </c>
      <c r="Q853" s="31">
        <f t="shared" si="181"/>
        <v>848340.75061972369</v>
      </c>
    </row>
    <row r="854" spans="1:17" x14ac:dyDescent="0.25">
      <c r="A854" s="6">
        <f t="shared" si="180"/>
        <v>69184</v>
      </c>
      <c r="B854" s="30">
        <f>IFERROR(VLOOKUP(A854, Data!$L$3:$N$123, 3),1)*Pension</f>
        <v>682859.76625751657</v>
      </c>
      <c r="C854" s="37">
        <f t="shared" si="169"/>
        <v>70.918548939082825</v>
      </c>
      <c r="D854" s="37">
        <f>IFERROR(VLOOKUP(A854,Data!$I$3:$J$1442,2),0)</f>
        <v>8.1208577000000004E-2</v>
      </c>
      <c r="E854" s="37">
        <f t="shared" si="170"/>
        <v>8.1008576999999998E-2</v>
      </c>
      <c r="F854" s="37">
        <f t="shared" si="175"/>
        <v>3.1987002215368011E-3</v>
      </c>
      <c r="G854" s="30">
        <f t="shared" si="176"/>
        <v>2184.2636856064864</v>
      </c>
      <c r="H854" s="38">
        <f t="shared" si="171"/>
        <v>166</v>
      </c>
      <c r="I854" s="39">
        <f t="shared" si="172"/>
        <v>166.54346338124572</v>
      </c>
      <c r="J854" s="40">
        <f t="shared" si="173"/>
        <v>71</v>
      </c>
      <c r="K854" s="43">
        <f>VLOOKUP(J854,Data!$Z$3:$AA$122,2)</f>
        <v>0</v>
      </c>
      <c r="L854" s="41">
        <f t="shared" si="174"/>
        <v>0.54346338124571503</v>
      </c>
      <c r="M854" s="43">
        <f>VLOOKUP(H854,Data!$P$3:$X$122,9)</f>
        <v>0</v>
      </c>
      <c r="N854" s="43">
        <f t="shared" si="177"/>
        <v>0</v>
      </c>
      <c r="O854" s="43">
        <f t="shared" si="178"/>
        <v>0</v>
      </c>
      <c r="P854" s="30">
        <f t="shared" si="179"/>
        <v>0</v>
      </c>
      <c r="Q854" s="31">
        <f t="shared" si="181"/>
        <v>848340.75061972369</v>
      </c>
    </row>
    <row r="855" spans="1:17" x14ac:dyDescent="0.25">
      <c r="A855" s="6">
        <f t="shared" si="180"/>
        <v>69214</v>
      </c>
      <c r="B855" s="30">
        <f>IFERROR(VLOOKUP(A855, Data!$L$3:$N$123, 3),1)*Pension</f>
        <v>682859.76625751657</v>
      </c>
      <c r="C855" s="37">
        <f t="shared" si="169"/>
        <v>71.000684462696782</v>
      </c>
      <c r="D855" s="37">
        <f>IFERROR(VLOOKUP(A855,Data!$I$3:$J$1442,2),0)</f>
        <v>8.1195612E-2</v>
      </c>
      <c r="E855" s="37">
        <f t="shared" si="170"/>
        <v>8.0995611999999995E-2</v>
      </c>
      <c r="F855" s="37">
        <f t="shared" si="175"/>
        <v>3.1804140366052951E-3</v>
      </c>
      <c r="G855" s="30">
        <f t="shared" si="176"/>
        <v>2171.7767856384166</v>
      </c>
      <c r="H855" s="38">
        <f t="shared" si="171"/>
        <v>166</v>
      </c>
      <c r="I855" s="39">
        <f t="shared" si="172"/>
        <v>166.62559890485969</v>
      </c>
      <c r="J855" s="40">
        <f t="shared" si="173"/>
        <v>71</v>
      </c>
      <c r="K855" s="43">
        <f>VLOOKUP(J855,Data!$Z$3:$AA$122,2)</f>
        <v>0</v>
      </c>
      <c r="L855" s="41">
        <f t="shared" si="174"/>
        <v>0.62559890485968594</v>
      </c>
      <c r="M855" s="43">
        <f>VLOOKUP(H855,Data!$P$3:$X$122,9)</f>
        <v>0</v>
      </c>
      <c r="N855" s="43">
        <f t="shared" si="177"/>
        <v>0</v>
      </c>
      <c r="O855" s="43">
        <f t="shared" si="178"/>
        <v>0</v>
      </c>
      <c r="P855" s="30">
        <f t="shared" si="179"/>
        <v>0</v>
      </c>
      <c r="Q855" s="31">
        <f t="shared" si="181"/>
        <v>848340.75061972369</v>
      </c>
    </row>
    <row r="856" spans="1:17" x14ac:dyDescent="0.25">
      <c r="A856" s="6">
        <f t="shared" si="180"/>
        <v>69245</v>
      </c>
      <c r="B856" s="30">
        <f>IFERROR(VLOOKUP(A856, Data!$L$3:$N$123, 3),1)*Pension</f>
        <v>682859.76625751657</v>
      </c>
      <c r="C856" s="37">
        <f t="shared" si="169"/>
        <v>71.08555783709788</v>
      </c>
      <c r="D856" s="37">
        <f>IFERROR(VLOOKUP(A856,Data!$I$3:$J$1442,2),0)</f>
        <v>8.1182245E-2</v>
      </c>
      <c r="E856" s="37">
        <f t="shared" si="170"/>
        <v>8.0982244999999994E-2</v>
      </c>
      <c r="F856" s="37">
        <f t="shared" si="175"/>
        <v>3.1616284219164663E-3</v>
      </c>
      <c r="G856" s="30">
        <f t="shared" si="176"/>
        <v>2158.9488451829993</v>
      </c>
      <c r="H856" s="38">
        <f t="shared" si="171"/>
        <v>166</v>
      </c>
      <c r="I856" s="39">
        <f t="shared" si="172"/>
        <v>166.71047227926078</v>
      </c>
      <c r="J856" s="40">
        <f t="shared" si="173"/>
        <v>71</v>
      </c>
      <c r="K856" s="43">
        <f>VLOOKUP(J856,Data!$Z$3:$AA$122,2)</f>
        <v>0</v>
      </c>
      <c r="L856" s="41">
        <f t="shared" si="174"/>
        <v>0.71047227926078449</v>
      </c>
      <c r="M856" s="43">
        <f>VLOOKUP(H856,Data!$P$3:$X$122,9)</f>
        <v>0</v>
      </c>
      <c r="N856" s="43">
        <f t="shared" si="177"/>
        <v>0</v>
      </c>
      <c r="O856" s="43">
        <f t="shared" si="178"/>
        <v>0</v>
      </c>
      <c r="P856" s="30">
        <f t="shared" si="179"/>
        <v>0</v>
      </c>
      <c r="Q856" s="31">
        <f t="shared" si="181"/>
        <v>848340.75061972369</v>
      </c>
    </row>
    <row r="857" spans="1:17" x14ac:dyDescent="0.25">
      <c r="A857" s="6">
        <f t="shared" si="180"/>
        <v>69276</v>
      </c>
      <c r="B857" s="30">
        <f>IFERROR(VLOOKUP(A857, Data!$L$3:$N$123, 3),1)*Pension</f>
        <v>682859.76625751657</v>
      </c>
      <c r="C857" s="37">
        <f t="shared" si="169"/>
        <v>71.170431211498979</v>
      </c>
      <c r="D857" s="37">
        <f>IFERROR(VLOOKUP(A857,Data!$I$3:$J$1442,2),0)</f>
        <v>8.1168909999999997E-2</v>
      </c>
      <c r="E857" s="37">
        <f t="shared" si="170"/>
        <v>8.0968909999999991E-2</v>
      </c>
      <c r="F857" s="37">
        <f t="shared" si="175"/>
        <v>3.1429537408544511E-3</v>
      </c>
      <c r="G857" s="30">
        <f t="shared" si="176"/>
        <v>2146.1966568380576</v>
      </c>
      <c r="H857" s="38">
        <f t="shared" si="171"/>
        <v>166</v>
      </c>
      <c r="I857" s="39">
        <f t="shared" si="172"/>
        <v>166.79534565366188</v>
      </c>
      <c r="J857" s="40">
        <f t="shared" si="173"/>
        <v>71</v>
      </c>
      <c r="K857" s="43">
        <f>VLOOKUP(J857,Data!$Z$3:$AA$122,2)</f>
        <v>0</v>
      </c>
      <c r="L857" s="41">
        <f t="shared" si="174"/>
        <v>0.79534565366188303</v>
      </c>
      <c r="M857" s="43">
        <f>VLOOKUP(H857,Data!$P$3:$X$122,9)</f>
        <v>0</v>
      </c>
      <c r="N857" s="43">
        <f t="shared" si="177"/>
        <v>0</v>
      </c>
      <c r="O857" s="43">
        <f t="shared" si="178"/>
        <v>0</v>
      </c>
      <c r="P857" s="30">
        <f t="shared" si="179"/>
        <v>0</v>
      </c>
      <c r="Q857" s="31">
        <f t="shared" si="181"/>
        <v>848340.75061972369</v>
      </c>
    </row>
    <row r="858" spans="1:17" x14ac:dyDescent="0.25">
      <c r="A858" s="6">
        <f t="shared" si="180"/>
        <v>69306</v>
      </c>
      <c r="B858" s="30">
        <f>IFERROR(VLOOKUP(A858, Data!$L$3:$N$123, 3),1)*Pension</f>
        <v>682859.76625751657</v>
      </c>
      <c r="C858" s="37">
        <f t="shared" si="169"/>
        <v>71.252566735112936</v>
      </c>
      <c r="D858" s="37">
        <f>IFERROR(VLOOKUP(A858,Data!$I$3:$J$1442,2),0)</f>
        <v>8.1156036000000001E-2</v>
      </c>
      <c r="E858" s="37">
        <f t="shared" si="170"/>
        <v>8.0956035999999995E-2</v>
      </c>
      <c r="F858" s="37">
        <f t="shared" si="175"/>
        <v>3.124986369072125E-3</v>
      </c>
      <c r="G858" s="30">
        <f t="shared" si="176"/>
        <v>2133.9274615425165</v>
      </c>
      <c r="H858" s="38">
        <f t="shared" si="171"/>
        <v>166</v>
      </c>
      <c r="I858" s="39">
        <f t="shared" si="172"/>
        <v>166.87748117727583</v>
      </c>
      <c r="J858" s="40">
        <f t="shared" si="173"/>
        <v>71</v>
      </c>
      <c r="K858" s="43">
        <f>VLOOKUP(J858,Data!$Z$3:$AA$122,2)</f>
        <v>0</v>
      </c>
      <c r="L858" s="41">
        <f t="shared" si="174"/>
        <v>0.87748117727582553</v>
      </c>
      <c r="M858" s="43">
        <f>VLOOKUP(H858,Data!$P$3:$X$122,9)</f>
        <v>0</v>
      </c>
      <c r="N858" s="43">
        <f t="shared" si="177"/>
        <v>0</v>
      </c>
      <c r="O858" s="43">
        <f t="shared" si="178"/>
        <v>0</v>
      </c>
      <c r="P858" s="30">
        <f t="shared" si="179"/>
        <v>0</v>
      </c>
      <c r="Q858" s="31">
        <f t="shared" si="181"/>
        <v>848340.75061972369</v>
      </c>
    </row>
    <row r="859" spans="1:17" x14ac:dyDescent="0.25">
      <c r="A859" s="6">
        <f t="shared" si="180"/>
        <v>69337</v>
      </c>
      <c r="B859" s="30">
        <f>IFERROR(VLOOKUP(A859, Data!$L$3:$N$123, 3),1)*Pension</f>
        <v>682859.76625751657</v>
      </c>
      <c r="C859" s="37">
        <f t="shared" si="169"/>
        <v>71.337440109514034</v>
      </c>
      <c r="D859" s="37">
        <f>IFERROR(VLOOKUP(A859,Data!$I$3:$J$1442,2),0)</f>
        <v>8.1142764000000006E-2</v>
      </c>
      <c r="E859" s="37">
        <f t="shared" si="170"/>
        <v>8.0942764E-2</v>
      </c>
      <c r="F859" s="37">
        <f t="shared" si="175"/>
        <v>3.1065279875537931E-3</v>
      </c>
      <c r="G859" s="30">
        <f t="shared" si="176"/>
        <v>2121.3229754534163</v>
      </c>
      <c r="H859" s="38">
        <f t="shared" si="171"/>
        <v>166</v>
      </c>
      <c r="I859" s="39">
        <f t="shared" si="172"/>
        <v>166.96235455167692</v>
      </c>
      <c r="J859" s="40">
        <f t="shared" si="173"/>
        <v>71</v>
      </c>
      <c r="K859" s="43">
        <f>VLOOKUP(J859,Data!$Z$3:$AA$122,2)</f>
        <v>0</v>
      </c>
      <c r="L859" s="41">
        <f t="shared" si="174"/>
        <v>0.96235455167692407</v>
      </c>
      <c r="M859" s="43">
        <f>VLOOKUP(H859,Data!$P$3:$X$122,9)</f>
        <v>0</v>
      </c>
      <c r="N859" s="43">
        <f t="shared" si="177"/>
        <v>0</v>
      </c>
      <c r="O859" s="43">
        <f t="shared" si="178"/>
        <v>0</v>
      </c>
      <c r="P859" s="30">
        <f t="shared" si="179"/>
        <v>0</v>
      </c>
      <c r="Q859" s="31">
        <f t="shared" si="181"/>
        <v>848340.75061972369</v>
      </c>
    </row>
    <row r="860" spans="1:17" x14ac:dyDescent="0.25">
      <c r="A860" s="6">
        <f t="shared" si="180"/>
        <v>69367</v>
      </c>
      <c r="B860" s="30">
        <f>IFERROR(VLOOKUP(A860, Data!$L$3:$N$123, 3),1)*Pension</f>
        <v>682859.76625751657</v>
      </c>
      <c r="C860" s="37">
        <f t="shared" si="169"/>
        <v>71.419575633127991</v>
      </c>
      <c r="D860" s="37">
        <f>IFERROR(VLOOKUP(A860,Data!$I$3:$J$1442,2),0)</f>
        <v>8.1129949000000007E-2</v>
      </c>
      <c r="E860" s="37">
        <f t="shared" si="170"/>
        <v>8.0929949000000001E-2</v>
      </c>
      <c r="F860" s="37">
        <f t="shared" si="175"/>
        <v>3.0887691103739395E-3</v>
      </c>
      <c r="G860" s="30">
        <f t="shared" si="176"/>
        <v>2109.1961527333856</v>
      </c>
      <c r="H860" s="38">
        <f t="shared" si="171"/>
        <v>167</v>
      </c>
      <c r="I860" s="39">
        <f t="shared" si="172"/>
        <v>167.04449007529089</v>
      </c>
      <c r="J860" s="40">
        <f t="shared" si="173"/>
        <v>72</v>
      </c>
      <c r="K860" s="43">
        <f>VLOOKUP(J860,Data!$Z$3:$AA$122,2)</f>
        <v>0</v>
      </c>
      <c r="L860" s="41">
        <f t="shared" si="174"/>
        <v>4.4490075290894993E-2</v>
      </c>
      <c r="M860" s="43">
        <f>VLOOKUP(H860,Data!$P$3:$X$122,9)</f>
        <v>0</v>
      </c>
      <c r="N860" s="43">
        <f t="shared" si="177"/>
        <v>0</v>
      </c>
      <c r="O860" s="43">
        <f t="shared" si="178"/>
        <v>0</v>
      </c>
      <c r="P860" s="30">
        <f t="shared" si="179"/>
        <v>0</v>
      </c>
      <c r="Q860" s="31">
        <f t="shared" si="181"/>
        <v>848340.75061972369</v>
      </c>
    </row>
    <row r="861" spans="1:17" x14ac:dyDescent="0.25">
      <c r="A861" s="6">
        <f t="shared" si="180"/>
        <v>69398</v>
      </c>
      <c r="B861" s="30">
        <f>IFERROR(VLOOKUP(A861, Data!$L$3:$N$123, 3),1)*Pension</f>
        <v>717002.75457039243</v>
      </c>
      <c r="C861" s="37">
        <f t="shared" si="169"/>
        <v>71.504449007529089</v>
      </c>
      <c r="D861" s="37">
        <f>IFERROR(VLOOKUP(A861,Data!$I$3:$J$1442,2),0)</f>
        <v>8.1116738999999993E-2</v>
      </c>
      <c r="E861" s="37">
        <f t="shared" si="170"/>
        <v>8.0916738999999988E-2</v>
      </c>
      <c r="F861" s="37">
        <f t="shared" si="175"/>
        <v>3.0705246455094712E-3</v>
      </c>
      <c r="G861" s="30">
        <f t="shared" si="176"/>
        <v>2201.5746288065684</v>
      </c>
      <c r="H861" s="38">
        <f t="shared" si="171"/>
        <v>167</v>
      </c>
      <c r="I861" s="39">
        <f t="shared" si="172"/>
        <v>167.12936344969199</v>
      </c>
      <c r="J861" s="40">
        <f t="shared" si="173"/>
        <v>72</v>
      </c>
      <c r="K861" s="43">
        <f>VLOOKUP(J861,Data!$Z$3:$AA$122,2)</f>
        <v>0</v>
      </c>
      <c r="L861" s="41">
        <f t="shared" si="174"/>
        <v>0.12936344969199354</v>
      </c>
      <c r="M861" s="43">
        <f>VLOOKUP(H861,Data!$P$3:$X$122,9)</f>
        <v>0</v>
      </c>
      <c r="N861" s="43">
        <f t="shared" si="177"/>
        <v>0</v>
      </c>
      <c r="O861" s="43">
        <f t="shared" si="178"/>
        <v>0</v>
      </c>
      <c r="P861" s="30">
        <f t="shared" si="179"/>
        <v>0</v>
      </c>
      <c r="Q861" s="31">
        <f t="shared" si="181"/>
        <v>848340.75061972369</v>
      </c>
    </row>
    <row r="862" spans="1:17" x14ac:dyDescent="0.25">
      <c r="A862" s="6">
        <f t="shared" si="180"/>
        <v>69429</v>
      </c>
      <c r="B862" s="30">
        <f>IFERROR(VLOOKUP(A862, Data!$L$3:$N$123, 3),1)*Pension</f>
        <v>717002.75457039243</v>
      </c>
      <c r="C862" s="37">
        <f t="shared" si="169"/>
        <v>71.589322381930188</v>
      </c>
      <c r="D862" s="37">
        <f>IFERROR(VLOOKUP(A862,Data!$I$3:$J$1442,2),0)</f>
        <v>8.1103560000000005E-2</v>
      </c>
      <c r="E862" s="37">
        <f t="shared" si="170"/>
        <v>8.0903559999999999E-2</v>
      </c>
      <c r="F862" s="37">
        <f t="shared" si="175"/>
        <v>3.0523880158828381E-3</v>
      </c>
      <c r="G862" s="30">
        <f t="shared" si="176"/>
        <v>2188.5706154056497</v>
      </c>
      <c r="H862" s="38">
        <f t="shared" si="171"/>
        <v>167</v>
      </c>
      <c r="I862" s="39">
        <f t="shared" si="172"/>
        <v>167.21423682409309</v>
      </c>
      <c r="J862" s="40">
        <f t="shared" si="173"/>
        <v>72</v>
      </c>
      <c r="K862" s="43">
        <f>VLOOKUP(J862,Data!$Z$3:$AA$122,2)</f>
        <v>0</v>
      </c>
      <c r="L862" s="41">
        <f t="shared" si="174"/>
        <v>0.21423682409309208</v>
      </c>
      <c r="M862" s="43">
        <f>VLOOKUP(H862,Data!$P$3:$X$122,9)</f>
        <v>0</v>
      </c>
      <c r="N862" s="43">
        <f t="shared" si="177"/>
        <v>0</v>
      </c>
      <c r="O862" s="43">
        <f t="shared" si="178"/>
        <v>0</v>
      </c>
      <c r="P862" s="30">
        <f t="shared" si="179"/>
        <v>0</v>
      </c>
      <c r="Q862" s="31">
        <f t="shared" si="181"/>
        <v>848340.75061972369</v>
      </c>
    </row>
    <row r="863" spans="1:17" x14ac:dyDescent="0.25">
      <c r="A863" s="6">
        <f t="shared" si="180"/>
        <v>69457</v>
      </c>
      <c r="B863" s="30">
        <f>IFERROR(VLOOKUP(A863, Data!$L$3:$N$123, 3),1)*Pension</f>
        <v>717002.75457039243</v>
      </c>
      <c r="C863" s="37">
        <f t="shared" si="169"/>
        <v>71.665982203969889</v>
      </c>
      <c r="D863" s="37">
        <f>IFERROR(VLOOKUP(A863,Data!$I$3:$J$1442,2),0)</f>
        <v>8.1091682999999998E-2</v>
      </c>
      <c r="E863" s="37">
        <f t="shared" si="170"/>
        <v>8.0891682999999992E-2</v>
      </c>
      <c r="F863" s="37">
        <f t="shared" si="175"/>
        <v>3.0360986871530282E-3</v>
      </c>
      <c r="G863" s="30">
        <f t="shared" si="176"/>
        <v>2176.8911218362732</v>
      </c>
      <c r="H863" s="38">
        <f t="shared" si="171"/>
        <v>167</v>
      </c>
      <c r="I863" s="39">
        <f t="shared" si="172"/>
        <v>167.29089664613278</v>
      </c>
      <c r="J863" s="40">
        <f t="shared" si="173"/>
        <v>72</v>
      </c>
      <c r="K863" s="43">
        <f>VLOOKUP(J863,Data!$Z$3:$AA$122,2)</f>
        <v>0</v>
      </c>
      <c r="L863" s="41">
        <f t="shared" si="174"/>
        <v>0.29089664613277932</v>
      </c>
      <c r="M863" s="43">
        <f>VLOOKUP(H863,Data!$P$3:$X$122,9)</f>
        <v>0</v>
      </c>
      <c r="N863" s="43">
        <f t="shared" si="177"/>
        <v>0</v>
      </c>
      <c r="O863" s="43">
        <f t="shared" si="178"/>
        <v>0</v>
      </c>
      <c r="P863" s="30">
        <f t="shared" si="179"/>
        <v>0</v>
      </c>
      <c r="Q863" s="31">
        <f t="shared" si="181"/>
        <v>848340.75061972369</v>
      </c>
    </row>
    <row r="864" spans="1:17" x14ac:dyDescent="0.25">
      <c r="A864" s="6">
        <f t="shared" si="180"/>
        <v>69488</v>
      </c>
      <c r="B864" s="30">
        <f>IFERROR(VLOOKUP(A864, Data!$L$3:$N$123, 3),1)*Pension</f>
        <v>717002.75457039243</v>
      </c>
      <c r="C864" s="37">
        <f t="shared" si="169"/>
        <v>71.750855578370974</v>
      </c>
      <c r="D864" s="37">
        <f>IFERROR(VLOOKUP(A864,Data!$I$3:$J$1442,2),0)</f>
        <v>8.1078563000000006E-2</v>
      </c>
      <c r="E864" s="37">
        <f t="shared" si="170"/>
        <v>8.0878563000000001E-2</v>
      </c>
      <c r="F864" s="37">
        <f t="shared" si="175"/>
        <v>3.0181654677056535E-3</v>
      </c>
      <c r="G864" s="30">
        <f t="shared" si="176"/>
        <v>2164.0329540941902</v>
      </c>
      <c r="H864" s="38">
        <f t="shared" si="171"/>
        <v>167</v>
      </c>
      <c r="I864" s="39">
        <f t="shared" si="172"/>
        <v>167.37577002053388</v>
      </c>
      <c r="J864" s="40">
        <f t="shared" si="173"/>
        <v>72</v>
      </c>
      <c r="K864" s="43">
        <f>VLOOKUP(J864,Data!$Z$3:$AA$122,2)</f>
        <v>0</v>
      </c>
      <c r="L864" s="41">
        <f t="shared" si="174"/>
        <v>0.37577002053387787</v>
      </c>
      <c r="M864" s="43">
        <f>VLOOKUP(H864,Data!$P$3:$X$122,9)</f>
        <v>0</v>
      </c>
      <c r="N864" s="43">
        <f t="shared" si="177"/>
        <v>0</v>
      </c>
      <c r="O864" s="43">
        <f t="shared" si="178"/>
        <v>0</v>
      </c>
      <c r="P864" s="30">
        <f t="shared" si="179"/>
        <v>0</v>
      </c>
      <c r="Q864" s="31">
        <f t="shared" si="181"/>
        <v>848340.75061972369</v>
      </c>
    </row>
    <row r="865" spans="1:17" x14ac:dyDescent="0.25">
      <c r="A865" s="6">
        <f t="shared" si="180"/>
        <v>69518</v>
      </c>
      <c r="B865" s="30">
        <f>IFERROR(VLOOKUP(A865, Data!$L$3:$N$123, 3),1)*Pension</f>
        <v>717002.75457039243</v>
      </c>
      <c r="C865" s="37">
        <f t="shared" si="169"/>
        <v>71.832991101984945</v>
      </c>
      <c r="D865" s="37">
        <f>IFERROR(VLOOKUP(A865,Data!$I$3:$J$1442,2),0)</f>
        <v>8.1065895999999998E-2</v>
      </c>
      <c r="E865" s="37">
        <f t="shared" si="170"/>
        <v>8.0865895999999993E-2</v>
      </c>
      <c r="F865" s="37">
        <f t="shared" si="175"/>
        <v>3.0009115459339155E-3</v>
      </c>
      <c r="G865" s="30">
        <f t="shared" si="176"/>
        <v>2151.6618446567122</v>
      </c>
      <c r="H865" s="38">
        <f t="shared" si="171"/>
        <v>167</v>
      </c>
      <c r="I865" s="39">
        <f t="shared" si="172"/>
        <v>167.45790554414785</v>
      </c>
      <c r="J865" s="40">
        <f t="shared" si="173"/>
        <v>72</v>
      </c>
      <c r="K865" s="43">
        <f>VLOOKUP(J865,Data!$Z$3:$AA$122,2)</f>
        <v>0</v>
      </c>
      <c r="L865" s="41">
        <f t="shared" si="174"/>
        <v>0.45790554414784879</v>
      </c>
      <c r="M865" s="43">
        <f>VLOOKUP(H865,Data!$P$3:$X$122,9)</f>
        <v>0</v>
      </c>
      <c r="N865" s="43">
        <f t="shared" si="177"/>
        <v>0</v>
      </c>
      <c r="O865" s="43">
        <f t="shared" si="178"/>
        <v>0</v>
      </c>
      <c r="P865" s="30">
        <f t="shared" si="179"/>
        <v>0</v>
      </c>
      <c r="Q865" s="31">
        <f t="shared" si="181"/>
        <v>848340.75061972369</v>
      </c>
    </row>
    <row r="866" spans="1:17" x14ac:dyDescent="0.25">
      <c r="A866" s="6">
        <f t="shared" si="180"/>
        <v>69549</v>
      </c>
      <c r="B866" s="30">
        <f>IFERROR(VLOOKUP(A866, Data!$L$3:$N$123, 3),1)*Pension</f>
        <v>717002.75457039243</v>
      </c>
      <c r="C866" s="37">
        <f t="shared" si="169"/>
        <v>71.917864476386043</v>
      </c>
      <c r="D866" s="37">
        <f>IFERROR(VLOOKUP(A866,Data!$I$3:$J$1442,2),0)</f>
        <v>8.1052838000000002E-2</v>
      </c>
      <c r="E866" s="37">
        <f t="shared" si="170"/>
        <v>8.0852837999999996E-2</v>
      </c>
      <c r="F866" s="37">
        <f t="shared" si="175"/>
        <v>2.9831859291274076E-3</v>
      </c>
      <c r="G866" s="30">
        <f t="shared" si="176"/>
        <v>2138.9525285799868</v>
      </c>
      <c r="H866" s="38">
        <f t="shared" si="171"/>
        <v>167</v>
      </c>
      <c r="I866" s="39">
        <f t="shared" si="172"/>
        <v>167.54277891854895</v>
      </c>
      <c r="J866" s="40">
        <f t="shared" si="173"/>
        <v>72</v>
      </c>
      <c r="K866" s="43">
        <f>VLOOKUP(J866,Data!$Z$3:$AA$122,2)</f>
        <v>0</v>
      </c>
      <c r="L866" s="41">
        <f t="shared" si="174"/>
        <v>0.54277891854894733</v>
      </c>
      <c r="M866" s="43">
        <f>VLOOKUP(H866,Data!$P$3:$X$122,9)</f>
        <v>0</v>
      </c>
      <c r="N866" s="43">
        <f t="shared" si="177"/>
        <v>0</v>
      </c>
      <c r="O866" s="43">
        <f t="shared" si="178"/>
        <v>0</v>
      </c>
      <c r="P866" s="30">
        <f t="shared" si="179"/>
        <v>0</v>
      </c>
      <c r="Q866" s="31">
        <f t="shared" si="181"/>
        <v>848340.75061972369</v>
      </c>
    </row>
    <row r="867" spans="1:17" x14ac:dyDescent="0.25">
      <c r="A867" s="6">
        <f t="shared" si="180"/>
        <v>69579</v>
      </c>
      <c r="B867" s="30">
        <f>IFERROR(VLOOKUP(A867, Data!$L$3:$N$123, 3),1)*Pension</f>
        <v>717002.75457039243</v>
      </c>
      <c r="C867" s="37">
        <f t="shared" si="169"/>
        <v>72</v>
      </c>
      <c r="D867" s="37">
        <f>IFERROR(VLOOKUP(A867,Data!$I$3:$J$1442,2),0)</f>
        <v>8.1040229000000005E-2</v>
      </c>
      <c r="E867" s="37">
        <f t="shared" si="170"/>
        <v>8.0840229E-2</v>
      </c>
      <c r="F867" s="37">
        <f t="shared" si="175"/>
        <v>2.9661321301351295E-3</v>
      </c>
      <c r="G867" s="30">
        <f t="shared" si="176"/>
        <v>2126.7249077266333</v>
      </c>
      <c r="H867" s="38">
        <f t="shared" si="171"/>
        <v>167</v>
      </c>
      <c r="I867" s="39">
        <f t="shared" si="172"/>
        <v>167.62491444216289</v>
      </c>
      <c r="J867" s="40">
        <f t="shared" si="173"/>
        <v>72</v>
      </c>
      <c r="K867" s="43">
        <f>VLOOKUP(J867,Data!$Z$3:$AA$122,2)</f>
        <v>0</v>
      </c>
      <c r="L867" s="41">
        <f t="shared" si="174"/>
        <v>0.62491444216288983</v>
      </c>
      <c r="M867" s="43">
        <f>VLOOKUP(H867,Data!$P$3:$X$122,9)</f>
        <v>0</v>
      </c>
      <c r="N867" s="43">
        <f t="shared" si="177"/>
        <v>0</v>
      </c>
      <c r="O867" s="43">
        <f t="shared" si="178"/>
        <v>0</v>
      </c>
      <c r="P867" s="30">
        <f t="shared" si="179"/>
        <v>0</v>
      </c>
      <c r="Q867" s="31">
        <f t="shared" si="181"/>
        <v>848340.75061972369</v>
      </c>
    </row>
    <row r="868" spans="1:17" x14ac:dyDescent="0.25">
      <c r="A868" s="6">
        <f t="shared" si="180"/>
        <v>69610</v>
      </c>
      <c r="B868" s="30">
        <f>IFERROR(VLOOKUP(A868, Data!$L$3:$N$123, 3),1)*Pension</f>
        <v>717002.75457039243</v>
      </c>
      <c r="C868" s="37">
        <f t="shared" si="169"/>
        <v>72.084873374401099</v>
      </c>
      <c r="D868" s="37">
        <f>IFERROR(VLOOKUP(A868,Data!$I$3:$J$1442,2),0)</f>
        <v>8.1027231000000005E-2</v>
      </c>
      <c r="E868" s="37">
        <f t="shared" si="170"/>
        <v>8.0827230999999999E-2</v>
      </c>
      <c r="F868" s="37">
        <f t="shared" si="175"/>
        <v>2.9486120471493753E-3</v>
      </c>
      <c r="G868" s="30">
        <f t="shared" si="176"/>
        <v>2114.1629599655457</v>
      </c>
      <c r="H868" s="38">
        <f t="shared" si="171"/>
        <v>167</v>
      </c>
      <c r="I868" s="39">
        <f t="shared" si="172"/>
        <v>167.70978781656399</v>
      </c>
      <c r="J868" s="40">
        <f t="shared" si="173"/>
        <v>72</v>
      </c>
      <c r="K868" s="43">
        <f>VLOOKUP(J868,Data!$Z$3:$AA$122,2)</f>
        <v>0</v>
      </c>
      <c r="L868" s="41">
        <f t="shared" si="174"/>
        <v>0.70978781656398837</v>
      </c>
      <c r="M868" s="43">
        <f>VLOOKUP(H868,Data!$P$3:$X$122,9)</f>
        <v>0</v>
      </c>
      <c r="N868" s="43">
        <f t="shared" si="177"/>
        <v>0</v>
      </c>
      <c r="O868" s="43">
        <f t="shared" si="178"/>
        <v>0</v>
      </c>
      <c r="P868" s="30">
        <f t="shared" si="179"/>
        <v>0</v>
      </c>
      <c r="Q868" s="31">
        <f t="shared" si="181"/>
        <v>848340.75061972369</v>
      </c>
    </row>
    <row r="869" spans="1:17" x14ac:dyDescent="0.25">
      <c r="A869" s="6">
        <f t="shared" si="180"/>
        <v>69641</v>
      </c>
      <c r="B869" s="30">
        <f>IFERROR(VLOOKUP(A869, Data!$L$3:$N$123, 3),1)*Pension</f>
        <v>717002.75457039243</v>
      </c>
      <c r="C869" s="37">
        <f t="shared" si="169"/>
        <v>72.169746748802197</v>
      </c>
      <c r="D869" s="37">
        <f>IFERROR(VLOOKUP(A869,Data!$I$3:$J$1442,2),0)</f>
        <v>8.1014263000000003E-2</v>
      </c>
      <c r="E869" s="37">
        <f t="shared" si="170"/>
        <v>8.0814262999999997E-2</v>
      </c>
      <c r="F869" s="37">
        <f t="shared" si="175"/>
        <v>2.9311955712045127E-3</v>
      </c>
      <c r="G869" s="30">
        <f t="shared" si="176"/>
        <v>2101.6752987381706</v>
      </c>
      <c r="H869" s="38">
        <f t="shared" si="171"/>
        <v>167</v>
      </c>
      <c r="I869" s="39">
        <f t="shared" si="172"/>
        <v>167.79466119096509</v>
      </c>
      <c r="J869" s="40">
        <f t="shared" si="173"/>
        <v>72</v>
      </c>
      <c r="K869" s="43">
        <f>VLOOKUP(J869,Data!$Z$3:$AA$122,2)</f>
        <v>0</v>
      </c>
      <c r="L869" s="41">
        <f t="shared" si="174"/>
        <v>0.79466119096508692</v>
      </c>
      <c r="M869" s="43">
        <f>VLOOKUP(H869,Data!$P$3:$X$122,9)</f>
        <v>0</v>
      </c>
      <c r="N869" s="43">
        <f t="shared" si="177"/>
        <v>0</v>
      </c>
      <c r="O869" s="43">
        <f t="shared" si="178"/>
        <v>0</v>
      </c>
      <c r="P869" s="30">
        <f t="shared" si="179"/>
        <v>0</v>
      </c>
      <c r="Q869" s="31">
        <f t="shared" si="181"/>
        <v>848340.75061972369</v>
      </c>
    </row>
    <row r="870" spans="1:17" x14ac:dyDescent="0.25">
      <c r="A870" s="6">
        <f t="shared" si="180"/>
        <v>69671</v>
      </c>
      <c r="B870" s="30">
        <f>IFERROR(VLOOKUP(A870, Data!$L$3:$N$123, 3),1)*Pension</f>
        <v>717002.75457039243</v>
      </c>
      <c r="C870" s="37">
        <f t="shared" si="169"/>
        <v>72.251882272416154</v>
      </c>
      <c r="D870" s="37">
        <f>IFERROR(VLOOKUP(A870,Data!$I$3:$J$1442,2),0)</f>
        <v>8.1001743000000001E-2</v>
      </c>
      <c r="E870" s="37">
        <f t="shared" si="170"/>
        <v>8.0801742999999995E-2</v>
      </c>
      <c r="F870" s="37">
        <f t="shared" si="175"/>
        <v>2.9144387315488992E-3</v>
      </c>
      <c r="G870" s="30">
        <f t="shared" si="176"/>
        <v>2089.6605985472011</v>
      </c>
      <c r="H870" s="38">
        <f t="shared" si="171"/>
        <v>167</v>
      </c>
      <c r="I870" s="39">
        <f t="shared" si="172"/>
        <v>167.87679671457906</v>
      </c>
      <c r="J870" s="40">
        <f t="shared" si="173"/>
        <v>72</v>
      </c>
      <c r="K870" s="43">
        <f>VLOOKUP(J870,Data!$Z$3:$AA$122,2)</f>
        <v>0</v>
      </c>
      <c r="L870" s="41">
        <f t="shared" si="174"/>
        <v>0.87679671457905783</v>
      </c>
      <c r="M870" s="43">
        <f>VLOOKUP(H870,Data!$P$3:$X$122,9)</f>
        <v>0</v>
      </c>
      <c r="N870" s="43">
        <f t="shared" si="177"/>
        <v>0</v>
      </c>
      <c r="O870" s="43">
        <f t="shared" si="178"/>
        <v>0</v>
      </c>
      <c r="P870" s="30">
        <f t="shared" si="179"/>
        <v>0</v>
      </c>
      <c r="Q870" s="31">
        <f t="shared" si="181"/>
        <v>848340.75061972369</v>
      </c>
    </row>
    <row r="871" spans="1:17" x14ac:dyDescent="0.25">
      <c r="A871" s="6">
        <f t="shared" si="180"/>
        <v>69702</v>
      </c>
      <c r="B871" s="30">
        <f>IFERROR(VLOOKUP(A871, Data!$L$3:$N$123, 3),1)*Pension</f>
        <v>717002.75457039243</v>
      </c>
      <c r="C871" s="37">
        <f t="shared" si="169"/>
        <v>72.336755646817252</v>
      </c>
      <c r="D871" s="37">
        <f>IFERROR(VLOOKUP(A871,Data!$I$3:$J$1442,2),0)</f>
        <v>8.0988834999999995E-2</v>
      </c>
      <c r="E871" s="37">
        <f t="shared" si="170"/>
        <v>8.0788834999999989E-2</v>
      </c>
      <c r="F871" s="37">
        <f t="shared" si="175"/>
        <v>2.8972240736795897E-3</v>
      </c>
      <c r="G871" s="30">
        <f t="shared" si="176"/>
        <v>2077.3176414359195</v>
      </c>
      <c r="H871" s="38">
        <f t="shared" si="171"/>
        <v>167</v>
      </c>
      <c r="I871" s="39">
        <f t="shared" si="172"/>
        <v>167.96167008898016</v>
      </c>
      <c r="J871" s="40">
        <f t="shared" si="173"/>
        <v>72</v>
      </c>
      <c r="K871" s="43">
        <f>VLOOKUP(J871,Data!$Z$3:$AA$122,2)</f>
        <v>0</v>
      </c>
      <c r="L871" s="41">
        <f t="shared" si="174"/>
        <v>0.96167008898015638</v>
      </c>
      <c r="M871" s="43">
        <f>VLOOKUP(H871,Data!$P$3:$X$122,9)</f>
        <v>0</v>
      </c>
      <c r="N871" s="43">
        <f t="shared" si="177"/>
        <v>0</v>
      </c>
      <c r="O871" s="43">
        <f t="shared" si="178"/>
        <v>0</v>
      </c>
      <c r="P871" s="30">
        <f t="shared" si="179"/>
        <v>0</v>
      </c>
      <c r="Q871" s="31">
        <f t="shared" si="181"/>
        <v>848340.75061972369</v>
      </c>
    </row>
    <row r="872" spans="1:17" x14ac:dyDescent="0.25">
      <c r="A872" s="6">
        <f t="shared" si="180"/>
        <v>69732</v>
      </c>
      <c r="B872" s="30">
        <f>IFERROR(VLOOKUP(A872, Data!$L$3:$N$123, 3),1)*Pension</f>
        <v>717002.75457039243</v>
      </c>
      <c r="C872" s="37">
        <f t="shared" si="169"/>
        <v>72.418891170431209</v>
      </c>
      <c r="D872" s="37">
        <f>IFERROR(VLOOKUP(A872,Data!$I$3:$J$1442,2),0)</f>
        <v>8.0976372000000005E-2</v>
      </c>
      <c r="E872" s="37">
        <f t="shared" si="170"/>
        <v>8.0776371999999999E-2</v>
      </c>
      <c r="F872" s="37">
        <f t="shared" si="175"/>
        <v>2.8806615884309837E-3</v>
      </c>
      <c r="G872" s="30">
        <f t="shared" si="176"/>
        <v>2065.4422938901375</v>
      </c>
      <c r="H872" s="38">
        <f t="shared" si="171"/>
        <v>168</v>
      </c>
      <c r="I872" s="39">
        <f t="shared" si="172"/>
        <v>168.04380561259413</v>
      </c>
      <c r="J872" s="40">
        <f t="shared" si="173"/>
        <v>73</v>
      </c>
      <c r="K872" s="43">
        <f>VLOOKUP(J872,Data!$Z$3:$AA$122,2)</f>
        <v>0</v>
      </c>
      <c r="L872" s="41">
        <f t="shared" si="174"/>
        <v>4.3805612594127297E-2</v>
      </c>
      <c r="M872" s="43">
        <f>VLOOKUP(H872,Data!$P$3:$X$122,9)</f>
        <v>0</v>
      </c>
      <c r="N872" s="43">
        <f t="shared" si="177"/>
        <v>0</v>
      </c>
      <c r="O872" s="43">
        <f t="shared" si="178"/>
        <v>0</v>
      </c>
      <c r="P872" s="30">
        <f t="shared" si="179"/>
        <v>0</v>
      </c>
      <c r="Q872" s="31">
        <f t="shared" si="181"/>
        <v>848340.75061972369</v>
      </c>
    </row>
    <row r="873" spans="1:17" x14ac:dyDescent="0.25">
      <c r="A873" s="6">
        <f t="shared" si="180"/>
        <v>69763</v>
      </c>
      <c r="B873" s="30">
        <f>IFERROR(VLOOKUP(A873, Data!$L$3:$N$123, 3),1)*Pension</f>
        <v>752852.89229891193</v>
      </c>
      <c r="C873" s="37">
        <f t="shared" si="169"/>
        <v>72.503764544832308</v>
      </c>
      <c r="D873" s="37">
        <f>IFERROR(VLOOKUP(A873,Data!$I$3:$J$1442,2),0)</f>
        <v>8.0963522999999996E-2</v>
      </c>
      <c r="E873" s="37">
        <f t="shared" si="170"/>
        <v>8.076352299999999E-2</v>
      </c>
      <c r="F873" s="37">
        <f t="shared" si="175"/>
        <v>2.8636465311263968E-3</v>
      </c>
      <c r="G873" s="30">
        <f t="shared" si="176"/>
        <v>2155.9045734802539</v>
      </c>
      <c r="H873" s="38">
        <f t="shared" si="171"/>
        <v>168</v>
      </c>
      <c r="I873" s="39">
        <f t="shared" si="172"/>
        <v>168.1286789869952</v>
      </c>
      <c r="J873" s="40">
        <f t="shared" si="173"/>
        <v>73</v>
      </c>
      <c r="K873" s="43">
        <f>VLOOKUP(J873,Data!$Z$3:$AA$122,2)</f>
        <v>0</v>
      </c>
      <c r="L873" s="41">
        <f t="shared" si="174"/>
        <v>0.12867898699519742</v>
      </c>
      <c r="M873" s="43">
        <f>VLOOKUP(H873,Data!$P$3:$X$122,9)</f>
        <v>0</v>
      </c>
      <c r="N873" s="43">
        <f t="shared" si="177"/>
        <v>0</v>
      </c>
      <c r="O873" s="43">
        <f t="shared" si="178"/>
        <v>0</v>
      </c>
      <c r="P873" s="30">
        <f t="shared" si="179"/>
        <v>0</v>
      </c>
      <c r="Q873" s="31">
        <f t="shared" si="181"/>
        <v>848340.75061972369</v>
      </c>
    </row>
    <row r="874" spans="1:17" x14ac:dyDescent="0.25">
      <c r="A874" s="6">
        <f t="shared" si="180"/>
        <v>69794</v>
      </c>
      <c r="B874" s="30">
        <f>IFERROR(VLOOKUP(A874, Data!$L$3:$N$123, 3),1)*Pension</f>
        <v>752852.89229891193</v>
      </c>
      <c r="C874" s="37">
        <f t="shared" si="169"/>
        <v>72.588637919233406</v>
      </c>
      <c r="D874" s="37">
        <f>IFERROR(VLOOKUP(A874,Data!$I$3:$J$1442,2),0)</f>
        <v>8.0950704999999998E-2</v>
      </c>
      <c r="E874" s="37">
        <f t="shared" si="170"/>
        <v>8.0750704999999992E-2</v>
      </c>
      <c r="F874" s="37">
        <f t="shared" si="175"/>
        <v>2.8467317788819007E-3</v>
      </c>
      <c r="G874" s="30">
        <f t="shared" si="176"/>
        <v>2143.1702533304656</v>
      </c>
      <c r="H874" s="38">
        <f t="shared" si="171"/>
        <v>168</v>
      </c>
      <c r="I874" s="39">
        <f t="shared" si="172"/>
        <v>168.2135523613963</v>
      </c>
      <c r="J874" s="40">
        <f t="shared" si="173"/>
        <v>73</v>
      </c>
      <c r="K874" s="43">
        <f>VLOOKUP(J874,Data!$Z$3:$AA$122,2)</f>
        <v>0</v>
      </c>
      <c r="L874" s="41">
        <f t="shared" si="174"/>
        <v>0.21355236139629596</v>
      </c>
      <c r="M874" s="43">
        <f>VLOOKUP(H874,Data!$P$3:$X$122,9)</f>
        <v>0</v>
      </c>
      <c r="N874" s="43">
        <f t="shared" si="177"/>
        <v>0</v>
      </c>
      <c r="O874" s="43">
        <f t="shared" si="178"/>
        <v>0</v>
      </c>
      <c r="P874" s="30">
        <f t="shared" si="179"/>
        <v>0</v>
      </c>
      <c r="Q874" s="31">
        <f t="shared" si="181"/>
        <v>848340.75061972369</v>
      </c>
    </row>
    <row r="875" spans="1:17" x14ac:dyDescent="0.25">
      <c r="A875" s="6">
        <f t="shared" si="180"/>
        <v>69822</v>
      </c>
      <c r="B875" s="30">
        <f>IFERROR(VLOOKUP(A875, Data!$L$3:$N$123, 3),1)*Pension</f>
        <v>752852.89229891193</v>
      </c>
      <c r="C875" s="37">
        <f t="shared" si="169"/>
        <v>72.665297741273108</v>
      </c>
      <c r="D875" s="37">
        <f>IFERROR(VLOOKUP(A875,Data!$I$3:$J$1442,2),0)</f>
        <v>8.0939153E-2</v>
      </c>
      <c r="E875" s="37">
        <f t="shared" si="170"/>
        <v>8.0739152999999994E-2</v>
      </c>
      <c r="F875" s="37">
        <f t="shared" si="175"/>
        <v>2.8315398686139179E-3</v>
      </c>
      <c r="G875" s="30">
        <f t="shared" si="176"/>
        <v>2131.7329797456691</v>
      </c>
      <c r="H875" s="38">
        <f t="shared" si="171"/>
        <v>168</v>
      </c>
      <c r="I875" s="39">
        <f t="shared" si="172"/>
        <v>168.29021218343601</v>
      </c>
      <c r="J875" s="40">
        <f t="shared" si="173"/>
        <v>73</v>
      </c>
      <c r="K875" s="43">
        <f>VLOOKUP(J875,Data!$Z$3:$AA$122,2)</f>
        <v>0</v>
      </c>
      <c r="L875" s="41">
        <f t="shared" si="174"/>
        <v>0.29021218343601163</v>
      </c>
      <c r="M875" s="43">
        <f>VLOOKUP(H875,Data!$P$3:$X$122,9)</f>
        <v>0</v>
      </c>
      <c r="N875" s="43">
        <f t="shared" si="177"/>
        <v>0</v>
      </c>
      <c r="O875" s="43">
        <f t="shared" si="178"/>
        <v>0</v>
      </c>
      <c r="P875" s="30">
        <f t="shared" si="179"/>
        <v>0</v>
      </c>
      <c r="Q875" s="31">
        <f t="shared" si="181"/>
        <v>848340.75061972369</v>
      </c>
    </row>
    <row r="876" spans="1:17" x14ac:dyDescent="0.25">
      <c r="A876" s="6">
        <f t="shared" si="180"/>
        <v>69853</v>
      </c>
      <c r="B876" s="30">
        <f>IFERROR(VLOOKUP(A876, Data!$L$3:$N$123, 3),1)*Pension</f>
        <v>752852.89229891193</v>
      </c>
      <c r="C876" s="37">
        <f t="shared" si="169"/>
        <v>72.750171115674192</v>
      </c>
      <c r="D876" s="37">
        <f>IFERROR(VLOOKUP(A876,Data!$I$3:$J$1442,2),0)</f>
        <v>8.0926391E-2</v>
      </c>
      <c r="E876" s="37">
        <f t="shared" si="170"/>
        <v>8.0726390999999995E-2</v>
      </c>
      <c r="F876" s="37">
        <f t="shared" si="175"/>
        <v>2.8148149440128888E-3</v>
      </c>
      <c r="G876" s="30">
        <f t="shared" si="176"/>
        <v>2119.1415718863032</v>
      </c>
      <c r="H876" s="38">
        <f t="shared" si="171"/>
        <v>168</v>
      </c>
      <c r="I876" s="39">
        <f t="shared" si="172"/>
        <v>168.37508555783711</v>
      </c>
      <c r="J876" s="40">
        <f t="shared" si="173"/>
        <v>73</v>
      </c>
      <c r="K876" s="43">
        <f>VLOOKUP(J876,Data!$Z$3:$AA$122,2)</f>
        <v>0</v>
      </c>
      <c r="L876" s="41">
        <f t="shared" si="174"/>
        <v>0.37508555783711017</v>
      </c>
      <c r="M876" s="43">
        <f>VLOOKUP(H876,Data!$P$3:$X$122,9)</f>
        <v>0</v>
      </c>
      <c r="N876" s="43">
        <f t="shared" si="177"/>
        <v>0</v>
      </c>
      <c r="O876" s="43">
        <f t="shared" si="178"/>
        <v>0</v>
      </c>
      <c r="P876" s="30">
        <f t="shared" si="179"/>
        <v>0</v>
      </c>
      <c r="Q876" s="31">
        <f t="shared" si="181"/>
        <v>848340.75061972369</v>
      </c>
    </row>
    <row r="877" spans="1:17" x14ac:dyDescent="0.25">
      <c r="A877" s="6">
        <f t="shared" si="180"/>
        <v>69883</v>
      </c>
      <c r="B877" s="30">
        <f>IFERROR(VLOOKUP(A877, Data!$L$3:$N$123, 3),1)*Pension</f>
        <v>752852.89229891193</v>
      </c>
      <c r="C877" s="37">
        <f t="shared" si="169"/>
        <v>72.832306639288163</v>
      </c>
      <c r="D877" s="37">
        <f>IFERROR(VLOOKUP(A877,Data!$I$3:$J$1442,2),0)</f>
        <v>8.0914069000000005E-2</v>
      </c>
      <c r="E877" s="37">
        <f t="shared" si="170"/>
        <v>8.0714068999999999E-2</v>
      </c>
      <c r="F877" s="37">
        <f t="shared" si="175"/>
        <v>2.7987235982245683E-3</v>
      </c>
      <c r="G877" s="30">
        <f t="shared" si="176"/>
        <v>2107.0271556685843</v>
      </c>
      <c r="H877" s="38">
        <f t="shared" si="171"/>
        <v>168</v>
      </c>
      <c r="I877" s="39">
        <f t="shared" si="172"/>
        <v>168.45722108145105</v>
      </c>
      <c r="J877" s="40">
        <f t="shared" si="173"/>
        <v>73</v>
      </c>
      <c r="K877" s="43">
        <f>VLOOKUP(J877,Data!$Z$3:$AA$122,2)</f>
        <v>0</v>
      </c>
      <c r="L877" s="41">
        <f t="shared" si="174"/>
        <v>0.45722108145105267</v>
      </c>
      <c r="M877" s="43">
        <f>VLOOKUP(H877,Data!$P$3:$X$122,9)</f>
        <v>0</v>
      </c>
      <c r="N877" s="43">
        <f t="shared" si="177"/>
        <v>0</v>
      </c>
      <c r="O877" s="43">
        <f t="shared" si="178"/>
        <v>0</v>
      </c>
      <c r="P877" s="30">
        <f t="shared" si="179"/>
        <v>0</v>
      </c>
      <c r="Q877" s="31">
        <f t="shared" si="181"/>
        <v>848340.75061972369</v>
      </c>
    </row>
    <row r="878" spans="1:17" x14ac:dyDescent="0.25">
      <c r="A878" s="6">
        <f t="shared" si="180"/>
        <v>69914</v>
      </c>
      <c r="B878" s="30">
        <f>IFERROR(VLOOKUP(A878, Data!$L$3:$N$123, 3),1)*Pension</f>
        <v>752852.89229891193</v>
      </c>
      <c r="C878" s="37">
        <f t="shared" si="169"/>
        <v>72.917180013689247</v>
      </c>
      <c r="D878" s="37">
        <f>IFERROR(VLOOKUP(A878,Data!$I$3:$J$1442,2),0)</f>
        <v>8.0901366000000002E-2</v>
      </c>
      <c r="E878" s="37">
        <f t="shared" si="170"/>
        <v>8.0701365999999997E-2</v>
      </c>
      <c r="F878" s="37">
        <f t="shared" si="175"/>
        <v>2.782192391712198E-3</v>
      </c>
      <c r="G878" s="30">
        <f t="shared" si="176"/>
        <v>2094.5815890325557</v>
      </c>
      <c r="H878" s="38">
        <f t="shared" si="171"/>
        <v>168</v>
      </c>
      <c r="I878" s="39">
        <f t="shared" si="172"/>
        <v>168.54209445585215</v>
      </c>
      <c r="J878" s="40">
        <f t="shared" si="173"/>
        <v>73</v>
      </c>
      <c r="K878" s="43">
        <f>VLOOKUP(J878,Data!$Z$3:$AA$122,2)</f>
        <v>0</v>
      </c>
      <c r="L878" s="41">
        <f t="shared" si="174"/>
        <v>0.54209445585215121</v>
      </c>
      <c r="M878" s="43">
        <f>VLOOKUP(H878,Data!$P$3:$X$122,9)</f>
        <v>0</v>
      </c>
      <c r="N878" s="43">
        <f t="shared" si="177"/>
        <v>0</v>
      </c>
      <c r="O878" s="43">
        <f t="shared" si="178"/>
        <v>0</v>
      </c>
      <c r="P878" s="30">
        <f t="shared" si="179"/>
        <v>0</v>
      </c>
      <c r="Q878" s="31">
        <f t="shared" si="181"/>
        <v>848340.75061972369</v>
      </c>
    </row>
    <row r="879" spans="1:17" x14ac:dyDescent="0.25">
      <c r="A879" s="6">
        <f t="shared" si="180"/>
        <v>69944</v>
      </c>
      <c r="B879" s="30">
        <f>IFERROR(VLOOKUP(A879, Data!$L$3:$N$123, 3),1)*Pension</f>
        <v>752852.89229891193</v>
      </c>
      <c r="C879" s="37">
        <f t="shared" si="169"/>
        <v>72.999315537303218</v>
      </c>
      <c r="D879" s="37">
        <f>IFERROR(VLOOKUP(A879,Data!$I$3:$J$1442,2),0)</f>
        <v>8.0889101000000005E-2</v>
      </c>
      <c r="E879" s="37">
        <f t="shared" si="170"/>
        <v>8.0689100999999999E-2</v>
      </c>
      <c r="F879" s="37">
        <f t="shared" si="175"/>
        <v>2.7662874062563229E-3</v>
      </c>
      <c r="G879" s="30">
        <f t="shared" si="176"/>
        <v>2082.6074747301277</v>
      </c>
      <c r="H879" s="38">
        <f t="shared" si="171"/>
        <v>168</v>
      </c>
      <c r="I879" s="39">
        <f t="shared" si="172"/>
        <v>168.62422997946612</v>
      </c>
      <c r="J879" s="40">
        <f t="shared" si="173"/>
        <v>73</v>
      </c>
      <c r="K879" s="43">
        <f>VLOOKUP(J879,Data!$Z$3:$AA$122,2)</f>
        <v>0</v>
      </c>
      <c r="L879" s="41">
        <f t="shared" si="174"/>
        <v>0.62422997946612213</v>
      </c>
      <c r="M879" s="43">
        <f>VLOOKUP(H879,Data!$P$3:$X$122,9)</f>
        <v>0</v>
      </c>
      <c r="N879" s="43">
        <f t="shared" si="177"/>
        <v>0</v>
      </c>
      <c r="O879" s="43">
        <f t="shared" si="178"/>
        <v>0</v>
      </c>
      <c r="P879" s="30">
        <f t="shared" si="179"/>
        <v>0</v>
      </c>
      <c r="Q879" s="31">
        <f t="shared" si="181"/>
        <v>848340.75061972369</v>
      </c>
    </row>
    <row r="880" spans="1:17" x14ac:dyDescent="0.25">
      <c r="A880" s="6">
        <f t="shared" si="180"/>
        <v>69975</v>
      </c>
      <c r="B880" s="30">
        <f>IFERROR(VLOOKUP(A880, Data!$L$3:$N$123, 3),1)*Pension</f>
        <v>752852.89229891193</v>
      </c>
      <c r="C880" s="37">
        <f t="shared" si="169"/>
        <v>73.084188911704317</v>
      </c>
      <c r="D880" s="37">
        <f>IFERROR(VLOOKUP(A880,Data!$I$3:$J$1442,2),0)</f>
        <v>8.0876455999999999E-2</v>
      </c>
      <c r="E880" s="37">
        <f t="shared" si="170"/>
        <v>8.0676455999999994E-2</v>
      </c>
      <c r="F880" s="37">
        <f t="shared" si="175"/>
        <v>2.7499477952458765E-3</v>
      </c>
      <c r="G880" s="30">
        <f t="shared" si="176"/>
        <v>2070.306151321874</v>
      </c>
      <c r="H880" s="38">
        <f t="shared" si="171"/>
        <v>168</v>
      </c>
      <c r="I880" s="39">
        <f t="shared" si="172"/>
        <v>168.70910335386722</v>
      </c>
      <c r="J880" s="40">
        <f t="shared" si="173"/>
        <v>73</v>
      </c>
      <c r="K880" s="43">
        <f>VLOOKUP(J880,Data!$Z$3:$AA$122,2)</f>
        <v>0</v>
      </c>
      <c r="L880" s="41">
        <f t="shared" si="174"/>
        <v>0.70910335386722068</v>
      </c>
      <c r="M880" s="43">
        <f>VLOOKUP(H880,Data!$P$3:$X$122,9)</f>
        <v>0</v>
      </c>
      <c r="N880" s="43">
        <f t="shared" si="177"/>
        <v>0</v>
      </c>
      <c r="O880" s="43">
        <f t="shared" si="178"/>
        <v>0</v>
      </c>
      <c r="P880" s="30">
        <f t="shared" si="179"/>
        <v>0</v>
      </c>
      <c r="Q880" s="31">
        <f t="shared" si="181"/>
        <v>848340.75061972369</v>
      </c>
    </row>
    <row r="881" spans="1:17" x14ac:dyDescent="0.25">
      <c r="A881" s="6">
        <f t="shared" si="180"/>
        <v>70006</v>
      </c>
      <c r="B881" s="30">
        <f>IFERROR(VLOOKUP(A881, Data!$L$3:$N$123, 3),1)*Pension</f>
        <v>752852.89229891193</v>
      </c>
      <c r="C881" s="37">
        <f t="shared" si="169"/>
        <v>73.169062286105401</v>
      </c>
      <c r="D881" s="37">
        <f>IFERROR(VLOOKUP(A881,Data!$I$3:$J$1442,2),0)</f>
        <v>8.0863840000000006E-2</v>
      </c>
      <c r="E881" s="37">
        <f t="shared" si="170"/>
        <v>8.0663840000000001E-2</v>
      </c>
      <c r="F881" s="37">
        <f t="shared" si="175"/>
        <v>2.7337047644029936E-3</v>
      </c>
      <c r="G881" s="30">
        <f t="shared" si="176"/>
        <v>2058.0775385721095</v>
      </c>
      <c r="H881" s="38">
        <f t="shared" si="171"/>
        <v>168</v>
      </c>
      <c r="I881" s="39">
        <f t="shared" si="172"/>
        <v>168.79397672826832</v>
      </c>
      <c r="J881" s="40">
        <f t="shared" si="173"/>
        <v>73</v>
      </c>
      <c r="K881" s="43">
        <f>VLOOKUP(J881,Data!$Z$3:$AA$122,2)</f>
        <v>0</v>
      </c>
      <c r="L881" s="41">
        <f t="shared" si="174"/>
        <v>0.79397672826831922</v>
      </c>
      <c r="M881" s="43">
        <f>VLOOKUP(H881,Data!$P$3:$X$122,9)</f>
        <v>0</v>
      </c>
      <c r="N881" s="43">
        <f t="shared" si="177"/>
        <v>0</v>
      </c>
      <c r="O881" s="43">
        <f t="shared" si="178"/>
        <v>0</v>
      </c>
      <c r="P881" s="30">
        <f t="shared" si="179"/>
        <v>0</v>
      </c>
      <c r="Q881" s="31">
        <f t="shared" si="181"/>
        <v>848340.75061972369</v>
      </c>
    </row>
    <row r="882" spans="1:17" x14ac:dyDescent="0.25">
      <c r="A882" s="6">
        <f t="shared" si="180"/>
        <v>70036</v>
      </c>
      <c r="B882" s="30">
        <f>IFERROR(VLOOKUP(A882, Data!$L$3:$N$123, 3),1)*Pension</f>
        <v>752852.89229891193</v>
      </c>
      <c r="C882" s="37">
        <f t="shared" si="169"/>
        <v>73.251197809719372</v>
      </c>
      <c r="D882" s="37">
        <f>IFERROR(VLOOKUP(A882,Data!$I$3:$J$1442,2),0)</f>
        <v>8.0851659000000006E-2</v>
      </c>
      <c r="E882" s="37">
        <f t="shared" si="170"/>
        <v>8.0651659000000001E-2</v>
      </c>
      <c r="F882" s="37">
        <f t="shared" si="175"/>
        <v>2.71807701877993E-3</v>
      </c>
      <c r="G882" s="30">
        <f t="shared" si="176"/>
        <v>2046.3121450796743</v>
      </c>
      <c r="H882" s="38">
        <f t="shared" si="171"/>
        <v>168</v>
      </c>
      <c r="I882" s="39">
        <f t="shared" si="172"/>
        <v>168.87611225188226</v>
      </c>
      <c r="J882" s="40">
        <f t="shared" si="173"/>
        <v>73</v>
      </c>
      <c r="K882" s="43">
        <f>VLOOKUP(J882,Data!$Z$3:$AA$122,2)</f>
        <v>0</v>
      </c>
      <c r="L882" s="41">
        <f t="shared" si="174"/>
        <v>0.87611225188226172</v>
      </c>
      <c r="M882" s="43">
        <f>VLOOKUP(H882,Data!$P$3:$X$122,9)</f>
        <v>0</v>
      </c>
      <c r="N882" s="43">
        <f t="shared" si="177"/>
        <v>0</v>
      </c>
      <c r="O882" s="43">
        <f t="shared" si="178"/>
        <v>0</v>
      </c>
      <c r="P882" s="30">
        <f t="shared" si="179"/>
        <v>0</v>
      </c>
      <c r="Q882" s="31">
        <f t="shared" si="181"/>
        <v>848340.75061972369</v>
      </c>
    </row>
    <row r="883" spans="1:17" x14ac:dyDescent="0.25">
      <c r="A883" s="6">
        <f t="shared" si="180"/>
        <v>70067</v>
      </c>
      <c r="B883" s="30">
        <f>IFERROR(VLOOKUP(A883, Data!$L$3:$N$123, 3),1)*Pension</f>
        <v>752852.89229891193</v>
      </c>
      <c r="C883" s="37">
        <f t="shared" si="169"/>
        <v>73.33607118412047</v>
      </c>
      <c r="D883" s="37">
        <f>IFERROR(VLOOKUP(A883,Data!$I$3:$J$1442,2),0)</f>
        <v>8.0839100999999997E-2</v>
      </c>
      <c r="E883" s="37">
        <f t="shared" si="170"/>
        <v>8.0639100999999991E-2</v>
      </c>
      <c r="F883" s="37">
        <f t="shared" si="175"/>
        <v>2.702022124835707E-3</v>
      </c>
      <c r="G883" s="30">
        <f t="shared" si="176"/>
        <v>2034.2251717382137</v>
      </c>
      <c r="H883" s="38">
        <f t="shared" si="171"/>
        <v>168</v>
      </c>
      <c r="I883" s="39">
        <f t="shared" si="172"/>
        <v>168.96098562628336</v>
      </c>
      <c r="J883" s="40">
        <f t="shared" si="173"/>
        <v>73</v>
      </c>
      <c r="K883" s="43">
        <f>VLOOKUP(J883,Data!$Z$3:$AA$122,2)</f>
        <v>0</v>
      </c>
      <c r="L883" s="41">
        <f t="shared" si="174"/>
        <v>0.96098562628336026</v>
      </c>
      <c r="M883" s="43">
        <f>VLOOKUP(H883,Data!$P$3:$X$122,9)</f>
        <v>0</v>
      </c>
      <c r="N883" s="43">
        <f t="shared" si="177"/>
        <v>0</v>
      </c>
      <c r="O883" s="43">
        <f t="shared" si="178"/>
        <v>0</v>
      </c>
      <c r="P883" s="30">
        <f t="shared" si="179"/>
        <v>0</v>
      </c>
      <c r="Q883" s="31">
        <f t="shared" si="181"/>
        <v>848340.75061972369</v>
      </c>
    </row>
    <row r="884" spans="1:17" x14ac:dyDescent="0.25">
      <c r="A884" s="6">
        <f t="shared" si="180"/>
        <v>70097</v>
      </c>
      <c r="B884" s="30">
        <f>IFERROR(VLOOKUP(A884, Data!$L$3:$N$123, 3),1)*Pension</f>
        <v>752852.89229891193</v>
      </c>
      <c r="C884" s="37">
        <f t="shared" si="169"/>
        <v>73.418206707734427</v>
      </c>
      <c r="D884" s="37">
        <f>IFERROR(VLOOKUP(A884,Data!$I$3:$J$1442,2),0)</f>
        <v>8.0826974999999995E-2</v>
      </c>
      <c r="E884" s="37">
        <f t="shared" si="170"/>
        <v>8.062697499999999E-2</v>
      </c>
      <c r="F884" s="37">
        <f t="shared" si="175"/>
        <v>2.6865755750645143E-3</v>
      </c>
      <c r="G884" s="30">
        <f t="shared" si="176"/>
        <v>2022.5961920669322</v>
      </c>
      <c r="H884" s="38">
        <f t="shared" si="171"/>
        <v>169</v>
      </c>
      <c r="I884" s="39">
        <f t="shared" si="172"/>
        <v>169.04312114989733</v>
      </c>
      <c r="J884" s="40">
        <f t="shared" si="173"/>
        <v>74</v>
      </c>
      <c r="K884" s="43">
        <f>VLOOKUP(J884,Data!$Z$3:$AA$122,2)</f>
        <v>0</v>
      </c>
      <c r="L884" s="41">
        <f t="shared" si="174"/>
        <v>4.3121149897331179E-2</v>
      </c>
      <c r="M884" s="43">
        <f>VLOOKUP(H884,Data!$P$3:$X$122,9)</f>
        <v>0</v>
      </c>
      <c r="N884" s="43">
        <f t="shared" si="177"/>
        <v>0</v>
      </c>
      <c r="O884" s="43">
        <f t="shared" si="178"/>
        <v>0</v>
      </c>
      <c r="P884" s="30">
        <f t="shared" si="179"/>
        <v>0</v>
      </c>
      <c r="Q884" s="31">
        <f t="shared" si="181"/>
        <v>848340.75061972369</v>
      </c>
    </row>
    <row r="885" spans="1:17" x14ac:dyDescent="0.25">
      <c r="A885" s="6">
        <f t="shared" si="180"/>
        <v>70128</v>
      </c>
      <c r="B885" s="30">
        <f>IFERROR(VLOOKUP(A885, Data!$L$3:$N$123, 3),1)*Pension</f>
        <v>790495.53691385756</v>
      </c>
      <c r="C885" s="37">
        <f t="shared" si="169"/>
        <v>73.503080082135526</v>
      </c>
      <c r="D885" s="37">
        <f>IFERROR(VLOOKUP(A885,Data!$I$3:$J$1442,2),0)</f>
        <v>8.0814473999999997E-2</v>
      </c>
      <c r="E885" s="37">
        <f t="shared" si="170"/>
        <v>8.0614473999999992E-2</v>
      </c>
      <c r="F885" s="37">
        <f t="shared" si="175"/>
        <v>2.6707067580686826E-3</v>
      </c>
      <c r="G885" s="30">
        <f t="shared" si="176"/>
        <v>2111.1817726589711</v>
      </c>
      <c r="H885" s="38">
        <f t="shared" si="171"/>
        <v>169</v>
      </c>
      <c r="I885" s="39">
        <f t="shared" si="172"/>
        <v>169.12799452429843</v>
      </c>
      <c r="J885" s="40">
        <f t="shared" si="173"/>
        <v>74</v>
      </c>
      <c r="K885" s="43">
        <f>VLOOKUP(J885,Data!$Z$3:$AA$122,2)</f>
        <v>0</v>
      </c>
      <c r="L885" s="41">
        <f t="shared" si="174"/>
        <v>0.12799452429842972</v>
      </c>
      <c r="M885" s="43">
        <f>VLOOKUP(H885,Data!$P$3:$X$122,9)</f>
        <v>0</v>
      </c>
      <c r="N885" s="43">
        <f t="shared" si="177"/>
        <v>0</v>
      </c>
      <c r="O885" s="43">
        <f t="shared" si="178"/>
        <v>0</v>
      </c>
      <c r="P885" s="30">
        <f t="shared" si="179"/>
        <v>0</v>
      </c>
      <c r="Q885" s="31">
        <f t="shared" si="181"/>
        <v>848340.75061972369</v>
      </c>
    </row>
    <row r="886" spans="1:17" x14ac:dyDescent="0.25">
      <c r="A886" s="6">
        <f t="shared" si="180"/>
        <v>70159</v>
      </c>
      <c r="B886" s="30">
        <f>IFERROR(VLOOKUP(A886, Data!$L$3:$N$123, 3),1)*Pension</f>
        <v>790495.53691385756</v>
      </c>
      <c r="C886" s="37">
        <f t="shared" si="169"/>
        <v>73.587953456536624</v>
      </c>
      <c r="D886" s="37">
        <f>IFERROR(VLOOKUP(A886,Data!$I$3:$J$1442,2),0)</f>
        <v>8.0802000999999998E-2</v>
      </c>
      <c r="E886" s="37">
        <f t="shared" si="170"/>
        <v>8.0602000999999993E-2</v>
      </c>
      <c r="F886" s="37">
        <f t="shared" si="175"/>
        <v>2.6549318369267602E-3</v>
      </c>
      <c r="G886" s="30">
        <f t="shared" si="176"/>
        <v>2098.7117679011135</v>
      </c>
      <c r="H886" s="38">
        <f t="shared" si="171"/>
        <v>169</v>
      </c>
      <c r="I886" s="39">
        <f t="shared" si="172"/>
        <v>169.21286789869953</v>
      </c>
      <c r="J886" s="40">
        <f t="shared" si="173"/>
        <v>74</v>
      </c>
      <c r="K886" s="43">
        <f>VLOOKUP(J886,Data!$Z$3:$AA$122,2)</f>
        <v>0</v>
      </c>
      <c r="L886" s="41">
        <f t="shared" si="174"/>
        <v>0.21286789869952827</v>
      </c>
      <c r="M886" s="43">
        <f>VLOOKUP(H886,Data!$P$3:$X$122,9)</f>
        <v>0</v>
      </c>
      <c r="N886" s="43">
        <f t="shared" si="177"/>
        <v>0</v>
      </c>
      <c r="O886" s="43">
        <f t="shared" si="178"/>
        <v>0</v>
      </c>
      <c r="P886" s="30">
        <f t="shared" si="179"/>
        <v>0</v>
      </c>
      <c r="Q886" s="31">
        <f t="shared" si="181"/>
        <v>848340.75061972369</v>
      </c>
    </row>
    <row r="887" spans="1:17" x14ac:dyDescent="0.25">
      <c r="A887" s="6">
        <f t="shared" si="180"/>
        <v>70188</v>
      </c>
      <c r="B887" s="30">
        <f>IFERROR(VLOOKUP(A887, Data!$L$3:$N$123, 3),1)*Pension</f>
        <v>790495.53691385756</v>
      </c>
      <c r="C887" s="37">
        <f t="shared" si="169"/>
        <v>73.667351129363453</v>
      </c>
      <c r="D887" s="37">
        <f>IFERROR(VLOOKUP(A887,Data!$I$3:$J$1442,2),0)</f>
        <v>8.0790359000000006E-2</v>
      </c>
      <c r="E887" s="37">
        <f t="shared" si="170"/>
        <v>8.0590359E-2</v>
      </c>
      <c r="F887" s="37">
        <f t="shared" si="175"/>
        <v>2.6402589643061657E-3</v>
      </c>
      <c r="G887" s="30">
        <f t="shared" si="176"/>
        <v>2087.112927580828</v>
      </c>
      <c r="H887" s="38">
        <f t="shared" si="171"/>
        <v>169</v>
      </c>
      <c r="I887" s="39">
        <f t="shared" si="172"/>
        <v>169.29226557152634</v>
      </c>
      <c r="J887" s="40">
        <f t="shared" si="173"/>
        <v>74</v>
      </c>
      <c r="K887" s="43">
        <f>VLOOKUP(J887,Data!$Z$3:$AA$122,2)</f>
        <v>0</v>
      </c>
      <c r="L887" s="41">
        <f t="shared" si="174"/>
        <v>0.29226557152634314</v>
      </c>
      <c r="M887" s="43">
        <f>VLOOKUP(H887,Data!$P$3:$X$122,9)</f>
        <v>0</v>
      </c>
      <c r="N887" s="43">
        <f t="shared" si="177"/>
        <v>0</v>
      </c>
      <c r="O887" s="43">
        <f t="shared" si="178"/>
        <v>0</v>
      </c>
      <c r="P887" s="30">
        <f t="shared" si="179"/>
        <v>0</v>
      </c>
      <c r="Q887" s="31">
        <f t="shared" si="181"/>
        <v>848340.75061972369</v>
      </c>
    </row>
    <row r="888" spans="1:17" x14ac:dyDescent="0.25">
      <c r="A888" s="6">
        <f t="shared" si="180"/>
        <v>70219</v>
      </c>
      <c r="B888" s="30">
        <f>IFERROR(VLOOKUP(A888, Data!$L$3:$N$123, 3),1)*Pension</f>
        <v>790495.53691385756</v>
      </c>
      <c r="C888" s="37">
        <f t="shared" si="169"/>
        <v>73.752224503764552</v>
      </c>
      <c r="D888" s="37">
        <f>IFERROR(VLOOKUP(A888,Data!$I$3:$J$1442,2),0)</f>
        <v>8.0777942000000005E-2</v>
      </c>
      <c r="E888" s="37">
        <f t="shared" si="170"/>
        <v>8.0577942E-2</v>
      </c>
      <c r="F888" s="37">
        <f t="shared" si="175"/>
        <v>2.6246637971028002E-3</v>
      </c>
      <c r="G888" s="30">
        <f t="shared" si="176"/>
        <v>2074.7850175091421</v>
      </c>
      <c r="H888" s="38">
        <f t="shared" si="171"/>
        <v>169</v>
      </c>
      <c r="I888" s="39">
        <f t="shared" si="172"/>
        <v>169.37713894592744</v>
      </c>
      <c r="J888" s="40">
        <f t="shared" si="173"/>
        <v>74</v>
      </c>
      <c r="K888" s="43">
        <f>VLOOKUP(J888,Data!$Z$3:$AA$122,2)</f>
        <v>0</v>
      </c>
      <c r="L888" s="41">
        <f t="shared" si="174"/>
        <v>0.37713894592744168</v>
      </c>
      <c r="M888" s="43">
        <f>VLOOKUP(H888,Data!$P$3:$X$122,9)</f>
        <v>0</v>
      </c>
      <c r="N888" s="43">
        <f t="shared" si="177"/>
        <v>0</v>
      </c>
      <c r="O888" s="43">
        <f t="shared" si="178"/>
        <v>0</v>
      </c>
      <c r="P888" s="30">
        <f t="shared" si="179"/>
        <v>0</v>
      </c>
      <c r="Q888" s="31">
        <f t="shared" si="181"/>
        <v>848340.75061972369</v>
      </c>
    </row>
    <row r="889" spans="1:17" x14ac:dyDescent="0.25">
      <c r="A889" s="6">
        <f t="shared" si="180"/>
        <v>70249</v>
      </c>
      <c r="B889" s="30">
        <f>IFERROR(VLOOKUP(A889, Data!$L$3:$N$123, 3),1)*Pension</f>
        <v>790495.53691385756</v>
      </c>
      <c r="C889" s="37">
        <f t="shared" si="169"/>
        <v>73.834360027378509</v>
      </c>
      <c r="D889" s="37">
        <f>IFERROR(VLOOKUP(A889,Data!$I$3:$J$1442,2),0)</f>
        <v>8.0765953000000001E-2</v>
      </c>
      <c r="E889" s="37">
        <f t="shared" si="170"/>
        <v>8.0565952999999996E-2</v>
      </c>
      <c r="F889" s="37">
        <f t="shared" si="175"/>
        <v>2.6096593595413731E-3</v>
      </c>
      <c r="G889" s="30">
        <f t="shared" si="176"/>
        <v>2062.9240765829313</v>
      </c>
      <c r="H889" s="38">
        <f t="shared" si="171"/>
        <v>169</v>
      </c>
      <c r="I889" s="39">
        <f t="shared" si="172"/>
        <v>169.45927446954141</v>
      </c>
      <c r="J889" s="40">
        <f t="shared" si="173"/>
        <v>74</v>
      </c>
      <c r="K889" s="43">
        <f>VLOOKUP(J889,Data!$Z$3:$AA$122,2)</f>
        <v>0</v>
      </c>
      <c r="L889" s="41">
        <f t="shared" si="174"/>
        <v>0.4592744695414126</v>
      </c>
      <c r="M889" s="43">
        <f>VLOOKUP(H889,Data!$P$3:$X$122,9)</f>
        <v>0</v>
      </c>
      <c r="N889" s="43">
        <f t="shared" si="177"/>
        <v>0</v>
      </c>
      <c r="O889" s="43">
        <f t="shared" si="178"/>
        <v>0</v>
      </c>
      <c r="P889" s="30">
        <f t="shared" si="179"/>
        <v>0</v>
      </c>
      <c r="Q889" s="31">
        <f t="shared" si="181"/>
        <v>848340.75061972369</v>
      </c>
    </row>
    <row r="890" spans="1:17" x14ac:dyDescent="0.25">
      <c r="A890" s="6">
        <f t="shared" si="180"/>
        <v>70280</v>
      </c>
      <c r="B890" s="30">
        <f>IFERROR(VLOOKUP(A890, Data!$L$3:$N$123, 3),1)*Pension</f>
        <v>790495.53691385756</v>
      </c>
      <c r="C890" s="37">
        <f t="shared" si="169"/>
        <v>73.919233401779607</v>
      </c>
      <c r="D890" s="37">
        <f>IFERROR(VLOOKUP(A890,Data!$I$3:$J$1442,2),0)</f>
        <v>8.0753591999999999E-2</v>
      </c>
      <c r="E890" s="37">
        <f t="shared" si="170"/>
        <v>8.0553591999999993E-2</v>
      </c>
      <c r="F890" s="37">
        <f t="shared" si="175"/>
        <v>2.5942449492055283E-3</v>
      </c>
      <c r="G890" s="30">
        <f t="shared" si="176"/>
        <v>2050.7390540082874</v>
      </c>
      <c r="H890" s="38">
        <f t="shared" si="171"/>
        <v>169</v>
      </c>
      <c r="I890" s="39">
        <f t="shared" si="172"/>
        <v>169.54414784394251</v>
      </c>
      <c r="J890" s="40">
        <f t="shared" si="173"/>
        <v>74</v>
      </c>
      <c r="K890" s="43">
        <f>VLOOKUP(J890,Data!$Z$3:$AA$122,2)</f>
        <v>0</v>
      </c>
      <c r="L890" s="41">
        <f t="shared" si="174"/>
        <v>0.54414784394251114</v>
      </c>
      <c r="M890" s="43">
        <f>VLOOKUP(H890,Data!$P$3:$X$122,9)</f>
        <v>0</v>
      </c>
      <c r="N890" s="43">
        <f t="shared" si="177"/>
        <v>0</v>
      </c>
      <c r="O890" s="43">
        <f t="shared" si="178"/>
        <v>0</v>
      </c>
      <c r="P890" s="30">
        <f t="shared" si="179"/>
        <v>0</v>
      </c>
      <c r="Q890" s="31">
        <f t="shared" si="181"/>
        <v>848340.75061972369</v>
      </c>
    </row>
    <row r="891" spans="1:17" x14ac:dyDescent="0.25">
      <c r="A891" s="6">
        <f t="shared" si="180"/>
        <v>70310</v>
      </c>
      <c r="B891" s="30">
        <f>IFERROR(VLOOKUP(A891, Data!$L$3:$N$123, 3),1)*Pension</f>
        <v>790495.53691385756</v>
      </c>
      <c r="C891" s="37">
        <f t="shared" si="169"/>
        <v>74.001368925393564</v>
      </c>
      <c r="D891" s="37">
        <f>IFERROR(VLOOKUP(A891,Data!$I$3:$J$1442,2),0)</f>
        <v>8.0741656999999994E-2</v>
      </c>
      <c r="E891" s="37">
        <f t="shared" si="170"/>
        <v>8.0541656999999989E-2</v>
      </c>
      <c r="F891" s="37">
        <f t="shared" si="175"/>
        <v>2.5794144233086485E-3</v>
      </c>
      <c r="G891" s="30">
        <f t="shared" si="176"/>
        <v>2039.0155894767183</v>
      </c>
      <c r="H891" s="38">
        <f t="shared" si="171"/>
        <v>169</v>
      </c>
      <c r="I891" s="39">
        <f t="shared" si="172"/>
        <v>169.62628336755648</v>
      </c>
      <c r="J891" s="40">
        <f t="shared" si="173"/>
        <v>74</v>
      </c>
      <c r="K891" s="43">
        <f>VLOOKUP(J891,Data!$Z$3:$AA$122,2)</f>
        <v>0</v>
      </c>
      <c r="L891" s="41">
        <f t="shared" si="174"/>
        <v>0.62628336755648206</v>
      </c>
      <c r="M891" s="43">
        <f>VLOOKUP(H891,Data!$P$3:$X$122,9)</f>
        <v>0</v>
      </c>
      <c r="N891" s="43">
        <f t="shared" si="177"/>
        <v>0</v>
      </c>
      <c r="O891" s="43">
        <f t="shared" si="178"/>
        <v>0</v>
      </c>
      <c r="P891" s="30">
        <f t="shared" si="179"/>
        <v>0</v>
      </c>
      <c r="Q891" s="31">
        <f t="shared" si="181"/>
        <v>848340.75061972369</v>
      </c>
    </row>
    <row r="892" spans="1:17" x14ac:dyDescent="0.25">
      <c r="A892" s="6">
        <f t="shared" si="180"/>
        <v>70341</v>
      </c>
      <c r="B892" s="30">
        <f>IFERROR(VLOOKUP(A892, Data!$L$3:$N$123, 3),1)*Pension</f>
        <v>790495.53691385756</v>
      </c>
      <c r="C892" s="37">
        <f t="shared" si="169"/>
        <v>74.086242299794662</v>
      </c>
      <c r="D892" s="37">
        <f>IFERROR(VLOOKUP(A892,Data!$I$3:$J$1442,2),0)</f>
        <v>8.0729352000000004E-2</v>
      </c>
      <c r="E892" s="37">
        <f t="shared" si="170"/>
        <v>8.0529351999999998E-2</v>
      </c>
      <c r="F892" s="37">
        <f t="shared" si="175"/>
        <v>2.5641786026818982E-3</v>
      </c>
      <c r="G892" s="30">
        <f t="shared" si="176"/>
        <v>2026.9717412700522</v>
      </c>
      <c r="H892" s="38">
        <f t="shared" si="171"/>
        <v>169</v>
      </c>
      <c r="I892" s="39">
        <f t="shared" si="172"/>
        <v>169.71115674195755</v>
      </c>
      <c r="J892" s="40">
        <f t="shared" si="173"/>
        <v>74</v>
      </c>
      <c r="K892" s="43">
        <f>VLOOKUP(J892,Data!$Z$3:$AA$122,2)</f>
        <v>0</v>
      </c>
      <c r="L892" s="41">
        <f t="shared" si="174"/>
        <v>0.71115674195755219</v>
      </c>
      <c r="M892" s="43">
        <f>VLOOKUP(H892,Data!$P$3:$X$122,9)</f>
        <v>0</v>
      </c>
      <c r="N892" s="43">
        <f t="shared" si="177"/>
        <v>0</v>
      </c>
      <c r="O892" s="43">
        <f t="shared" si="178"/>
        <v>0</v>
      </c>
      <c r="P892" s="30">
        <f t="shared" si="179"/>
        <v>0</v>
      </c>
      <c r="Q892" s="31">
        <f t="shared" si="181"/>
        <v>848340.75061972369</v>
      </c>
    </row>
    <row r="893" spans="1:17" x14ac:dyDescent="0.25">
      <c r="A893" s="6">
        <f t="shared" si="180"/>
        <v>70372</v>
      </c>
      <c r="B893" s="30">
        <f>IFERROR(VLOOKUP(A893, Data!$L$3:$N$123, 3),1)*Pension</f>
        <v>790495.53691385756</v>
      </c>
      <c r="C893" s="37">
        <f t="shared" si="169"/>
        <v>74.171115674195761</v>
      </c>
      <c r="D893" s="37">
        <f>IFERROR(VLOOKUP(A893,Data!$I$3:$J$1442,2),0)</f>
        <v>8.0717074999999999E-2</v>
      </c>
      <c r="E893" s="37">
        <f t="shared" si="170"/>
        <v>8.0517074999999994E-2</v>
      </c>
      <c r="F893" s="37">
        <f t="shared" si="175"/>
        <v>2.549032805880013E-3</v>
      </c>
      <c r="G893" s="30">
        <f t="shared" si="176"/>
        <v>2014.9990564951577</v>
      </c>
      <c r="H893" s="38">
        <f t="shared" si="171"/>
        <v>169</v>
      </c>
      <c r="I893" s="39">
        <f t="shared" si="172"/>
        <v>169.79603011635865</v>
      </c>
      <c r="J893" s="40">
        <f t="shared" si="173"/>
        <v>74</v>
      </c>
      <c r="K893" s="43">
        <f>VLOOKUP(J893,Data!$Z$3:$AA$122,2)</f>
        <v>0</v>
      </c>
      <c r="L893" s="41">
        <f t="shared" si="174"/>
        <v>0.79603011635865073</v>
      </c>
      <c r="M893" s="43">
        <f>VLOOKUP(H893,Data!$P$3:$X$122,9)</f>
        <v>0</v>
      </c>
      <c r="N893" s="43">
        <f t="shared" si="177"/>
        <v>0</v>
      </c>
      <c r="O893" s="43">
        <f t="shared" si="178"/>
        <v>0</v>
      </c>
      <c r="P893" s="30">
        <f t="shared" si="179"/>
        <v>0</v>
      </c>
      <c r="Q893" s="31">
        <f t="shared" si="181"/>
        <v>848340.75061972369</v>
      </c>
    </row>
    <row r="894" spans="1:17" x14ac:dyDescent="0.25">
      <c r="A894" s="6">
        <f t="shared" si="180"/>
        <v>70402</v>
      </c>
      <c r="B894" s="30">
        <f>IFERROR(VLOOKUP(A894, Data!$L$3:$N$123, 3),1)*Pension</f>
        <v>790495.53691385756</v>
      </c>
      <c r="C894" s="37">
        <f t="shared" si="169"/>
        <v>74.253251197809718</v>
      </c>
      <c r="D894" s="37">
        <f>IFERROR(VLOOKUP(A894,Data!$I$3:$J$1442,2),0)</f>
        <v>8.0705219999999994E-2</v>
      </c>
      <c r="E894" s="37">
        <f t="shared" si="170"/>
        <v>8.0505219999999988E-2</v>
      </c>
      <c r="F894" s="37">
        <f t="shared" si="175"/>
        <v>2.5344609098384555E-3</v>
      </c>
      <c r="G894" s="30">
        <f t="shared" si="176"/>
        <v>2003.4800377099339</v>
      </c>
      <c r="H894" s="38">
        <f t="shared" si="171"/>
        <v>169</v>
      </c>
      <c r="I894" s="39">
        <f t="shared" si="172"/>
        <v>169.87816563997262</v>
      </c>
      <c r="J894" s="40">
        <f t="shared" si="173"/>
        <v>74</v>
      </c>
      <c r="K894" s="43">
        <f>VLOOKUP(J894,Data!$Z$3:$AA$122,2)</f>
        <v>0</v>
      </c>
      <c r="L894" s="41">
        <f t="shared" si="174"/>
        <v>0.87816563997262165</v>
      </c>
      <c r="M894" s="43">
        <f>VLOOKUP(H894,Data!$P$3:$X$122,9)</f>
        <v>0</v>
      </c>
      <c r="N894" s="43">
        <f t="shared" si="177"/>
        <v>0</v>
      </c>
      <c r="O894" s="43">
        <f t="shared" si="178"/>
        <v>0</v>
      </c>
      <c r="P894" s="30">
        <f t="shared" si="179"/>
        <v>0</v>
      </c>
      <c r="Q894" s="31">
        <f t="shared" si="181"/>
        <v>848340.75061972369</v>
      </c>
    </row>
    <row r="895" spans="1:17" x14ac:dyDescent="0.25">
      <c r="A895" s="6">
        <f t="shared" si="180"/>
        <v>70433</v>
      </c>
      <c r="B895" s="30">
        <f>IFERROR(VLOOKUP(A895, Data!$L$3:$N$123, 3),1)*Pension</f>
        <v>790495.53691385756</v>
      </c>
      <c r="C895" s="37">
        <f t="shared" si="169"/>
        <v>74.338124572210816</v>
      </c>
      <c r="D895" s="37">
        <f>IFERROR(VLOOKUP(A895,Data!$I$3:$J$1442,2),0)</f>
        <v>8.0692999000000001E-2</v>
      </c>
      <c r="E895" s="37">
        <f t="shared" si="170"/>
        <v>8.0492998999999996E-2</v>
      </c>
      <c r="F895" s="37">
        <f t="shared" si="175"/>
        <v>2.5194904838432438E-3</v>
      </c>
      <c r="G895" s="30">
        <f t="shared" si="176"/>
        <v>1991.6459827750198</v>
      </c>
      <c r="H895" s="38">
        <f t="shared" si="171"/>
        <v>169</v>
      </c>
      <c r="I895" s="39">
        <f t="shared" si="172"/>
        <v>169.96303901437372</v>
      </c>
      <c r="J895" s="40">
        <f t="shared" si="173"/>
        <v>74</v>
      </c>
      <c r="K895" s="43">
        <f>VLOOKUP(J895,Data!$Z$3:$AA$122,2)</f>
        <v>0</v>
      </c>
      <c r="L895" s="41">
        <f t="shared" si="174"/>
        <v>0.96303901437372019</v>
      </c>
      <c r="M895" s="43">
        <f>VLOOKUP(H895,Data!$P$3:$X$122,9)</f>
        <v>0</v>
      </c>
      <c r="N895" s="43">
        <f t="shared" si="177"/>
        <v>0</v>
      </c>
      <c r="O895" s="43">
        <f t="shared" si="178"/>
        <v>0</v>
      </c>
      <c r="P895" s="30">
        <f t="shared" si="179"/>
        <v>0</v>
      </c>
      <c r="Q895" s="31">
        <f t="shared" si="181"/>
        <v>848340.75061972369</v>
      </c>
    </row>
    <row r="896" spans="1:17" x14ac:dyDescent="0.25">
      <c r="A896" s="6">
        <f t="shared" si="180"/>
        <v>70463</v>
      </c>
      <c r="B896" s="30">
        <f>IFERROR(VLOOKUP(A896, Data!$L$3:$N$123, 3),1)*Pension</f>
        <v>790495.53691385756</v>
      </c>
      <c r="C896" s="37">
        <f t="shared" si="169"/>
        <v>74.420260095824773</v>
      </c>
      <c r="D896" s="37">
        <f>IFERROR(VLOOKUP(A896,Data!$I$3:$J$1442,2),0)</f>
        <v>8.0681196999999996E-2</v>
      </c>
      <c r="E896" s="37">
        <f t="shared" si="170"/>
        <v>8.048119699999999E-2</v>
      </c>
      <c r="F896" s="37">
        <f t="shared" si="175"/>
        <v>2.5050875033876788E-3</v>
      </c>
      <c r="G896" s="30">
        <f t="shared" si="176"/>
        <v>1980.2604910066382</v>
      </c>
      <c r="H896" s="38">
        <f t="shared" si="171"/>
        <v>170</v>
      </c>
      <c r="I896" s="39">
        <f t="shared" si="172"/>
        <v>170.04517453798769</v>
      </c>
      <c r="J896" s="40">
        <f t="shared" si="173"/>
        <v>75</v>
      </c>
      <c r="K896" s="43">
        <f>VLOOKUP(J896,Data!$Z$3:$AA$122,2)</f>
        <v>0</v>
      </c>
      <c r="L896" s="41">
        <f t="shared" si="174"/>
        <v>4.517453798769111E-2</v>
      </c>
      <c r="M896" s="43">
        <f>VLOOKUP(H896,Data!$P$3:$X$122,9)</f>
        <v>0</v>
      </c>
      <c r="N896" s="43">
        <f t="shared" si="177"/>
        <v>0</v>
      </c>
      <c r="O896" s="43">
        <f t="shared" si="178"/>
        <v>0</v>
      </c>
      <c r="P896" s="30">
        <f t="shared" si="179"/>
        <v>0</v>
      </c>
      <c r="Q896" s="31">
        <f t="shared" si="181"/>
        <v>848340.75061972369</v>
      </c>
    </row>
    <row r="897" spans="1:17" x14ac:dyDescent="0.25">
      <c r="A897" s="6">
        <f t="shared" si="180"/>
        <v>70494</v>
      </c>
      <c r="B897" s="30">
        <f>IFERROR(VLOOKUP(A897, Data!$L$3:$N$123, 3),1)*Pension</f>
        <v>830020.31375955057</v>
      </c>
      <c r="C897" s="37">
        <f t="shared" si="169"/>
        <v>74.505133470225871</v>
      </c>
      <c r="D897" s="37">
        <f>IFERROR(VLOOKUP(A897,Data!$I$3:$J$1442,2),0)</f>
        <v>8.0669030000000003E-2</v>
      </c>
      <c r="E897" s="37">
        <f t="shared" si="170"/>
        <v>8.0469029999999997E-2</v>
      </c>
      <c r="F897" s="37">
        <f t="shared" si="175"/>
        <v>2.4902907198285878E-3</v>
      </c>
      <c r="G897" s="30">
        <f t="shared" si="176"/>
        <v>2066.9918846246214</v>
      </c>
      <c r="H897" s="38">
        <f t="shared" si="171"/>
        <v>170</v>
      </c>
      <c r="I897" s="39">
        <f t="shared" si="172"/>
        <v>170.13004791238876</v>
      </c>
      <c r="J897" s="40">
        <f t="shared" si="173"/>
        <v>75</v>
      </c>
      <c r="K897" s="43">
        <f>VLOOKUP(J897,Data!$Z$3:$AA$122,2)</f>
        <v>0</v>
      </c>
      <c r="L897" s="41">
        <f t="shared" si="174"/>
        <v>0.13004791238876123</v>
      </c>
      <c r="M897" s="43">
        <f>VLOOKUP(H897,Data!$P$3:$X$122,9)</f>
        <v>0</v>
      </c>
      <c r="N897" s="43">
        <f t="shared" si="177"/>
        <v>0</v>
      </c>
      <c r="O897" s="43">
        <f t="shared" si="178"/>
        <v>0</v>
      </c>
      <c r="P897" s="30">
        <f t="shared" si="179"/>
        <v>0</v>
      </c>
      <c r="Q897" s="31">
        <f t="shared" si="181"/>
        <v>848340.75061972369</v>
      </c>
    </row>
    <row r="898" spans="1:17" x14ac:dyDescent="0.25">
      <c r="A898" s="6">
        <f t="shared" si="180"/>
        <v>70525</v>
      </c>
      <c r="B898" s="30">
        <f>IFERROR(VLOOKUP(A898, Data!$L$3:$N$123, 3),1)*Pension</f>
        <v>830020.31375955057</v>
      </c>
      <c r="C898" s="37">
        <f t="shared" si="169"/>
        <v>74.59000684462697</v>
      </c>
      <c r="D898" s="37">
        <f>IFERROR(VLOOKUP(A898,Data!$I$3:$J$1442,2),0)</f>
        <v>8.0656890999999994E-2</v>
      </c>
      <c r="E898" s="37">
        <f t="shared" si="170"/>
        <v>8.0456890999999989E-2</v>
      </c>
      <c r="F898" s="37">
        <f t="shared" si="175"/>
        <v>2.4755812788697798E-3</v>
      </c>
      <c r="G898" s="30">
        <f t="shared" si="176"/>
        <v>2054.7827498247643</v>
      </c>
      <c r="H898" s="38">
        <f t="shared" si="171"/>
        <v>170</v>
      </c>
      <c r="I898" s="39">
        <f t="shared" si="172"/>
        <v>170.21492128678986</v>
      </c>
      <c r="J898" s="40">
        <f t="shared" si="173"/>
        <v>75</v>
      </c>
      <c r="K898" s="43">
        <f>VLOOKUP(J898,Data!$Z$3:$AA$122,2)</f>
        <v>0</v>
      </c>
      <c r="L898" s="41">
        <f t="shared" si="174"/>
        <v>0.21492128678985978</v>
      </c>
      <c r="M898" s="43">
        <f>VLOOKUP(H898,Data!$P$3:$X$122,9)</f>
        <v>0</v>
      </c>
      <c r="N898" s="43">
        <f t="shared" si="177"/>
        <v>0</v>
      </c>
      <c r="O898" s="43">
        <f t="shared" si="178"/>
        <v>0</v>
      </c>
      <c r="P898" s="30">
        <f t="shared" si="179"/>
        <v>0</v>
      </c>
      <c r="Q898" s="31">
        <f t="shared" si="181"/>
        <v>848340.75061972369</v>
      </c>
    </row>
    <row r="899" spans="1:17" x14ac:dyDescent="0.25">
      <c r="A899" s="6">
        <f t="shared" si="180"/>
        <v>70553</v>
      </c>
      <c r="B899" s="30">
        <f>IFERROR(VLOOKUP(A899, Data!$L$3:$N$123, 3),1)*Pension</f>
        <v>830020.31375955057</v>
      </c>
      <c r="C899" s="37">
        <f t="shared" ref="C899:C962" si="182">(A899-EffDate)/365.25</f>
        <v>74.666666666666671</v>
      </c>
      <c r="D899" s="37">
        <f>IFERROR(VLOOKUP(A899,Data!$I$3:$J$1442,2),0)</f>
        <v>8.0645949999999994E-2</v>
      </c>
      <c r="E899" s="37">
        <f t="shared" ref="E899:E962" si="183">D899-Fees</f>
        <v>8.0445949999999988E-2</v>
      </c>
      <c r="F899" s="37">
        <f t="shared" si="175"/>
        <v>2.4623701104530813E-3</v>
      </c>
      <c r="G899" s="30">
        <f t="shared" si="176"/>
        <v>2043.8172116704056</v>
      </c>
      <c r="H899" s="38">
        <f t="shared" ref="H899:H962" si="184">IF(OR(A899 = DATE(YEAR(A899), MONTH(Date_of_Birth), DAY(Date_of_Birth)),AND(A899 = DATE(YEAR(A899), MONTH(Date_of_Birth), DAY(Date_of_Birth)-1), AND(MONTH(Date_of_Birth)=2, DAY(Date_of_Birth) = 29))), ROUND((A899-Date_of_Birth)/365.25,0),ROUNDDOWN((A899-Date_of_Birth)/365.25,0))</f>
        <v>170</v>
      </c>
      <c r="I899" s="39">
        <f t="shared" ref="I899:I962" si="185">IF(OR(A899 = DATE(YEAR(A899), MONTH(Date_of_Birth), DAY(Date_of_Birth)),AND(A899 = DATE(YEAR(A899), MONTH(Date_of_Birth), DAY(Date_of_Birth)-1), AND(MONTH(Date_of_Birth)=2, DAY(Date_of_Birth) = 29))), ROUND((A899-Date_of_Birth)/365.25,0),(A899-Date_of_Birth)/365.25)</f>
        <v>170.29158110882958</v>
      </c>
      <c r="J899" s="40">
        <f t="shared" ref="J899:J962" si="186">H899-StartAge</f>
        <v>75</v>
      </c>
      <c r="K899" s="43">
        <f>VLOOKUP(J899,Data!$Z$3:$AA$122,2)</f>
        <v>0</v>
      </c>
      <c r="L899" s="41">
        <f t="shared" ref="L899:L962" si="187">IF(A899&lt;=NextBirth,(A899-EffDate)/365.25,(I899-H899))</f>
        <v>0.29158110882957544</v>
      </c>
      <c r="M899" s="43">
        <f>VLOOKUP(H899,Data!$P$3:$X$122,9)</f>
        <v>0</v>
      </c>
      <c r="N899" s="43">
        <f t="shared" si="177"/>
        <v>0</v>
      </c>
      <c r="O899" s="43">
        <f t="shared" si="178"/>
        <v>0</v>
      </c>
      <c r="P899" s="30">
        <f t="shared" si="179"/>
        <v>0</v>
      </c>
      <c r="Q899" s="31">
        <f t="shared" si="181"/>
        <v>848340.75061972369</v>
      </c>
    </row>
    <row r="900" spans="1:17" x14ac:dyDescent="0.25">
      <c r="A900" s="6">
        <f t="shared" si="180"/>
        <v>70584</v>
      </c>
      <c r="B900" s="30">
        <f>IFERROR(VLOOKUP(A900, Data!$L$3:$N$123, 3),1)*Pension</f>
        <v>830020.31375955057</v>
      </c>
      <c r="C900" s="37">
        <f t="shared" si="182"/>
        <v>74.751540041067756</v>
      </c>
      <c r="D900" s="37">
        <f>IFERROR(VLOOKUP(A900,Data!$I$3:$J$1442,2),0)</f>
        <v>8.0633863E-2</v>
      </c>
      <c r="E900" s="37">
        <f t="shared" si="183"/>
        <v>8.0433862999999994E-2</v>
      </c>
      <c r="F900" s="37">
        <f t="shared" ref="F900:F963" si="188">EXP(-E900*C900)</f>
        <v>2.4478256685334502E-3</v>
      </c>
      <c r="G900" s="30">
        <f t="shared" ref="G900:G963" si="189">B900*F900</f>
        <v>2031.745029424816</v>
      </c>
      <c r="H900" s="38">
        <f t="shared" si="184"/>
        <v>170</v>
      </c>
      <c r="I900" s="39">
        <f t="shared" si="185"/>
        <v>170.37645448323067</v>
      </c>
      <c r="J900" s="40">
        <f t="shared" si="186"/>
        <v>75</v>
      </c>
      <c r="K900" s="43">
        <f>VLOOKUP(J900,Data!$Z$3:$AA$122,2)</f>
        <v>0</v>
      </c>
      <c r="L900" s="41">
        <f t="shared" si="187"/>
        <v>0.37645448323067399</v>
      </c>
      <c r="M900" s="43">
        <f>VLOOKUP(H900,Data!$P$3:$X$122,9)</f>
        <v>0</v>
      </c>
      <c r="N900" s="43">
        <f t="shared" ref="N900:N963" si="190">IF(M900=0, 0, EXP(-L900*M900))</f>
        <v>0</v>
      </c>
      <c r="O900" s="43">
        <f t="shared" ref="O900:O963" si="191">K900*N900</f>
        <v>0</v>
      </c>
      <c r="P900" s="30">
        <f t="shared" ref="P900:P963" si="192">G900*O900</f>
        <v>0</v>
      </c>
      <c r="Q900" s="31">
        <f t="shared" si="181"/>
        <v>848340.75061972369</v>
      </c>
    </row>
    <row r="901" spans="1:17" x14ac:dyDescent="0.25">
      <c r="A901" s="6">
        <f t="shared" ref="A901:A964" si="193">EOMONTH(A900,1)</f>
        <v>70614</v>
      </c>
      <c r="B901" s="30">
        <f>IFERROR(VLOOKUP(A901, Data!$L$3:$N$123, 3),1)*Pension</f>
        <v>830020.31375955057</v>
      </c>
      <c r="C901" s="37">
        <f t="shared" si="182"/>
        <v>74.833675564681727</v>
      </c>
      <c r="D901" s="37">
        <f>IFERROR(VLOOKUP(A901,Data!$I$3:$J$1442,2),0)</f>
        <v>8.0622191999999995E-2</v>
      </c>
      <c r="E901" s="37">
        <f t="shared" si="183"/>
        <v>8.042219199999999E-2</v>
      </c>
      <c r="F901" s="37">
        <f t="shared" si="188"/>
        <v>2.433832206038742E-3</v>
      </c>
      <c r="G901" s="30">
        <f t="shared" si="189"/>
        <v>2020.1301712943757</v>
      </c>
      <c r="H901" s="38">
        <f t="shared" si="184"/>
        <v>170</v>
      </c>
      <c r="I901" s="39">
        <f t="shared" si="185"/>
        <v>170.45859000684462</v>
      </c>
      <c r="J901" s="40">
        <f t="shared" si="186"/>
        <v>75</v>
      </c>
      <c r="K901" s="43">
        <f>VLOOKUP(J901,Data!$Z$3:$AA$122,2)</f>
        <v>0</v>
      </c>
      <c r="L901" s="41">
        <f t="shared" si="187"/>
        <v>0.45859000684461648</v>
      </c>
      <c r="M901" s="43">
        <f>VLOOKUP(H901,Data!$P$3:$X$122,9)</f>
        <v>0</v>
      </c>
      <c r="N901" s="43">
        <f t="shared" si="190"/>
        <v>0</v>
      </c>
      <c r="O901" s="43">
        <f t="shared" si="191"/>
        <v>0</v>
      </c>
      <c r="P901" s="30">
        <f t="shared" si="192"/>
        <v>0</v>
      </c>
      <c r="Q901" s="31">
        <f t="shared" ref="Q901:Q964" si="194">Q900+P901</f>
        <v>848340.75061972369</v>
      </c>
    </row>
    <row r="902" spans="1:17" x14ac:dyDescent="0.25">
      <c r="A902" s="6">
        <f t="shared" si="193"/>
        <v>70645</v>
      </c>
      <c r="B902" s="30">
        <f>IFERROR(VLOOKUP(A902, Data!$L$3:$N$123, 3),1)*Pension</f>
        <v>830020.31375955057</v>
      </c>
      <c r="C902" s="37">
        <f t="shared" si="182"/>
        <v>74.918548939082825</v>
      </c>
      <c r="D902" s="37">
        <f>IFERROR(VLOOKUP(A902,Data!$I$3:$J$1442,2),0)</f>
        <v>8.0610159000000001E-2</v>
      </c>
      <c r="E902" s="37">
        <f t="shared" si="183"/>
        <v>8.0410158999999995E-2</v>
      </c>
      <c r="F902" s="37">
        <f t="shared" si="188"/>
        <v>2.4194563029905796E-3</v>
      </c>
      <c r="G902" s="30">
        <f t="shared" si="189"/>
        <v>2008.1978797357631</v>
      </c>
      <c r="H902" s="38">
        <f t="shared" si="184"/>
        <v>170</v>
      </c>
      <c r="I902" s="39">
        <f t="shared" si="185"/>
        <v>170.54346338124572</v>
      </c>
      <c r="J902" s="40">
        <f t="shared" si="186"/>
        <v>75</v>
      </c>
      <c r="K902" s="43">
        <f>VLOOKUP(J902,Data!$Z$3:$AA$122,2)</f>
        <v>0</v>
      </c>
      <c r="L902" s="41">
        <f t="shared" si="187"/>
        <v>0.54346338124571503</v>
      </c>
      <c r="M902" s="43">
        <f>VLOOKUP(H902,Data!$P$3:$X$122,9)</f>
        <v>0</v>
      </c>
      <c r="N902" s="43">
        <f t="shared" si="190"/>
        <v>0</v>
      </c>
      <c r="O902" s="43">
        <f t="shared" si="191"/>
        <v>0</v>
      </c>
      <c r="P902" s="30">
        <f t="shared" si="192"/>
        <v>0</v>
      </c>
      <c r="Q902" s="31">
        <f t="shared" si="194"/>
        <v>848340.75061972369</v>
      </c>
    </row>
    <row r="903" spans="1:17" x14ac:dyDescent="0.25">
      <c r="A903" s="6">
        <f t="shared" si="193"/>
        <v>70675</v>
      </c>
      <c r="B903" s="30">
        <f>IFERROR(VLOOKUP(A903, Data!$L$3:$N$123, 3),1)*Pension</f>
        <v>830020.31375955057</v>
      </c>
      <c r="C903" s="37">
        <f t="shared" si="182"/>
        <v>75.000684462696782</v>
      </c>
      <c r="D903" s="37">
        <f>IFERROR(VLOOKUP(A903,Data!$I$3:$J$1442,2),0)</f>
        <v>8.0598538999999997E-2</v>
      </c>
      <c r="E903" s="37">
        <f t="shared" si="183"/>
        <v>8.0398538999999991E-2</v>
      </c>
      <c r="F903" s="37">
        <f t="shared" si="188"/>
        <v>2.4056251903461509E-3</v>
      </c>
      <c r="G903" s="30">
        <f t="shared" si="189"/>
        <v>1996.7177752789908</v>
      </c>
      <c r="H903" s="38">
        <f t="shared" si="184"/>
        <v>170</v>
      </c>
      <c r="I903" s="39">
        <f t="shared" si="185"/>
        <v>170.62559890485969</v>
      </c>
      <c r="J903" s="40">
        <f t="shared" si="186"/>
        <v>75</v>
      </c>
      <c r="K903" s="43">
        <f>VLOOKUP(J903,Data!$Z$3:$AA$122,2)</f>
        <v>0</v>
      </c>
      <c r="L903" s="41">
        <f t="shared" si="187"/>
        <v>0.62559890485968594</v>
      </c>
      <c r="M903" s="43">
        <f>VLOOKUP(H903,Data!$P$3:$X$122,9)</f>
        <v>0</v>
      </c>
      <c r="N903" s="43">
        <f t="shared" si="190"/>
        <v>0</v>
      </c>
      <c r="O903" s="43">
        <f t="shared" si="191"/>
        <v>0</v>
      </c>
      <c r="P903" s="30">
        <f t="shared" si="192"/>
        <v>0</v>
      </c>
      <c r="Q903" s="31">
        <f t="shared" si="194"/>
        <v>848340.75061972369</v>
      </c>
    </row>
    <row r="904" spans="1:17" x14ac:dyDescent="0.25">
      <c r="A904" s="6">
        <f t="shared" si="193"/>
        <v>70706</v>
      </c>
      <c r="B904" s="30">
        <f>IFERROR(VLOOKUP(A904, Data!$L$3:$N$123, 3),1)*Pension</f>
        <v>830020.31375955057</v>
      </c>
      <c r="C904" s="37">
        <f t="shared" si="182"/>
        <v>75.08555783709788</v>
      </c>
      <c r="D904" s="37">
        <f>IFERROR(VLOOKUP(A904,Data!$I$3:$J$1442,2),0)</f>
        <v>8.0586560000000002E-2</v>
      </c>
      <c r="E904" s="37">
        <f t="shared" si="183"/>
        <v>8.0386559999999996E-2</v>
      </c>
      <c r="F904" s="37">
        <f t="shared" si="188"/>
        <v>2.3914158078601885E-3</v>
      </c>
      <c r="G904" s="30">
        <f t="shared" si="189"/>
        <v>1984.9236991696628</v>
      </c>
      <c r="H904" s="38">
        <f t="shared" si="184"/>
        <v>170</v>
      </c>
      <c r="I904" s="39">
        <f t="shared" si="185"/>
        <v>170.71047227926078</v>
      </c>
      <c r="J904" s="40">
        <f t="shared" si="186"/>
        <v>75</v>
      </c>
      <c r="K904" s="43">
        <f>VLOOKUP(J904,Data!$Z$3:$AA$122,2)</f>
        <v>0</v>
      </c>
      <c r="L904" s="41">
        <f t="shared" si="187"/>
        <v>0.71047227926078449</v>
      </c>
      <c r="M904" s="43">
        <f>VLOOKUP(H904,Data!$P$3:$X$122,9)</f>
        <v>0</v>
      </c>
      <c r="N904" s="43">
        <f t="shared" si="190"/>
        <v>0</v>
      </c>
      <c r="O904" s="43">
        <f t="shared" si="191"/>
        <v>0</v>
      </c>
      <c r="P904" s="30">
        <f t="shared" si="192"/>
        <v>0</v>
      </c>
      <c r="Q904" s="31">
        <f t="shared" si="194"/>
        <v>848340.75061972369</v>
      </c>
    </row>
    <row r="905" spans="1:17" x14ac:dyDescent="0.25">
      <c r="A905" s="6">
        <f t="shared" si="193"/>
        <v>70737</v>
      </c>
      <c r="B905" s="30">
        <f>IFERROR(VLOOKUP(A905, Data!$L$3:$N$123, 3),1)*Pension</f>
        <v>830020.31375955057</v>
      </c>
      <c r="C905" s="37">
        <f t="shared" si="182"/>
        <v>75.170431211498979</v>
      </c>
      <c r="D905" s="37">
        <f>IFERROR(VLOOKUP(A905,Data!$I$3:$J$1442,2),0)</f>
        <v>8.0574607000000006E-2</v>
      </c>
      <c r="E905" s="37">
        <f t="shared" si="183"/>
        <v>8.0374607000000001E-2</v>
      </c>
      <c r="F905" s="37">
        <f t="shared" si="188"/>
        <v>2.377290544106658E-3</v>
      </c>
      <c r="G905" s="30">
        <f t="shared" si="189"/>
        <v>1973.199443317021</v>
      </c>
      <c r="H905" s="38">
        <f t="shared" si="184"/>
        <v>170</v>
      </c>
      <c r="I905" s="39">
        <f t="shared" si="185"/>
        <v>170.79534565366188</v>
      </c>
      <c r="J905" s="40">
        <f t="shared" si="186"/>
        <v>75</v>
      </c>
      <c r="K905" s="43">
        <f>VLOOKUP(J905,Data!$Z$3:$AA$122,2)</f>
        <v>0</v>
      </c>
      <c r="L905" s="41">
        <f t="shared" si="187"/>
        <v>0.79534565366188303</v>
      </c>
      <c r="M905" s="43">
        <f>VLOOKUP(H905,Data!$P$3:$X$122,9)</f>
        <v>0</v>
      </c>
      <c r="N905" s="43">
        <f t="shared" si="190"/>
        <v>0</v>
      </c>
      <c r="O905" s="43">
        <f t="shared" si="191"/>
        <v>0</v>
      </c>
      <c r="P905" s="30">
        <f t="shared" si="192"/>
        <v>0</v>
      </c>
      <c r="Q905" s="31">
        <f t="shared" si="194"/>
        <v>848340.75061972369</v>
      </c>
    </row>
    <row r="906" spans="1:17" x14ac:dyDescent="0.25">
      <c r="A906" s="6">
        <f t="shared" si="193"/>
        <v>70767</v>
      </c>
      <c r="B906" s="30">
        <f>IFERROR(VLOOKUP(A906, Data!$L$3:$N$123, 3),1)*Pension</f>
        <v>830020.31375955057</v>
      </c>
      <c r="C906" s="37">
        <f t="shared" si="182"/>
        <v>75.252566735112936</v>
      </c>
      <c r="D906" s="37">
        <f>IFERROR(VLOOKUP(A906,Data!$I$3:$J$1442,2),0)</f>
        <v>8.0563066000000003E-2</v>
      </c>
      <c r="E906" s="37">
        <f t="shared" si="183"/>
        <v>8.0363065999999997E-2</v>
      </c>
      <c r="F906" s="37">
        <f t="shared" si="188"/>
        <v>2.3637002454495451E-3</v>
      </c>
      <c r="G906" s="30">
        <f t="shared" si="189"/>
        <v>1961.9192193615581</v>
      </c>
      <c r="H906" s="38">
        <f t="shared" si="184"/>
        <v>170</v>
      </c>
      <c r="I906" s="39">
        <f t="shared" si="185"/>
        <v>170.87748117727583</v>
      </c>
      <c r="J906" s="40">
        <f t="shared" si="186"/>
        <v>75</v>
      </c>
      <c r="K906" s="43">
        <f>VLOOKUP(J906,Data!$Z$3:$AA$122,2)</f>
        <v>0</v>
      </c>
      <c r="L906" s="41">
        <f t="shared" si="187"/>
        <v>0.87748117727582553</v>
      </c>
      <c r="M906" s="43">
        <f>VLOOKUP(H906,Data!$P$3:$X$122,9)</f>
        <v>0</v>
      </c>
      <c r="N906" s="43">
        <f t="shared" si="190"/>
        <v>0</v>
      </c>
      <c r="O906" s="43">
        <f t="shared" si="191"/>
        <v>0</v>
      </c>
      <c r="P906" s="30">
        <f t="shared" si="192"/>
        <v>0</v>
      </c>
      <c r="Q906" s="31">
        <f t="shared" si="194"/>
        <v>848340.75061972369</v>
      </c>
    </row>
    <row r="907" spans="1:17" x14ac:dyDescent="0.25">
      <c r="A907" s="6">
        <f t="shared" si="193"/>
        <v>70798</v>
      </c>
      <c r="B907" s="30">
        <f>IFERROR(VLOOKUP(A907, Data!$L$3:$N$123, 3),1)*Pension</f>
        <v>830020.31375955057</v>
      </c>
      <c r="C907" s="37">
        <f t="shared" si="182"/>
        <v>75.337440109514034</v>
      </c>
      <c r="D907" s="37">
        <f>IFERROR(VLOOKUP(A907,Data!$I$3:$J$1442,2),0)</f>
        <v>8.0551165999999993E-2</v>
      </c>
      <c r="E907" s="37">
        <f t="shared" si="183"/>
        <v>8.0351165999999988E-2</v>
      </c>
      <c r="F907" s="37">
        <f t="shared" si="188"/>
        <v>2.3497386817731788E-3</v>
      </c>
      <c r="G907" s="30">
        <f t="shared" si="189"/>
        <v>1950.3308378983265</v>
      </c>
      <c r="H907" s="38">
        <f t="shared" si="184"/>
        <v>170</v>
      </c>
      <c r="I907" s="39">
        <f t="shared" si="185"/>
        <v>170.96235455167692</v>
      </c>
      <c r="J907" s="40">
        <f t="shared" si="186"/>
        <v>75</v>
      </c>
      <c r="K907" s="43">
        <f>VLOOKUP(J907,Data!$Z$3:$AA$122,2)</f>
        <v>0</v>
      </c>
      <c r="L907" s="41">
        <f t="shared" si="187"/>
        <v>0.96235455167692407</v>
      </c>
      <c r="M907" s="43">
        <f>VLOOKUP(H907,Data!$P$3:$X$122,9)</f>
        <v>0</v>
      </c>
      <c r="N907" s="43">
        <f t="shared" si="190"/>
        <v>0</v>
      </c>
      <c r="O907" s="43">
        <f t="shared" si="191"/>
        <v>0</v>
      </c>
      <c r="P907" s="30">
        <f t="shared" si="192"/>
        <v>0</v>
      </c>
      <c r="Q907" s="31">
        <f t="shared" si="194"/>
        <v>848340.75061972369</v>
      </c>
    </row>
    <row r="908" spans="1:17" x14ac:dyDescent="0.25">
      <c r="A908" s="6">
        <f t="shared" si="193"/>
        <v>70828</v>
      </c>
      <c r="B908" s="30">
        <f>IFERROR(VLOOKUP(A908, Data!$L$3:$N$123, 3),1)*Pension</f>
        <v>830020.31375955057</v>
      </c>
      <c r="C908" s="37">
        <f t="shared" si="182"/>
        <v>75.419575633127991</v>
      </c>
      <c r="D908" s="37">
        <f>IFERROR(VLOOKUP(A908,Data!$I$3:$J$1442,2),0)</f>
        <v>8.0539676000000004E-2</v>
      </c>
      <c r="E908" s="37">
        <f t="shared" si="183"/>
        <v>8.0339675999999999E-2</v>
      </c>
      <c r="F908" s="37">
        <f t="shared" si="188"/>
        <v>2.3363059042612829E-3</v>
      </c>
      <c r="G908" s="30">
        <f t="shared" si="189"/>
        <v>1939.1813596932407</v>
      </c>
      <c r="H908" s="38">
        <f t="shared" si="184"/>
        <v>171</v>
      </c>
      <c r="I908" s="39">
        <f t="shared" si="185"/>
        <v>171.04449007529089</v>
      </c>
      <c r="J908" s="40">
        <f t="shared" si="186"/>
        <v>76</v>
      </c>
      <c r="K908" s="43">
        <f>VLOOKUP(J908,Data!$Z$3:$AA$122,2)</f>
        <v>0</v>
      </c>
      <c r="L908" s="41">
        <f t="shared" si="187"/>
        <v>4.4490075290894993E-2</v>
      </c>
      <c r="M908" s="43">
        <f>VLOOKUP(H908,Data!$P$3:$X$122,9)</f>
        <v>0</v>
      </c>
      <c r="N908" s="43">
        <f t="shared" si="190"/>
        <v>0</v>
      </c>
      <c r="O908" s="43">
        <f t="shared" si="191"/>
        <v>0</v>
      </c>
      <c r="P908" s="30">
        <f t="shared" si="192"/>
        <v>0</v>
      </c>
      <c r="Q908" s="31">
        <f t="shared" si="194"/>
        <v>848340.75061972369</v>
      </c>
    </row>
    <row r="909" spans="1:17" x14ac:dyDescent="0.25">
      <c r="A909" s="6">
        <f t="shared" si="193"/>
        <v>70859</v>
      </c>
      <c r="B909" s="30">
        <f>IFERROR(VLOOKUP(A909, Data!$L$3:$N$123, 3),1)*Pension</f>
        <v>871521.32944752788</v>
      </c>
      <c r="C909" s="37">
        <f t="shared" si="182"/>
        <v>75.504449007529089</v>
      </c>
      <c r="D909" s="37">
        <f>IFERROR(VLOOKUP(A909,Data!$I$3:$J$1442,2),0)</f>
        <v>8.0527828999999995E-2</v>
      </c>
      <c r="E909" s="37">
        <f t="shared" si="183"/>
        <v>8.0327828999999989E-2</v>
      </c>
      <c r="F909" s="37">
        <f t="shared" si="188"/>
        <v>2.3225060818464283E-3</v>
      </c>
      <c r="G909" s="30">
        <f t="shared" si="189"/>
        <v>2024.1135881007681</v>
      </c>
      <c r="H909" s="38">
        <f t="shared" si="184"/>
        <v>171</v>
      </c>
      <c r="I909" s="39">
        <f t="shared" si="185"/>
        <v>171.12936344969199</v>
      </c>
      <c r="J909" s="40">
        <f t="shared" si="186"/>
        <v>76</v>
      </c>
      <c r="K909" s="43">
        <f>VLOOKUP(J909,Data!$Z$3:$AA$122,2)</f>
        <v>0</v>
      </c>
      <c r="L909" s="41">
        <f t="shared" si="187"/>
        <v>0.12936344969199354</v>
      </c>
      <c r="M909" s="43">
        <f>VLOOKUP(H909,Data!$P$3:$X$122,9)</f>
        <v>0</v>
      </c>
      <c r="N909" s="43">
        <f t="shared" si="190"/>
        <v>0</v>
      </c>
      <c r="O909" s="43">
        <f t="shared" si="191"/>
        <v>0</v>
      </c>
      <c r="P909" s="30">
        <f t="shared" si="192"/>
        <v>0</v>
      </c>
      <c r="Q909" s="31">
        <f t="shared" si="194"/>
        <v>848340.75061972369</v>
      </c>
    </row>
    <row r="910" spans="1:17" x14ac:dyDescent="0.25">
      <c r="A910" s="6">
        <f t="shared" si="193"/>
        <v>70890</v>
      </c>
      <c r="B910" s="30">
        <f>IFERROR(VLOOKUP(A910, Data!$L$3:$N$123, 3),1)*Pension</f>
        <v>871521.32944752788</v>
      </c>
      <c r="C910" s="37">
        <f t="shared" si="182"/>
        <v>75.589322381930188</v>
      </c>
      <c r="D910" s="37">
        <f>IFERROR(VLOOKUP(A910,Data!$I$3:$J$1442,2),0)</f>
        <v>8.0516008E-2</v>
      </c>
      <c r="E910" s="37">
        <f t="shared" si="183"/>
        <v>8.0316007999999994E-2</v>
      </c>
      <c r="F910" s="37">
        <f t="shared" si="188"/>
        <v>2.3087878760681621E-3</v>
      </c>
      <c r="G910" s="30">
        <f t="shared" si="189"/>
        <v>2012.1578791632589</v>
      </c>
      <c r="H910" s="38">
        <f t="shared" si="184"/>
        <v>171</v>
      </c>
      <c r="I910" s="39">
        <f t="shared" si="185"/>
        <v>171.21423682409309</v>
      </c>
      <c r="J910" s="40">
        <f t="shared" si="186"/>
        <v>76</v>
      </c>
      <c r="K910" s="43">
        <f>VLOOKUP(J910,Data!$Z$3:$AA$122,2)</f>
        <v>0</v>
      </c>
      <c r="L910" s="41">
        <f t="shared" si="187"/>
        <v>0.21423682409309208</v>
      </c>
      <c r="M910" s="43">
        <f>VLOOKUP(H910,Data!$P$3:$X$122,9)</f>
        <v>0</v>
      </c>
      <c r="N910" s="43">
        <f t="shared" si="190"/>
        <v>0</v>
      </c>
      <c r="O910" s="43">
        <f t="shared" si="191"/>
        <v>0</v>
      </c>
      <c r="P910" s="30">
        <f t="shared" si="192"/>
        <v>0</v>
      </c>
      <c r="Q910" s="31">
        <f t="shared" si="194"/>
        <v>848340.75061972369</v>
      </c>
    </row>
    <row r="911" spans="1:17" x14ac:dyDescent="0.25">
      <c r="A911" s="6">
        <f t="shared" si="193"/>
        <v>70918</v>
      </c>
      <c r="B911" s="30">
        <f>IFERROR(VLOOKUP(A911, Data!$L$3:$N$123, 3),1)*Pension</f>
        <v>871521.32944752788</v>
      </c>
      <c r="C911" s="37">
        <f t="shared" si="182"/>
        <v>75.665982203969889</v>
      </c>
      <c r="D911" s="37">
        <f>IFERROR(VLOOKUP(A911,Data!$I$3:$J$1442,2),0)</f>
        <v>8.0505355000000001E-2</v>
      </c>
      <c r="E911" s="37">
        <f t="shared" si="183"/>
        <v>8.0305354999999995E-2</v>
      </c>
      <c r="F911" s="37">
        <f t="shared" si="188"/>
        <v>2.2964666823554586E-3</v>
      </c>
      <c r="G911" s="30">
        <f t="shared" si="189"/>
        <v>2001.4196960383831</v>
      </c>
      <c r="H911" s="38">
        <f t="shared" si="184"/>
        <v>171</v>
      </c>
      <c r="I911" s="39">
        <f t="shared" si="185"/>
        <v>171.29089664613278</v>
      </c>
      <c r="J911" s="40">
        <f t="shared" si="186"/>
        <v>76</v>
      </c>
      <c r="K911" s="43">
        <f>VLOOKUP(J911,Data!$Z$3:$AA$122,2)</f>
        <v>0</v>
      </c>
      <c r="L911" s="41">
        <f t="shared" si="187"/>
        <v>0.29089664613277932</v>
      </c>
      <c r="M911" s="43">
        <f>VLOOKUP(H911,Data!$P$3:$X$122,9)</f>
        <v>0</v>
      </c>
      <c r="N911" s="43">
        <f t="shared" si="190"/>
        <v>0</v>
      </c>
      <c r="O911" s="43">
        <f t="shared" si="191"/>
        <v>0</v>
      </c>
      <c r="P911" s="30">
        <f t="shared" si="192"/>
        <v>0</v>
      </c>
      <c r="Q911" s="31">
        <f t="shared" si="194"/>
        <v>848340.75061972369</v>
      </c>
    </row>
    <row r="912" spans="1:17" x14ac:dyDescent="0.25">
      <c r="A912" s="6">
        <f t="shared" si="193"/>
        <v>70949</v>
      </c>
      <c r="B912" s="30">
        <f>IFERROR(VLOOKUP(A912, Data!$L$3:$N$123, 3),1)*Pension</f>
        <v>871521.32944752788</v>
      </c>
      <c r="C912" s="37">
        <f t="shared" si="182"/>
        <v>75.750855578370974</v>
      </c>
      <c r="D912" s="37">
        <f>IFERROR(VLOOKUP(A912,Data!$I$3:$J$1442,2),0)</f>
        <v>8.0493584000000007E-2</v>
      </c>
      <c r="E912" s="37">
        <f t="shared" si="183"/>
        <v>8.0293584000000001E-2</v>
      </c>
      <c r="F912" s="37">
        <f t="shared" si="188"/>
        <v>2.2829023490023698E-3</v>
      </c>
      <c r="G912" s="30">
        <f t="shared" si="189"/>
        <v>1989.5980902014296</v>
      </c>
      <c r="H912" s="38">
        <f t="shared" si="184"/>
        <v>171</v>
      </c>
      <c r="I912" s="39">
        <f t="shared" si="185"/>
        <v>171.37577002053388</v>
      </c>
      <c r="J912" s="40">
        <f t="shared" si="186"/>
        <v>76</v>
      </c>
      <c r="K912" s="43">
        <f>VLOOKUP(J912,Data!$Z$3:$AA$122,2)</f>
        <v>0</v>
      </c>
      <c r="L912" s="41">
        <f t="shared" si="187"/>
        <v>0.37577002053387787</v>
      </c>
      <c r="M912" s="43">
        <f>VLOOKUP(H912,Data!$P$3:$X$122,9)</f>
        <v>0</v>
      </c>
      <c r="N912" s="43">
        <f t="shared" si="190"/>
        <v>0</v>
      </c>
      <c r="O912" s="43">
        <f t="shared" si="191"/>
        <v>0</v>
      </c>
      <c r="P912" s="30">
        <f t="shared" si="192"/>
        <v>0</v>
      </c>
      <c r="Q912" s="31">
        <f t="shared" si="194"/>
        <v>848340.75061972369</v>
      </c>
    </row>
    <row r="913" spans="1:17" x14ac:dyDescent="0.25">
      <c r="A913" s="6">
        <f t="shared" si="193"/>
        <v>70979</v>
      </c>
      <c r="B913" s="30">
        <f>IFERROR(VLOOKUP(A913, Data!$L$3:$N$123, 3),1)*Pension</f>
        <v>871521.32944752788</v>
      </c>
      <c r="C913" s="37">
        <f t="shared" si="182"/>
        <v>75.832991101984945</v>
      </c>
      <c r="D913" s="37">
        <f>IFERROR(VLOOKUP(A913,Data!$I$3:$J$1442,2),0)</f>
        <v>8.0482218999999994E-2</v>
      </c>
      <c r="E913" s="37">
        <f t="shared" si="183"/>
        <v>8.0282218999999988E-2</v>
      </c>
      <c r="F913" s="37">
        <f t="shared" si="188"/>
        <v>2.269851656747565E-3</v>
      </c>
      <c r="G913" s="30">
        <f t="shared" si="189"/>
        <v>1978.2241335373117</v>
      </c>
      <c r="H913" s="38">
        <f t="shared" si="184"/>
        <v>171</v>
      </c>
      <c r="I913" s="39">
        <f t="shared" si="185"/>
        <v>171.45790554414785</v>
      </c>
      <c r="J913" s="40">
        <f t="shared" si="186"/>
        <v>76</v>
      </c>
      <c r="K913" s="43">
        <f>VLOOKUP(J913,Data!$Z$3:$AA$122,2)</f>
        <v>0</v>
      </c>
      <c r="L913" s="41">
        <f t="shared" si="187"/>
        <v>0.45790554414784879</v>
      </c>
      <c r="M913" s="43">
        <f>VLOOKUP(H913,Data!$P$3:$X$122,9)</f>
        <v>0</v>
      </c>
      <c r="N913" s="43">
        <f t="shared" si="190"/>
        <v>0</v>
      </c>
      <c r="O913" s="43">
        <f t="shared" si="191"/>
        <v>0</v>
      </c>
      <c r="P913" s="30">
        <f t="shared" si="192"/>
        <v>0</v>
      </c>
      <c r="Q913" s="31">
        <f t="shared" si="194"/>
        <v>848340.75061972369</v>
      </c>
    </row>
    <row r="914" spans="1:17" x14ac:dyDescent="0.25">
      <c r="A914" s="6">
        <f t="shared" si="193"/>
        <v>71010</v>
      </c>
      <c r="B914" s="30">
        <f>IFERROR(VLOOKUP(A914, Data!$L$3:$N$123, 3),1)*Pension</f>
        <v>871521.32944752788</v>
      </c>
      <c r="C914" s="37">
        <f t="shared" si="182"/>
        <v>75.917864476386043</v>
      </c>
      <c r="D914" s="37">
        <f>IFERROR(VLOOKUP(A914,Data!$I$3:$J$1442,2),0)</f>
        <v>8.0470501E-2</v>
      </c>
      <c r="E914" s="37">
        <f t="shared" si="183"/>
        <v>8.0270500999999994E-2</v>
      </c>
      <c r="F914" s="37">
        <f t="shared" si="188"/>
        <v>2.2564443155193336E-3</v>
      </c>
      <c r="G914" s="30">
        <f t="shared" si="189"/>
        <v>1966.5393496857266</v>
      </c>
      <c r="H914" s="38">
        <f t="shared" si="184"/>
        <v>171</v>
      </c>
      <c r="I914" s="39">
        <f t="shared" si="185"/>
        <v>171.54277891854895</v>
      </c>
      <c r="J914" s="40">
        <f t="shared" si="186"/>
        <v>76</v>
      </c>
      <c r="K914" s="43">
        <f>VLOOKUP(J914,Data!$Z$3:$AA$122,2)</f>
        <v>0</v>
      </c>
      <c r="L914" s="41">
        <f t="shared" si="187"/>
        <v>0.54277891854894733</v>
      </c>
      <c r="M914" s="43">
        <f>VLOOKUP(H914,Data!$P$3:$X$122,9)</f>
        <v>0</v>
      </c>
      <c r="N914" s="43">
        <f t="shared" si="190"/>
        <v>0</v>
      </c>
      <c r="O914" s="43">
        <f t="shared" si="191"/>
        <v>0</v>
      </c>
      <c r="P914" s="30">
        <f t="shared" si="192"/>
        <v>0</v>
      </c>
      <c r="Q914" s="31">
        <f t="shared" si="194"/>
        <v>848340.75061972369</v>
      </c>
    </row>
    <row r="915" spans="1:17" x14ac:dyDescent="0.25">
      <c r="A915" s="6">
        <f t="shared" si="193"/>
        <v>71040</v>
      </c>
      <c r="B915" s="30">
        <f>IFERROR(VLOOKUP(A915, Data!$L$3:$N$123, 3),1)*Pension</f>
        <v>871521.32944752788</v>
      </c>
      <c r="C915" s="37">
        <f t="shared" si="182"/>
        <v>76</v>
      </c>
      <c r="D915" s="37">
        <f>IFERROR(VLOOKUP(A915,Data!$I$3:$J$1442,2),0)</f>
        <v>8.0459185000000003E-2</v>
      </c>
      <c r="E915" s="37">
        <f t="shared" si="183"/>
        <v>8.0259184999999997E-2</v>
      </c>
      <c r="F915" s="37">
        <f t="shared" si="188"/>
        <v>2.2435450332139325E-3</v>
      </c>
      <c r="G915" s="30">
        <f t="shared" si="189"/>
        <v>1955.2973500220046</v>
      </c>
      <c r="H915" s="38">
        <f t="shared" si="184"/>
        <v>171</v>
      </c>
      <c r="I915" s="39">
        <f t="shared" si="185"/>
        <v>171.62491444216289</v>
      </c>
      <c r="J915" s="40">
        <f t="shared" si="186"/>
        <v>76</v>
      </c>
      <c r="K915" s="43">
        <f>VLOOKUP(J915,Data!$Z$3:$AA$122,2)</f>
        <v>0</v>
      </c>
      <c r="L915" s="41">
        <f t="shared" si="187"/>
        <v>0.62491444216288983</v>
      </c>
      <c r="M915" s="43">
        <f>VLOOKUP(H915,Data!$P$3:$X$122,9)</f>
        <v>0</v>
      </c>
      <c r="N915" s="43">
        <f t="shared" si="190"/>
        <v>0</v>
      </c>
      <c r="O915" s="43">
        <f t="shared" si="191"/>
        <v>0</v>
      </c>
      <c r="P915" s="30">
        <f t="shared" si="192"/>
        <v>0</v>
      </c>
      <c r="Q915" s="31">
        <f t="shared" si="194"/>
        <v>848340.75061972369</v>
      </c>
    </row>
    <row r="916" spans="1:17" x14ac:dyDescent="0.25">
      <c r="A916" s="6">
        <f t="shared" si="193"/>
        <v>71071</v>
      </c>
      <c r="B916" s="30">
        <f>IFERROR(VLOOKUP(A916, Data!$L$3:$N$123, 3),1)*Pension</f>
        <v>871521.32944752788</v>
      </c>
      <c r="C916" s="37">
        <f t="shared" si="182"/>
        <v>76.084873374401099</v>
      </c>
      <c r="D916" s="37">
        <f>IFERROR(VLOOKUP(A916,Data!$I$3:$J$1442,2),0)</f>
        <v>8.0447518999999995E-2</v>
      </c>
      <c r="E916" s="37">
        <f t="shared" si="183"/>
        <v>8.0247518999999989E-2</v>
      </c>
      <c r="F916" s="37">
        <f t="shared" si="188"/>
        <v>2.2302929783252611E-3</v>
      </c>
      <c r="G916" s="30">
        <f t="shared" si="189"/>
        <v>1943.747901527518</v>
      </c>
      <c r="H916" s="38">
        <f t="shared" si="184"/>
        <v>171</v>
      </c>
      <c r="I916" s="39">
        <f t="shared" si="185"/>
        <v>171.70978781656399</v>
      </c>
      <c r="J916" s="40">
        <f t="shared" si="186"/>
        <v>76</v>
      </c>
      <c r="K916" s="43">
        <f>VLOOKUP(J916,Data!$Z$3:$AA$122,2)</f>
        <v>0</v>
      </c>
      <c r="L916" s="41">
        <f t="shared" si="187"/>
        <v>0.70978781656398837</v>
      </c>
      <c r="M916" s="43">
        <f>VLOOKUP(H916,Data!$P$3:$X$122,9)</f>
        <v>0</v>
      </c>
      <c r="N916" s="43">
        <f t="shared" si="190"/>
        <v>0</v>
      </c>
      <c r="O916" s="43">
        <f t="shared" si="191"/>
        <v>0</v>
      </c>
      <c r="P916" s="30">
        <f t="shared" si="192"/>
        <v>0</v>
      </c>
      <c r="Q916" s="31">
        <f t="shared" si="194"/>
        <v>848340.75061972369</v>
      </c>
    </row>
    <row r="917" spans="1:17" x14ac:dyDescent="0.25">
      <c r="A917" s="6">
        <f t="shared" si="193"/>
        <v>71102</v>
      </c>
      <c r="B917" s="30">
        <f>IFERROR(VLOOKUP(A917, Data!$L$3:$N$123, 3),1)*Pension</f>
        <v>871521.32944752788</v>
      </c>
      <c r="C917" s="37">
        <f t="shared" si="182"/>
        <v>76.169746748802197</v>
      </c>
      <c r="D917" s="37">
        <f>IFERROR(VLOOKUP(A917,Data!$I$3:$J$1442,2),0)</f>
        <v>8.0435878000000002E-2</v>
      </c>
      <c r="E917" s="37">
        <f t="shared" si="183"/>
        <v>8.0235877999999997E-2</v>
      </c>
      <c r="F917" s="37">
        <f t="shared" si="188"/>
        <v>2.2171193685334512E-3</v>
      </c>
      <c r="G917" s="30">
        <f t="shared" si="189"/>
        <v>1932.266819608137</v>
      </c>
      <c r="H917" s="38">
        <f t="shared" si="184"/>
        <v>171</v>
      </c>
      <c r="I917" s="39">
        <f t="shared" si="185"/>
        <v>171.79466119096509</v>
      </c>
      <c r="J917" s="40">
        <f t="shared" si="186"/>
        <v>76</v>
      </c>
      <c r="K917" s="43">
        <f>VLOOKUP(J917,Data!$Z$3:$AA$122,2)</f>
        <v>0</v>
      </c>
      <c r="L917" s="41">
        <f t="shared" si="187"/>
        <v>0.79466119096508692</v>
      </c>
      <c r="M917" s="43">
        <f>VLOOKUP(H917,Data!$P$3:$X$122,9)</f>
        <v>0</v>
      </c>
      <c r="N917" s="43">
        <f t="shared" si="190"/>
        <v>0</v>
      </c>
      <c r="O917" s="43">
        <f t="shared" si="191"/>
        <v>0</v>
      </c>
      <c r="P917" s="30">
        <f t="shared" si="192"/>
        <v>0</v>
      </c>
      <c r="Q917" s="31">
        <f t="shared" si="194"/>
        <v>848340.75061972369</v>
      </c>
    </row>
    <row r="918" spans="1:17" x14ac:dyDescent="0.25">
      <c r="A918" s="6">
        <f t="shared" si="193"/>
        <v>71132</v>
      </c>
      <c r="B918" s="30">
        <f>IFERROR(VLOOKUP(A918, Data!$L$3:$N$123, 3),1)*Pension</f>
        <v>871521.32944752788</v>
      </c>
      <c r="C918" s="37">
        <f t="shared" si="182"/>
        <v>76.251882272416154</v>
      </c>
      <c r="D918" s="37">
        <f>IFERROR(VLOOKUP(A918,Data!$I$3:$J$1442,2),0)</f>
        <v>8.0424636999999993E-2</v>
      </c>
      <c r="E918" s="37">
        <f t="shared" si="183"/>
        <v>8.0224636999999988E-2</v>
      </c>
      <c r="F918" s="37">
        <f t="shared" si="188"/>
        <v>2.2044448381368948E-3</v>
      </c>
      <c r="G918" s="30">
        <f t="shared" si="189"/>
        <v>1921.220696026807</v>
      </c>
      <c r="H918" s="38">
        <f t="shared" si="184"/>
        <v>171</v>
      </c>
      <c r="I918" s="39">
        <f t="shared" si="185"/>
        <v>171.87679671457906</v>
      </c>
      <c r="J918" s="40">
        <f t="shared" si="186"/>
        <v>76</v>
      </c>
      <c r="K918" s="43">
        <f>VLOOKUP(J918,Data!$Z$3:$AA$122,2)</f>
        <v>0</v>
      </c>
      <c r="L918" s="41">
        <f t="shared" si="187"/>
        <v>0.87679671457905783</v>
      </c>
      <c r="M918" s="43">
        <f>VLOOKUP(H918,Data!$P$3:$X$122,9)</f>
        <v>0</v>
      </c>
      <c r="N918" s="43">
        <f t="shared" si="190"/>
        <v>0</v>
      </c>
      <c r="O918" s="43">
        <f t="shared" si="191"/>
        <v>0</v>
      </c>
      <c r="P918" s="30">
        <f t="shared" si="192"/>
        <v>0</v>
      </c>
      <c r="Q918" s="31">
        <f t="shared" si="194"/>
        <v>848340.75061972369</v>
      </c>
    </row>
    <row r="919" spans="1:17" x14ac:dyDescent="0.25">
      <c r="A919" s="6">
        <f t="shared" si="193"/>
        <v>71163</v>
      </c>
      <c r="B919" s="30">
        <f>IFERROR(VLOOKUP(A919, Data!$L$3:$N$123, 3),1)*Pension</f>
        <v>871521.32944752788</v>
      </c>
      <c r="C919" s="37">
        <f t="shared" si="182"/>
        <v>76.336755646817252</v>
      </c>
      <c r="D919" s="37">
        <f>IFERROR(VLOOKUP(A919,Data!$I$3:$J$1442,2),0)</f>
        <v>8.0413047000000001E-2</v>
      </c>
      <c r="E919" s="37">
        <f t="shared" si="183"/>
        <v>8.0213046999999996E-2</v>
      </c>
      <c r="F919" s="37">
        <f t="shared" si="188"/>
        <v>2.1914238896056874E-3</v>
      </c>
      <c r="G919" s="30">
        <f t="shared" si="189"/>
        <v>1909.8726616522213</v>
      </c>
      <c r="H919" s="38">
        <f t="shared" si="184"/>
        <v>171</v>
      </c>
      <c r="I919" s="39">
        <f t="shared" si="185"/>
        <v>171.96167008898016</v>
      </c>
      <c r="J919" s="40">
        <f t="shared" si="186"/>
        <v>76</v>
      </c>
      <c r="K919" s="43">
        <f>VLOOKUP(J919,Data!$Z$3:$AA$122,2)</f>
        <v>0</v>
      </c>
      <c r="L919" s="41">
        <f t="shared" si="187"/>
        <v>0.96167008898015638</v>
      </c>
      <c r="M919" s="43">
        <f>VLOOKUP(H919,Data!$P$3:$X$122,9)</f>
        <v>0</v>
      </c>
      <c r="N919" s="43">
        <f t="shared" si="190"/>
        <v>0</v>
      </c>
      <c r="O919" s="43">
        <f t="shared" si="191"/>
        <v>0</v>
      </c>
      <c r="P919" s="30">
        <f t="shared" si="192"/>
        <v>0</v>
      </c>
      <c r="Q919" s="31">
        <f t="shared" si="194"/>
        <v>848340.75061972369</v>
      </c>
    </row>
    <row r="920" spans="1:17" x14ac:dyDescent="0.25">
      <c r="A920" s="6">
        <f t="shared" si="193"/>
        <v>71193</v>
      </c>
      <c r="B920" s="30">
        <f>IFERROR(VLOOKUP(A920, Data!$L$3:$N$123, 3),1)*Pension</f>
        <v>871521.32944752788</v>
      </c>
      <c r="C920" s="37">
        <f t="shared" si="182"/>
        <v>76.418891170431209</v>
      </c>
      <c r="D920" s="37">
        <f>IFERROR(VLOOKUP(A920,Data!$I$3:$J$1442,2),0)</f>
        <v>8.0401854999999994E-2</v>
      </c>
      <c r="E920" s="37">
        <f t="shared" si="183"/>
        <v>8.0201854999999989E-2</v>
      </c>
      <c r="F920" s="37">
        <f t="shared" si="188"/>
        <v>2.1788962692303429E-3</v>
      </c>
      <c r="G920" s="30">
        <f t="shared" si="189"/>
        <v>1898.9545732878871</v>
      </c>
      <c r="H920" s="38">
        <f t="shared" si="184"/>
        <v>172</v>
      </c>
      <c r="I920" s="39">
        <f t="shared" si="185"/>
        <v>172.04380561259413</v>
      </c>
      <c r="J920" s="40">
        <f t="shared" si="186"/>
        <v>77</v>
      </c>
      <c r="K920" s="43">
        <f>VLOOKUP(J920,Data!$Z$3:$AA$122,2)</f>
        <v>0</v>
      </c>
      <c r="L920" s="41">
        <f t="shared" si="187"/>
        <v>4.3805612594127297E-2</v>
      </c>
      <c r="M920" s="43">
        <f>VLOOKUP(H920,Data!$P$3:$X$122,9)</f>
        <v>0</v>
      </c>
      <c r="N920" s="43">
        <f t="shared" si="190"/>
        <v>0</v>
      </c>
      <c r="O920" s="43">
        <f t="shared" si="191"/>
        <v>0</v>
      </c>
      <c r="P920" s="30">
        <f t="shared" si="192"/>
        <v>0</v>
      </c>
      <c r="Q920" s="31">
        <f t="shared" si="194"/>
        <v>848340.75061972369</v>
      </c>
    </row>
    <row r="921" spans="1:17" x14ac:dyDescent="0.25">
      <c r="A921" s="6">
        <f t="shared" si="193"/>
        <v>71224</v>
      </c>
      <c r="B921" s="30">
        <f>IFERROR(VLOOKUP(A921, Data!$L$3:$N$123, 3),1)*Pension</f>
        <v>915097.39591990458</v>
      </c>
      <c r="C921" s="37">
        <f t="shared" si="182"/>
        <v>76.503764544832308</v>
      </c>
      <c r="D921" s="37">
        <f>IFERROR(VLOOKUP(A921,Data!$I$3:$J$1442,2),0)</f>
        <v>8.0390316000000003E-2</v>
      </c>
      <c r="E921" s="37">
        <f t="shared" si="183"/>
        <v>8.0190315999999998E-2</v>
      </c>
      <c r="F921" s="37">
        <f t="shared" si="188"/>
        <v>2.1660261575615868E-3</v>
      </c>
      <c r="G921" s="30">
        <f t="shared" si="189"/>
        <v>1982.124896279005</v>
      </c>
      <c r="H921" s="38">
        <f t="shared" si="184"/>
        <v>172</v>
      </c>
      <c r="I921" s="39">
        <f t="shared" si="185"/>
        <v>172.1286789869952</v>
      </c>
      <c r="J921" s="40">
        <f t="shared" si="186"/>
        <v>77</v>
      </c>
      <c r="K921" s="43">
        <f>VLOOKUP(J921,Data!$Z$3:$AA$122,2)</f>
        <v>0</v>
      </c>
      <c r="L921" s="41">
        <f t="shared" si="187"/>
        <v>0.12867898699519742</v>
      </c>
      <c r="M921" s="43">
        <f>VLOOKUP(H921,Data!$P$3:$X$122,9)</f>
        <v>0</v>
      </c>
      <c r="N921" s="43">
        <f t="shared" si="190"/>
        <v>0</v>
      </c>
      <c r="O921" s="43">
        <f t="shared" si="191"/>
        <v>0</v>
      </c>
      <c r="P921" s="30">
        <f t="shared" si="192"/>
        <v>0</v>
      </c>
      <c r="Q921" s="31">
        <f t="shared" si="194"/>
        <v>848340.75061972369</v>
      </c>
    </row>
    <row r="922" spans="1:17" x14ac:dyDescent="0.25">
      <c r="A922" s="6">
        <f t="shared" si="193"/>
        <v>71255</v>
      </c>
      <c r="B922" s="30">
        <f>IFERROR(VLOOKUP(A922, Data!$L$3:$N$123, 3),1)*Pension</f>
        <v>915097.39591990458</v>
      </c>
      <c r="C922" s="37">
        <f t="shared" si="182"/>
        <v>76.588637919233406</v>
      </c>
      <c r="D922" s="37">
        <f>IFERROR(VLOOKUP(A922,Data!$I$3:$J$1442,2),0)</f>
        <v>8.0378801999999999E-2</v>
      </c>
      <c r="E922" s="37">
        <f t="shared" si="183"/>
        <v>8.0178801999999993E-2</v>
      </c>
      <c r="F922" s="37">
        <f t="shared" si="188"/>
        <v>2.1532321606540675E-3</v>
      </c>
      <c r="G922" s="30">
        <f t="shared" si="189"/>
        <v>1970.4171430255267</v>
      </c>
      <c r="H922" s="38">
        <f t="shared" si="184"/>
        <v>172</v>
      </c>
      <c r="I922" s="39">
        <f t="shared" si="185"/>
        <v>172.2135523613963</v>
      </c>
      <c r="J922" s="40">
        <f t="shared" si="186"/>
        <v>77</v>
      </c>
      <c r="K922" s="43">
        <f>VLOOKUP(J922,Data!$Z$3:$AA$122,2)</f>
        <v>0</v>
      </c>
      <c r="L922" s="41">
        <f t="shared" si="187"/>
        <v>0.21355236139629596</v>
      </c>
      <c r="M922" s="43">
        <f>VLOOKUP(H922,Data!$P$3:$X$122,9)</f>
        <v>0</v>
      </c>
      <c r="N922" s="43">
        <f t="shared" si="190"/>
        <v>0</v>
      </c>
      <c r="O922" s="43">
        <f t="shared" si="191"/>
        <v>0</v>
      </c>
      <c r="P922" s="30">
        <f t="shared" si="192"/>
        <v>0</v>
      </c>
      <c r="Q922" s="31">
        <f t="shared" si="194"/>
        <v>848340.75061972369</v>
      </c>
    </row>
    <row r="923" spans="1:17" x14ac:dyDescent="0.25">
      <c r="A923" s="6">
        <f t="shared" si="193"/>
        <v>71283</v>
      </c>
      <c r="B923" s="30">
        <f>IFERROR(VLOOKUP(A923, Data!$L$3:$N$123, 3),1)*Pension</f>
        <v>915097.39591990458</v>
      </c>
      <c r="C923" s="37">
        <f t="shared" si="182"/>
        <v>76.665297741273108</v>
      </c>
      <c r="D923" s="37">
        <f>IFERROR(VLOOKUP(A923,Data!$I$3:$J$1442,2),0)</f>
        <v>8.0368423999999994E-2</v>
      </c>
      <c r="E923" s="37">
        <f t="shared" si="183"/>
        <v>8.0168423999999988E-2</v>
      </c>
      <c r="F923" s="37">
        <f t="shared" si="188"/>
        <v>2.1417412867608234E-3</v>
      </c>
      <c r="G923" s="30">
        <f t="shared" si="189"/>
        <v>1959.901874248975</v>
      </c>
      <c r="H923" s="38">
        <f t="shared" si="184"/>
        <v>172</v>
      </c>
      <c r="I923" s="39">
        <f t="shared" si="185"/>
        <v>172.29021218343601</v>
      </c>
      <c r="J923" s="40">
        <f t="shared" si="186"/>
        <v>77</v>
      </c>
      <c r="K923" s="43">
        <f>VLOOKUP(J923,Data!$Z$3:$AA$122,2)</f>
        <v>0</v>
      </c>
      <c r="L923" s="41">
        <f t="shared" si="187"/>
        <v>0.29021218343601163</v>
      </c>
      <c r="M923" s="43">
        <f>VLOOKUP(H923,Data!$P$3:$X$122,9)</f>
        <v>0</v>
      </c>
      <c r="N923" s="43">
        <f t="shared" si="190"/>
        <v>0</v>
      </c>
      <c r="O923" s="43">
        <f t="shared" si="191"/>
        <v>0</v>
      </c>
      <c r="P923" s="30">
        <f t="shared" si="192"/>
        <v>0</v>
      </c>
      <c r="Q923" s="31">
        <f t="shared" si="194"/>
        <v>848340.75061972369</v>
      </c>
    </row>
    <row r="924" spans="1:17" x14ac:dyDescent="0.25">
      <c r="A924" s="6">
        <f t="shared" si="193"/>
        <v>71314</v>
      </c>
      <c r="B924" s="30">
        <f>IFERROR(VLOOKUP(A924, Data!$L$3:$N$123, 3),1)*Pension</f>
        <v>915097.39591990458</v>
      </c>
      <c r="C924" s="37">
        <f t="shared" si="182"/>
        <v>76.750171115674192</v>
      </c>
      <c r="D924" s="37">
        <f>IFERROR(VLOOKUP(A924,Data!$I$3:$J$1442,2),0)</f>
        <v>8.0356959000000006E-2</v>
      </c>
      <c r="E924" s="37">
        <f t="shared" si="183"/>
        <v>8.0156959E-2</v>
      </c>
      <c r="F924" s="37">
        <f t="shared" si="188"/>
        <v>2.129090641355308E-3</v>
      </c>
      <c r="G924" s="30">
        <f t="shared" si="189"/>
        <v>1948.3253015816817</v>
      </c>
      <c r="H924" s="38">
        <f t="shared" si="184"/>
        <v>172</v>
      </c>
      <c r="I924" s="39">
        <f t="shared" si="185"/>
        <v>172.37508555783711</v>
      </c>
      <c r="J924" s="40">
        <f t="shared" si="186"/>
        <v>77</v>
      </c>
      <c r="K924" s="43">
        <f>VLOOKUP(J924,Data!$Z$3:$AA$122,2)</f>
        <v>0</v>
      </c>
      <c r="L924" s="41">
        <f t="shared" si="187"/>
        <v>0.37508555783711017</v>
      </c>
      <c r="M924" s="43">
        <f>VLOOKUP(H924,Data!$P$3:$X$122,9)</f>
        <v>0</v>
      </c>
      <c r="N924" s="43">
        <f t="shared" si="190"/>
        <v>0</v>
      </c>
      <c r="O924" s="43">
        <f t="shared" si="191"/>
        <v>0</v>
      </c>
      <c r="P924" s="30">
        <f t="shared" si="192"/>
        <v>0</v>
      </c>
      <c r="Q924" s="31">
        <f t="shared" si="194"/>
        <v>848340.75061972369</v>
      </c>
    </row>
    <row r="925" spans="1:17" x14ac:dyDescent="0.25">
      <c r="A925" s="6">
        <f t="shared" si="193"/>
        <v>71344</v>
      </c>
      <c r="B925" s="30">
        <f>IFERROR(VLOOKUP(A925, Data!$L$3:$N$123, 3),1)*Pension</f>
        <v>915097.39591990458</v>
      </c>
      <c r="C925" s="37">
        <f t="shared" si="182"/>
        <v>76.832306639288163</v>
      </c>
      <c r="D925" s="37">
        <f>IFERROR(VLOOKUP(A925,Data!$I$3:$J$1442,2),0)</f>
        <v>8.0345888000000004E-2</v>
      </c>
      <c r="E925" s="37">
        <f t="shared" si="183"/>
        <v>8.0145887999999998E-2</v>
      </c>
      <c r="F925" s="37">
        <f t="shared" si="188"/>
        <v>2.1169192255755826E-3</v>
      </c>
      <c r="G925" s="30">
        <f t="shared" si="189"/>
        <v>1937.1872706969966</v>
      </c>
      <c r="H925" s="38">
        <f t="shared" si="184"/>
        <v>172</v>
      </c>
      <c r="I925" s="39">
        <f t="shared" si="185"/>
        <v>172.45722108145105</v>
      </c>
      <c r="J925" s="40">
        <f t="shared" si="186"/>
        <v>77</v>
      </c>
      <c r="K925" s="43">
        <f>VLOOKUP(J925,Data!$Z$3:$AA$122,2)</f>
        <v>0</v>
      </c>
      <c r="L925" s="41">
        <f t="shared" si="187"/>
        <v>0.45722108145105267</v>
      </c>
      <c r="M925" s="43">
        <f>VLOOKUP(H925,Data!$P$3:$X$122,9)</f>
        <v>0</v>
      </c>
      <c r="N925" s="43">
        <f t="shared" si="190"/>
        <v>0</v>
      </c>
      <c r="O925" s="43">
        <f t="shared" si="191"/>
        <v>0</v>
      </c>
      <c r="P925" s="30">
        <f t="shared" si="192"/>
        <v>0</v>
      </c>
      <c r="Q925" s="31">
        <f t="shared" si="194"/>
        <v>848340.75061972369</v>
      </c>
    </row>
    <row r="926" spans="1:17" x14ac:dyDescent="0.25">
      <c r="A926" s="6">
        <f t="shared" si="193"/>
        <v>71375</v>
      </c>
      <c r="B926" s="30">
        <f>IFERROR(VLOOKUP(A926, Data!$L$3:$N$123, 3),1)*Pension</f>
        <v>915097.39591990458</v>
      </c>
      <c r="C926" s="37">
        <f t="shared" si="182"/>
        <v>76.917180013689247</v>
      </c>
      <c r="D926" s="37">
        <f>IFERROR(VLOOKUP(A926,Data!$I$3:$J$1442,2),0)</f>
        <v>8.0334472000000004E-2</v>
      </c>
      <c r="E926" s="37">
        <f t="shared" si="183"/>
        <v>8.0134471999999998E-2</v>
      </c>
      <c r="F926" s="37">
        <f t="shared" si="188"/>
        <v>2.1044153200492147E-3</v>
      </c>
      <c r="G926" s="30">
        <f t="shared" si="189"/>
        <v>1925.7449793109888</v>
      </c>
      <c r="H926" s="38">
        <f t="shared" si="184"/>
        <v>172</v>
      </c>
      <c r="I926" s="39">
        <f t="shared" si="185"/>
        <v>172.54209445585215</v>
      </c>
      <c r="J926" s="40">
        <f t="shared" si="186"/>
        <v>77</v>
      </c>
      <c r="K926" s="43">
        <f>VLOOKUP(J926,Data!$Z$3:$AA$122,2)</f>
        <v>0</v>
      </c>
      <c r="L926" s="41">
        <f t="shared" si="187"/>
        <v>0.54209445585215121</v>
      </c>
      <c r="M926" s="43">
        <f>VLOOKUP(H926,Data!$P$3:$X$122,9)</f>
        <v>0</v>
      </c>
      <c r="N926" s="43">
        <f t="shared" si="190"/>
        <v>0</v>
      </c>
      <c r="O926" s="43">
        <f t="shared" si="191"/>
        <v>0</v>
      </c>
      <c r="P926" s="30">
        <f t="shared" si="192"/>
        <v>0</v>
      </c>
      <c r="Q926" s="31">
        <f t="shared" si="194"/>
        <v>848340.75061972369</v>
      </c>
    </row>
    <row r="927" spans="1:17" x14ac:dyDescent="0.25">
      <c r="A927" s="6">
        <f t="shared" si="193"/>
        <v>71405</v>
      </c>
      <c r="B927" s="30">
        <f>IFERROR(VLOOKUP(A927, Data!$L$3:$N$123, 3),1)*Pension</f>
        <v>915097.39591990458</v>
      </c>
      <c r="C927" s="37">
        <f t="shared" si="182"/>
        <v>76.999315537303218</v>
      </c>
      <c r="D927" s="37">
        <f>IFERROR(VLOOKUP(A927,Data!$I$3:$J$1442,2),0)</f>
        <v>8.0323448000000006E-2</v>
      </c>
      <c r="E927" s="37">
        <f t="shared" si="183"/>
        <v>8.0123448E-2</v>
      </c>
      <c r="F927" s="37">
        <f t="shared" si="188"/>
        <v>2.0923851272299518E-3</v>
      </c>
      <c r="G927" s="30">
        <f t="shared" si="189"/>
        <v>1914.7361811896671</v>
      </c>
      <c r="H927" s="38">
        <f t="shared" si="184"/>
        <v>172</v>
      </c>
      <c r="I927" s="39">
        <f t="shared" si="185"/>
        <v>172.62422997946612</v>
      </c>
      <c r="J927" s="40">
        <f t="shared" si="186"/>
        <v>77</v>
      </c>
      <c r="K927" s="43">
        <f>VLOOKUP(J927,Data!$Z$3:$AA$122,2)</f>
        <v>0</v>
      </c>
      <c r="L927" s="41">
        <f t="shared" si="187"/>
        <v>0.62422997946612213</v>
      </c>
      <c r="M927" s="43">
        <f>VLOOKUP(H927,Data!$P$3:$X$122,9)</f>
        <v>0</v>
      </c>
      <c r="N927" s="43">
        <f t="shared" si="190"/>
        <v>0</v>
      </c>
      <c r="O927" s="43">
        <f t="shared" si="191"/>
        <v>0</v>
      </c>
      <c r="P927" s="30">
        <f t="shared" si="192"/>
        <v>0</v>
      </c>
      <c r="Q927" s="31">
        <f t="shared" si="194"/>
        <v>848340.75061972369</v>
      </c>
    </row>
    <row r="928" spans="1:17" x14ac:dyDescent="0.25">
      <c r="A928" s="6">
        <f t="shared" si="193"/>
        <v>71436</v>
      </c>
      <c r="B928" s="30">
        <f>IFERROR(VLOOKUP(A928, Data!$L$3:$N$123, 3),1)*Pension</f>
        <v>915097.39591990458</v>
      </c>
      <c r="C928" s="37">
        <f t="shared" si="182"/>
        <v>77.084188911704317</v>
      </c>
      <c r="D928" s="37">
        <f>IFERROR(VLOOKUP(A928,Data!$I$3:$J$1442,2),0)</f>
        <v>8.0312082000000007E-2</v>
      </c>
      <c r="E928" s="37">
        <f t="shared" si="183"/>
        <v>8.0112082000000001E-2</v>
      </c>
      <c r="F928" s="37">
        <f t="shared" si="188"/>
        <v>2.0800260464866834E-3</v>
      </c>
      <c r="G928" s="30">
        <f t="shared" si="189"/>
        <v>1903.4264185855384</v>
      </c>
      <c r="H928" s="38">
        <f t="shared" si="184"/>
        <v>172</v>
      </c>
      <c r="I928" s="39">
        <f t="shared" si="185"/>
        <v>172.70910335386722</v>
      </c>
      <c r="J928" s="40">
        <f t="shared" si="186"/>
        <v>77</v>
      </c>
      <c r="K928" s="43">
        <f>VLOOKUP(J928,Data!$Z$3:$AA$122,2)</f>
        <v>0</v>
      </c>
      <c r="L928" s="41">
        <f t="shared" si="187"/>
        <v>0.70910335386722068</v>
      </c>
      <c r="M928" s="43">
        <f>VLOOKUP(H928,Data!$P$3:$X$122,9)</f>
        <v>0</v>
      </c>
      <c r="N928" s="43">
        <f t="shared" si="190"/>
        <v>0</v>
      </c>
      <c r="O928" s="43">
        <f t="shared" si="191"/>
        <v>0</v>
      </c>
      <c r="P928" s="30">
        <f t="shared" si="192"/>
        <v>0</v>
      </c>
      <c r="Q928" s="31">
        <f t="shared" si="194"/>
        <v>848340.75061972369</v>
      </c>
    </row>
    <row r="929" spans="1:17" x14ac:dyDescent="0.25">
      <c r="A929" s="6">
        <f t="shared" si="193"/>
        <v>71467</v>
      </c>
      <c r="B929" s="30">
        <f>IFERROR(VLOOKUP(A929, Data!$L$3:$N$123, 3),1)*Pension</f>
        <v>915097.39591990458</v>
      </c>
      <c r="C929" s="37">
        <f t="shared" si="182"/>
        <v>77.169062286105401</v>
      </c>
      <c r="D929" s="37">
        <f>IFERROR(VLOOKUP(A929,Data!$I$3:$J$1442,2),0)</f>
        <v>8.0300740999999995E-2</v>
      </c>
      <c r="E929" s="37">
        <f t="shared" si="183"/>
        <v>8.0100740999999989E-2</v>
      </c>
      <c r="F929" s="37">
        <f t="shared" si="188"/>
        <v>2.0677399673014693E-3</v>
      </c>
      <c r="G929" s="30">
        <f t="shared" si="189"/>
        <v>1892.1834595170831</v>
      </c>
      <c r="H929" s="38">
        <f t="shared" si="184"/>
        <v>172</v>
      </c>
      <c r="I929" s="39">
        <f t="shared" si="185"/>
        <v>172.79397672826832</v>
      </c>
      <c r="J929" s="40">
        <f t="shared" si="186"/>
        <v>77</v>
      </c>
      <c r="K929" s="43">
        <f>VLOOKUP(J929,Data!$Z$3:$AA$122,2)</f>
        <v>0</v>
      </c>
      <c r="L929" s="41">
        <f t="shared" si="187"/>
        <v>0.79397672826831922</v>
      </c>
      <c r="M929" s="43">
        <f>VLOOKUP(H929,Data!$P$3:$X$122,9)</f>
        <v>0</v>
      </c>
      <c r="N929" s="43">
        <f t="shared" si="190"/>
        <v>0</v>
      </c>
      <c r="O929" s="43">
        <f t="shared" si="191"/>
        <v>0</v>
      </c>
      <c r="P929" s="30">
        <f t="shared" si="192"/>
        <v>0</v>
      </c>
      <c r="Q929" s="31">
        <f t="shared" si="194"/>
        <v>848340.75061972369</v>
      </c>
    </row>
    <row r="930" spans="1:17" x14ac:dyDescent="0.25">
      <c r="A930" s="6">
        <f t="shared" si="193"/>
        <v>71497</v>
      </c>
      <c r="B930" s="30">
        <f>IFERROR(VLOOKUP(A930, Data!$L$3:$N$123, 3),1)*Pension</f>
        <v>915097.39591990458</v>
      </c>
      <c r="C930" s="37">
        <f t="shared" si="182"/>
        <v>77.251197809719372</v>
      </c>
      <c r="D930" s="37">
        <f>IFERROR(VLOOKUP(A930,Data!$I$3:$J$1442,2),0)</f>
        <v>8.0289789E-2</v>
      </c>
      <c r="E930" s="37">
        <f t="shared" si="183"/>
        <v>8.0089788999999995E-2</v>
      </c>
      <c r="F930" s="37">
        <f t="shared" si="188"/>
        <v>2.0559194039362514E-3</v>
      </c>
      <c r="G930" s="30">
        <f t="shared" si="189"/>
        <v>1881.366492763266</v>
      </c>
      <c r="H930" s="38">
        <f t="shared" si="184"/>
        <v>172</v>
      </c>
      <c r="I930" s="39">
        <f t="shared" si="185"/>
        <v>172.87611225188226</v>
      </c>
      <c r="J930" s="40">
        <f t="shared" si="186"/>
        <v>77</v>
      </c>
      <c r="K930" s="43">
        <f>VLOOKUP(J930,Data!$Z$3:$AA$122,2)</f>
        <v>0</v>
      </c>
      <c r="L930" s="41">
        <f t="shared" si="187"/>
        <v>0.87611225188226172</v>
      </c>
      <c r="M930" s="43">
        <f>VLOOKUP(H930,Data!$P$3:$X$122,9)</f>
        <v>0</v>
      </c>
      <c r="N930" s="43">
        <f t="shared" si="190"/>
        <v>0</v>
      </c>
      <c r="O930" s="43">
        <f t="shared" si="191"/>
        <v>0</v>
      </c>
      <c r="P930" s="30">
        <f t="shared" si="192"/>
        <v>0</v>
      </c>
      <c r="Q930" s="31">
        <f t="shared" si="194"/>
        <v>848340.75061972369</v>
      </c>
    </row>
    <row r="931" spans="1:17" x14ac:dyDescent="0.25">
      <c r="A931" s="6">
        <f t="shared" si="193"/>
        <v>71528</v>
      </c>
      <c r="B931" s="30">
        <f>IFERROR(VLOOKUP(A931, Data!$L$3:$N$123, 3),1)*Pension</f>
        <v>915097.39591990458</v>
      </c>
      <c r="C931" s="37">
        <f t="shared" si="182"/>
        <v>77.33607118412047</v>
      </c>
      <c r="D931" s="37">
        <f>IFERROR(VLOOKUP(A931,Data!$I$3:$J$1442,2),0)</f>
        <v>8.0278497000000004E-2</v>
      </c>
      <c r="E931" s="37">
        <f t="shared" si="183"/>
        <v>8.0078496999999998E-2</v>
      </c>
      <c r="F931" s="37">
        <f t="shared" si="188"/>
        <v>2.0437757085120189E-3</v>
      </c>
      <c r="G931" s="30">
        <f t="shared" si="189"/>
        <v>1870.2538287037064</v>
      </c>
      <c r="H931" s="38">
        <f t="shared" si="184"/>
        <v>172</v>
      </c>
      <c r="I931" s="39">
        <f t="shared" si="185"/>
        <v>172.96098562628336</v>
      </c>
      <c r="J931" s="40">
        <f t="shared" si="186"/>
        <v>77</v>
      </c>
      <c r="K931" s="43">
        <f>VLOOKUP(J931,Data!$Z$3:$AA$122,2)</f>
        <v>0</v>
      </c>
      <c r="L931" s="41">
        <f t="shared" si="187"/>
        <v>0.96098562628336026</v>
      </c>
      <c r="M931" s="43">
        <f>VLOOKUP(H931,Data!$P$3:$X$122,9)</f>
        <v>0</v>
      </c>
      <c r="N931" s="43">
        <f t="shared" si="190"/>
        <v>0</v>
      </c>
      <c r="O931" s="43">
        <f t="shared" si="191"/>
        <v>0</v>
      </c>
      <c r="P931" s="30">
        <f t="shared" si="192"/>
        <v>0</v>
      </c>
      <c r="Q931" s="31">
        <f t="shared" si="194"/>
        <v>848340.75061972369</v>
      </c>
    </row>
    <row r="932" spans="1:17" x14ac:dyDescent="0.25">
      <c r="A932" s="6">
        <f t="shared" si="193"/>
        <v>71558</v>
      </c>
      <c r="B932" s="30">
        <f>IFERROR(VLOOKUP(A932, Data!$L$3:$N$123, 3),1)*Pension</f>
        <v>915097.39591990458</v>
      </c>
      <c r="C932" s="37">
        <f t="shared" si="182"/>
        <v>77.418206707734427</v>
      </c>
      <c r="D932" s="37">
        <f>IFERROR(VLOOKUP(A932,Data!$I$3:$J$1442,2),0)</f>
        <v>8.0267592999999998E-2</v>
      </c>
      <c r="E932" s="37">
        <f t="shared" si="183"/>
        <v>8.0067592999999992E-2</v>
      </c>
      <c r="F932" s="37">
        <f t="shared" si="188"/>
        <v>2.0320920187674057E-3</v>
      </c>
      <c r="G932" s="30">
        <f t="shared" si="189"/>
        <v>1859.5621146436747</v>
      </c>
      <c r="H932" s="38">
        <f t="shared" si="184"/>
        <v>173</v>
      </c>
      <c r="I932" s="39">
        <f t="shared" si="185"/>
        <v>173.04312114989733</v>
      </c>
      <c r="J932" s="40">
        <f t="shared" si="186"/>
        <v>78</v>
      </c>
      <c r="K932" s="43">
        <f>VLOOKUP(J932,Data!$Z$3:$AA$122,2)</f>
        <v>0</v>
      </c>
      <c r="L932" s="41">
        <f t="shared" si="187"/>
        <v>4.3121149897331179E-2</v>
      </c>
      <c r="M932" s="43">
        <f>VLOOKUP(H932,Data!$P$3:$X$122,9)</f>
        <v>0</v>
      </c>
      <c r="N932" s="43">
        <f t="shared" si="190"/>
        <v>0</v>
      </c>
      <c r="O932" s="43">
        <f t="shared" si="191"/>
        <v>0</v>
      </c>
      <c r="P932" s="30">
        <f t="shared" si="192"/>
        <v>0</v>
      </c>
      <c r="Q932" s="31">
        <f t="shared" si="194"/>
        <v>848340.75061972369</v>
      </c>
    </row>
    <row r="933" spans="1:17" x14ac:dyDescent="0.25">
      <c r="A933" s="6">
        <f t="shared" si="193"/>
        <v>71589</v>
      </c>
      <c r="B933" s="30">
        <f>IFERROR(VLOOKUP(A933, Data!$L$3:$N$123, 3),1)*Pension</f>
        <v>960852.26571589941</v>
      </c>
      <c r="C933" s="37">
        <f t="shared" si="182"/>
        <v>77.503080082135526</v>
      </c>
      <c r="D933" s="37">
        <f>IFERROR(VLOOKUP(A933,Data!$I$3:$J$1442,2),0)</f>
        <v>8.0256349000000005E-2</v>
      </c>
      <c r="E933" s="37">
        <f t="shared" si="183"/>
        <v>8.0056348999999999E-2</v>
      </c>
      <c r="F933" s="37">
        <f t="shared" si="188"/>
        <v>2.0200891646438854E-3</v>
      </c>
      <c r="G933" s="30">
        <f t="shared" si="189"/>
        <v>1941.0072507962159</v>
      </c>
      <c r="H933" s="38">
        <f t="shared" si="184"/>
        <v>173</v>
      </c>
      <c r="I933" s="39">
        <f t="shared" si="185"/>
        <v>173.12799452429843</v>
      </c>
      <c r="J933" s="40">
        <f t="shared" si="186"/>
        <v>78</v>
      </c>
      <c r="K933" s="43">
        <f>VLOOKUP(J933,Data!$Z$3:$AA$122,2)</f>
        <v>0</v>
      </c>
      <c r="L933" s="41">
        <f t="shared" si="187"/>
        <v>0.12799452429842972</v>
      </c>
      <c r="M933" s="43">
        <f>VLOOKUP(H933,Data!$P$3:$X$122,9)</f>
        <v>0</v>
      </c>
      <c r="N933" s="43">
        <f t="shared" si="190"/>
        <v>0</v>
      </c>
      <c r="O933" s="43">
        <f t="shared" si="191"/>
        <v>0</v>
      </c>
      <c r="P933" s="30">
        <f t="shared" si="192"/>
        <v>0</v>
      </c>
      <c r="Q933" s="31">
        <f t="shared" si="194"/>
        <v>848340.75061972369</v>
      </c>
    </row>
    <row r="934" spans="1:17" x14ac:dyDescent="0.25">
      <c r="A934" s="6">
        <f t="shared" si="193"/>
        <v>71620</v>
      </c>
      <c r="B934" s="30">
        <f>IFERROR(VLOOKUP(A934, Data!$L$3:$N$123, 3),1)*Pension</f>
        <v>960852.26571589941</v>
      </c>
      <c r="C934" s="37">
        <f t="shared" si="182"/>
        <v>77.587953456536624</v>
      </c>
      <c r="D934" s="37">
        <f>IFERROR(VLOOKUP(A934,Data!$I$3:$J$1442,2),0)</f>
        <v>8.0245129999999998E-2</v>
      </c>
      <c r="E934" s="37">
        <f t="shared" si="183"/>
        <v>8.0045129999999992E-2</v>
      </c>
      <c r="F934" s="37">
        <f t="shared" si="188"/>
        <v>2.0081571447794883E-3</v>
      </c>
      <c r="G934" s="30">
        <f t="shared" si="189"/>
        <v>1929.5423424749429</v>
      </c>
      <c r="H934" s="38">
        <f t="shared" si="184"/>
        <v>173</v>
      </c>
      <c r="I934" s="39">
        <f t="shared" si="185"/>
        <v>173.21286789869953</v>
      </c>
      <c r="J934" s="40">
        <f t="shared" si="186"/>
        <v>78</v>
      </c>
      <c r="K934" s="43">
        <f>VLOOKUP(J934,Data!$Z$3:$AA$122,2)</f>
        <v>0</v>
      </c>
      <c r="L934" s="41">
        <f t="shared" si="187"/>
        <v>0.21286789869952827</v>
      </c>
      <c r="M934" s="43">
        <f>VLOOKUP(H934,Data!$P$3:$X$122,9)</f>
        <v>0</v>
      </c>
      <c r="N934" s="43">
        <f t="shared" si="190"/>
        <v>0</v>
      </c>
      <c r="O934" s="43">
        <f t="shared" si="191"/>
        <v>0</v>
      </c>
      <c r="P934" s="30">
        <f t="shared" si="192"/>
        <v>0</v>
      </c>
      <c r="Q934" s="31">
        <f t="shared" si="194"/>
        <v>848340.75061972369</v>
      </c>
    </row>
    <row r="935" spans="1:17" x14ac:dyDescent="0.25">
      <c r="A935" s="6">
        <f t="shared" si="193"/>
        <v>71649</v>
      </c>
      <c r="B935" s="30">
        <f>IFERROR(VLOOKUP(A935, Data!$L$3:$N$123, 3),1)*Pension</f>
        <v>960852.26571589941</v>
      </c>
      <c r="C935" s="37">
        <f t="shared" si="182"/>
        <v>77.667351129363453</v>
      </c>
      <c r="D935" s="37">
        <f>IFERROR(VLOOKUP(A935,Data!$I$3:$J$1442,2),0)</f>
        <v>8.0234657000000001E-2</v>
      </c>
      <c r="E935" s="37">
        <f t="shared" si="183"/>
        <v>8.0034656999999995E-2</v>
      </c>
      <c r="F935" s="37">
        <f t="shared" si="188"/>
        <v>1.9970587462362099E-3</v>
      </c>
      <c r="G935" s="30">
        <f t="shared" si="189"/>
        <v>1918.8784210888157</v>
      </c>
      <c r="H935" s="38">
        <f t="shared" si="184"/>
        <v>173</v>
      </c>
      <c r="I935" s="39">
        <f t="shared" si="185"/>
        <v>173.29226557152634</v>
      </c>
      <c r="J935" s="40">
        <f t="shared" si="186"/>
        <v>78</v>
      </c>
      <c r="K935" s="43">
        <f>VLOOKUP(J935,Data!$Z$3:$AA$122,2)</f>
        <v>0</v>
      </c>
      <c r="L935" s="41">
        <f t="shared" si="187"/>
        <v>0.29226557152634314</v>
      </c>
      <c r="M935" s="43">
        <f>VLOOKUP(H935,Data!$P$3:$X$122,9)</f>
        <v>0</v>
      </c>
      <c r="N935" s="43">
        <f t="shared" si="190"/>
        <v>0</v>
      </c>
      <c r="O935" s="43">
        <f t="shared" si="191"/>
        <v>0</v>
      </c>
      <c r="P935" s="30">
        <f t="shared" si="192"/>
        <v>0</v>
      </c>
      <c r="Q935" s="31">
        <f t="shared" si="194"/>
        <v>848340.75061972369</v>
      </c>
    </row>
    <row r="936" spans="1:17" x14ac:dyDescent="0.25">
      <c r="A936" s="6">
        <f t="shared" si="193"/>
        <v>71680</v>
      </c>
      <c r="B936" s="30">
        <f>IFERROR(VLOOKUP(A936, Data!$L$3:$N$123, 3),1)*Pension</f>
        <v>960852.26571589941</v>
      </c>
      <c r="C936" s="37">
        <f t="shared" si="182"/>
        <v>77.752224503764552</v>
      </c>
      <c r="D936" s="37">
        <f>IFERROR(VLOOKUP(A936,Data!$I$3:$J$1442,2),0)</f>
        <v>8.0223485999999997E-2</v>
      </c>
      <c r="E936" s="37">
        <f t="shared" si="183"/>
        <v>8.0023485999999991E-2</v>
      </c>
      <c r="F936" s="37">
        <f t="shared" si="188"/>
        <v>1.9852626642342221E-3</v>
      </c>
      <c r="G936" s="30">
        <f t="shared" si="189"/>
        <v>1907.5441289706353</v>
      </c>
      <c r="H936" s="38">
        <f t="shared" si="184"/>
        <v>173</v>
      </c>
      <c r="I936" s="39">
        <f t="shared" si="185"/>
        <v>173.37713894592744</v>
      </c>
      <c r="J936" s="40">
        <f t="shared" si="186"/>
        <v>78</v>
      </c>
      <c r="K936" s="43">
        <f>VLOOKUP(J936,Data!$Z$3:$AA$122,2)</f>
        <v>0</v>
      </c>
      <c r="L936" s="41">
        <f t="shared" si="187"/>
        <v>0.37713894592744168</v>
      </c>
      <c r="M936" s="43">
        <f>VLOOKUP(H936,Data!$P$3:$X$122,9)</f>
        <v>0</v>
      </c>
      <c r="N936" s="43">
        <f t="shared" si="190"/>
        <v>0</v>
      </c>
      <c r="O936" s="43">
        <f t="shared" si="191"/>
        <v>0</v>
      </c>
      <c r="P936" s="30">
        <f t="shared" si="192"/>
        <v>0</v>
      </c>
      <c r="Q936" s="31">
        <f t="shared" si="194"/>
        <v>848340.75061972369</v>
      </c>
    </row>
    <row r="937" spans="1:17" x14ac:dyDescent="0.25">
      <c r="A937" s="6">
        <f t="shared" si="193"/>
        <v>71710</v>
      </c>
      <c r="B937" s="30">
        <f>IFERROR(VLOOKUP(A937, Data!$L$3:$N$123, 3),1)*Pension</f>
        <v>960852.26571589941</v>
      </c>
      <c r="C937" s="37">
        <f t="shared" si="182"/>
        <v>77.834360027378509</v>
      </c>
      <c r="D937" s="37">
        <f>IFERROR(VLOOKUP(A937,Data!$I$3:$J$1442,2),0)</f>
        <v>8.0212696999999999E-2</v>
      </c>
      <c r="E937" s="37">
        <f t="shared" si="183"/>
        <v>8.0012696999999994E-2</v>
      </c>
      <c r="F937" s="37">
        <f t="shared" si="188"/>
        <v>1.9739136846140797E-3</v>
      </c>
      <c r="G937" s="30">
        <f t="shared" si="189"/>
        <v>1896.6394361890577</v>
      </c>
      <c r="H937" s="38">
        <f t="shared" si="184"/>
        <v>173</v>
      </c>
      <c r="I937" s="39">
        <f t="shared" si="185"/>
        <v>173.45927446954141</v>
      </c>
      <c r="J937" s="40">
        <f t="shared" si="186"/>
        <v>78</v>
      </c>
      <c r="K937" s="43">
        <f>VLOOKUP(J937,Data!$Z$3:$AA$122,2)</f>
        <v>0</v>
      </c>
      <c r="L937" s="41">
        <f t="shared" si="187"/>
        <v>0.4592744695414126</v>
      </c>
      <c r="M937" s="43">
        <f>VLOOKUP(H937,Data!$P$3:$X$122,9)</f>
        <v>0</v>
      </c>
      <c r="N937" s="43">
        <f t="shared" si="190"/>
        <v>0</v>
      </c>
      <c r="O937" s="43">
        <f t="shared" si="191"/>
        <v>0</v>
      </c>
      <c r="P937" s="30">
        <f t="shared" si="192"/>
        <v>0</v>
      </c>
      <c r="Q937" s="31">
        <f t="shared" si="194"/>
        <v>848340.75061972369</v>
      </c>
    </row>
    <row r="938" spans="1:17" x14ac:dyDescent="0.25">
      <c r="A938" s="6">
        <f t="shared" si="193"/>
        <v>71741</v>
      </c>
      <c r="B938" s="30">
        <f>IFERROR(VLOOKUP(A938, Data!$L$3:$N$123, 3),1)*Pension</f>
        <v>960852.26571589941</v>
      </c>
      <c r="C938" s="37">
        <f t="shared" si="182"/>
        <v>77.919233401779607</v>
      </c>
      <c r="D938" s="37">
        <f>IFERROR(VLOOKUP(A938,Data!$I$3:$J$1442,2),0)</f>
        <v>8.0201573999999998E-2</v>
      </c>
      <c r="E938" s="37">
        <f t="shared" si="183"/>
        <v>8.0001573999999992E-2</v>
      </c>
      <c r="F938" s="37">
        <f t="shared" si="188"/>
        <v>1.9622542932931186E-3</v>
      </c>
      <c r="G938" s="30">
        <f t="shared" si="189"/>
        <v>1885.436483621444</v>
      </c>
      <c r="H938" s="38">
        <f t="shared" si="184"/>
        <v>173</v>
      </c>
      <c r="I938" s="39">
        <f t="shared" si="185"/>
        <v>173.54414784394251</v>
      </c>
      <c r="J938" s="40">
        <f t="shared" si="186"/>
        <v>78</v>
      </c>
      <c r="K938" s="43">
        <f>VLOOKUP(J938,Data!$Z$3:$AA$122,2)</f>
        <v>0</v>
      </c>
      <c r="L938" s="41">
        <f t="shared" si="187"/>
        <v>0.54414784394251114</v>
      </c>
      <c r="M938" s="43">
        <f>VLOOKUP(H938,Data!$P$3:$X$122,9)</f>
        <v>0</v>
      </c>
      <c r="N938" s="43">
        <f t="shared" si="190"/>
        <v>0</v>
      </c>
      <c r="O938" s="43">
        <f t="shared" si="191"/>
        <v>0</v>
      </c>
      <c r="P938" s="30">
        <f t="shared" si="192"/>
        <v>0</v>
      </c>
      <c r="Q938" s="31">
        <f t="shared" si="194"/>
        <v>848340.75061972369</v>
      </c>
    </row>
    <row r="939" spans="1:17" x14ac:dyDescent="0.25">
      <c r="A939" s="6">
        <f t="shared" si="193"/>
        <v>71771</v>
      </c>
      <c r="B939" s="30">
        <f>IFERROR(VLOOKUP(A939, Data!$L$3:$N$123, 3),1)*Pension</f>
        <v>960852.26571589941</v>
      </c>
      <c r="C939" s="37">
        <f t="shared" si="182"/>
        <v>78.001368925393564</v>
      </c>
      <c r="D939" s="37">
        <f>IFERROR(VLOOKUP(A939,Data!$I$3:$J$1442,2),0)</f>
        <v>8.0190832000000004E-2</v>
      </c>
      <c r="E939" s="37">
        <f t="shared" si="183"/>
        <v>7.9990831999999998E-2</v>
      </c>
      <c r="F939" s="37">
        <f t="shared" si="188"/>
        <v>1.9510367178923447E-3</v>
      </c>
      <c r="G939" s="30">
        <f t="shared" si="189"/>
        <v>1874.6580508817715</v>
      </c>
      <c r="H939" s="38">
        <f t="shared" si="184"/>
        <v>173</v>
      </c>
      <c r="I939" s="39">
        <f t="shared" si="185"/>
        <v>173.62628336755648</v>
      </c>
      <c r="J939" s="40">
        <f t="shared" si="186"/>
        <v>78</v>
      </c>
      <c r="K939" s="43">
        <f>VLOOKUP(J939,Data!$Z$3:$AA$122,2)</f>
        <v>0</v>
      </c>
      <c r="L939" s="41">
        <f t="shared" si="187"/>
        <v>0.62628336755648206</v>
      </c>
      <c r="M939" s="43">
        <f>VLOOKUP(H939,Data!$P$3:$X$122,9)</f>
        <v>0</v>
      </c>
      <c r="N939" s="43">
        <f t="shared" si="190"/>
        <v>0</v>
      </c>
      <c r="O939" s="43">
        <f t="shared" si="191"/>
        <v>0</v>
      </c>
      <c r="P939" s="30">
        <f t="shared" si="192"/>
        <v>0</v>
      </c>
      <c r="Q939" s="31">
        <f t="shared" si="194"/>
        <v>848340.75061972369</v>
      </c>
    </row>
    <row r="940" spans="1:17" x14ac:dyDescent="0.25">
      <c r="A940" s="6">
        <f t="shared" si="193"/>
        <v>71802</v>
      </c>
      <c r="B940" s="30">
        <f>IFERROR(VLOOKUP(A940, Data!$L$3:$N$123, 3),1)*Pension</f>
        <v>960852.26571589941</v>
      </c>
      <c r="C940" s="37">
        <f t="shared" si="182"/>
        <v>78.086242299794662</v>
      </c>
      <c r="D940" s="37">
        <f>IFERROR(VLOOKUP(A940,Data!$I$3:$J$1442,2),0)</f>
        <v>8.0179756000000005E-2</v>
      </c>
      <c r="E940" s="37">
        <f t="shared" si="183"/>
        <v>7.9979755999999999E-2</v>
      </c>
      <c r="F940" s="37">
        <f t="shared" si="188"/>
        <v>1.9395125388882424E-3</v>
      </c>
      <c r="G940" s="30">
        <f t="shared" si="189"/>
        <v>1863.5850173751642</v>
      </c>
      <c r="H940" s="38">
        <f t="shared" si="184"/>
        <v>173</v>
      </c>
      <c r="I940" s="39">
        <f t="shared" si="185"/>
        <v>173.71115674195755</v>
      </c>
      <c r="J940" s="40">
        <f t="shared" si="186"/>
        <v>78</v>
      </c>
      <c r="K940" s="43">
        <f>VLOOKUP(J940,Data!$Z$3:$AA$122,2)</f>
        <v>0</v>
      </c>
      <c r="L940" s="41">
        <f t="shared" si="187"/>
        <v>0.71115674195755219</v>
      </c>
      <c r="M940" s="43">
        <f>VLOOKUP(H940,Data!$P$3:$X$122,9)</f>
        <v>0</v>
      </c>
      <c r="N940" s="43">
        <f t="shared" si="190"/>
        <v>0</v>
      </c>
      <c r="O940" s="43">
        <f t="shared" si="191"/>
        <v>0</v>
      </c>
      <c r="P940" s="30">
        <f t="shared" si="192"/>
        <v>0</v>
      </c>
      <c r="Q940" s="31">
        <f t="shared" si="194"/>
        <v>848340.75061972369</v>
      </c>
    </row>
    <row r="941" spans="1:17" x14ac:dyDescent="0.25">
      <c r="A941" s="6">
        <f t="shared" si="193"/>
        <v>71833</v>
      </c>
      <c r="B941" s="30">
        <f>IFERROR(VLOOKUP(A941, Data!$L$3:$N$123, 3),1)*Pension</f>
        <v>960852.26571589941</v>
      </c>
      <c r="C941" s="37">
        <f t="shared" si="182"/>
        <v>78.171115674195761</v>
      </c>
      <c r="D941" s="37">
        <f>IFERROR(VLOOKUP(A941,Data!$I$3:$J$1442,2),0)</f>
        <v>8.0168702999999994E-2</v>
      </c>
      <c r="E941" s="37">
        <f t="shared" si="183"/>
        <v>7.9968702999999988E-2</v>
      </c>
      <c r="F941" s="37">
        <f t="shared" si="188"/>
        <v>1.9280565881420843E-3</v>
      </c>
      <c r="G941" s="30">
        <f t="shared" si="189"/>
        <v>1852.5775411447885</v>
      </c>
      <c r="H941" s="38">
        <f t="shared" si="184"/>
        <v>173</v>
      </c>
      <c r="I941" s="39">
        <f t="shared" si="185"/>
        <v>173.79603011635865</v>
      </c>
      <c r="J941" s="40">
        <f t="shared" si="186"/>
        <v>78</v>
      </c>
      <c r="K941" s="43">
        <f>VLOOKUP(J941,Data!$Z$3:$AA$122,2)</f>
        <v>0</v>
      </c>
      <c r="L941" s="41">
        <f t="shared" si="187"/>
        <v>0.79603011635865073</v>
      </c>
      <c r="M941" s="43">
        <f>VLOOKUP(H941,Data!$P$3:$X$122,9)</f>
        <v>0</v>
      </c>
      <c r="N941" s="43">
        <f t="shared" si="190"/>
        <v>0</v>
      </c>
      <c r="O941" s="43">
        <f t="shared" si="191"/>
        <v>0</v>
      </c>
      <c r="P941" s="30">
        <f t="shared" si="192"/>
        <v>0</v>
      </c>
      <c r="Q941" s="31">
        <f t="shared" si="194"/>
        <v>848340.75061972369</v>
      </c>
    </row>
    <row r="942" spans="1:17" x14ac:dyDescent="0.25">
      <c r="A942" s="6">
        <f t="shared" si="193"/>
        <v>71863</v>
      </c>
      <c r="B942" s="30">
        <f>IFERROR(VLOOKUP(A942, Data!$L$3:$N$123, 3),1)*Pension</f>
        <v>960852.26571589941</v>
      </c>
      <c r="C942" s="37">
        <f t="shared" si="182"/>
        <v>78.253251197809718</v>
      </c>
      <c r="D942" s="37">
        <f>IFERROR(VLOOKUP(A942,Data!$I$3:$J$1442,2),0)</f>
        <v>8.0158031000000005E-2</v>
      </c>
      <c r="E942" s="37">
        <f t="shared" si="183"/>
        <v>7.9958030999999999E-2</v>
      </c>
      <c r="F942" s="37">
        <f t="shared" si="188"/>
        <v>1.9170343717220344E-3</v>
      </c>
      <c r="G942" s="30">
        <f t="shared" si="189"/>
        <v>1841.9868195243725</v>
      </c>
      <c r="H942" s="38">
        <f t="shared" si="184"/>
        <v>173</v>
      </c>
      <c r="I942" s="39">
        <f t="shared" si="185"/>
        <v>173.87816563997262</v>
      </c>
      <c r="J942" s="40">
        <f t="shared" si="186"/>
        <v>78</v>
      </c>
      <c r="K942" s="43">
        <f>VLOOKUP(J942,Data!$Z$3:$AA$122,2)</f>
        <v>0</v>
      </c>
      <c r="L942" s="41">
        <f t="shared" si="187"/>
        <v>0.87816563997262165</v>
      </c>
      <c r="M942" s="43">
        <f>VLOOKUP(H942,Data!$P$3:$X$122,9)</f>
        <v>0</v>
      </c>
      <c r="N942" s="43">
        <f t="shared" si="190"/>
        <v>0</v>
      </c>
      <c r="O942" s="43">
        <f t="shared" si="191"/>
        <v>0</v>
      </c>
      <c r="P942" s="30">
        <f t="shared" si="192"/>
        <v>0</v>
      </c>
      <c r="Q942" s="31">
        <f t="shared" si="194"/>
        <v>848340.75061972369</v>
      </c>
    </row>
    <row r="943" spans="1:17" x14ac:dyDescent="0.25">
      <c r="A943" s="6">
        <f t="shared" si="193"/>
        <v>71894</v>
      </c>
      <c r="B943" s="30">
        <f>IFERROR(VLOOKUP(A943, Data!$L$3:$N$123, 3),1)*Pension</f>
        <v>960852.26571589941</v>
      </c>
      <c r="C943" s="37">
        <f t="shared" si="182"/>
        <v>78.338124572210816</v>
      </c>
      <c r="D943" s="37">
        <f>IFERROR(VLOOKUP(A943,Data!$I$3:$J$1442,2),0)</f>
        <v>8.0147025999999996E-2</v>
      </c>
      <c r="E943" s="37">
        <f t="shared" si="183"/>
        <v>7.994702599999999E-2</v>
      </c>
      <c r="F943" s="37">
        <f t="shared" si="188"/>
        <v>1.9057110566446181E-3</v>
      </c>
      <c r="G943" s="30">
        <f t="shared" si="189"/>
        <v>1831.1067865768221</v>
      </c>
      <c r="H943" s="38">
        <f t="shared" si="184"/>
        <v>173</v>
      </c>
      <c r="I943" s="39">
        <f t="shared" si="185"/>
        <v>173.96303901437372</v>
      </c>
      <c r="J943" s="40">
        <f t="shared" si="186"/>
        <v>78</v>
      </c>
      <c r="K943" s="43">
        <f>VLOOKUP(J943,Data!$Z$3:$AA$122,2)</f>
        <v>0</v>
      </c>
      <c r="L943" s="41">
        <f t="shared" si="187"/>
        <v>0.96303901437372019</v>
      </c>
      <c r="M943" s="43">
        <f>VLOOKUP(H943,Data!$P$3:$X$122,9)</f>
        <v>0</v>
      </c>
      <c r="N943" s="43">
        <f t="shared" si="190"/>
        <v>0</v>
      </c>
      <c r="O943" s="43">
        <f t="shared" si="191"/>
        <v>0</v>
      </c>
      <c r="P943" s="30">
        <f t="shared" si="192"/>
        <v>0</v>
      </c>
      <c r="Q943" s="31">
        <f t="shared" si="194"/>
        <v>848340.75061972369</v>
      </c>
    </row>
    <row r="944" spans="1:17" x14ac:dyDescent="0.25">
      <c r="A944" s="6">
        <f t="shared" si="193"/>
        <v>71924</v>
      </c>
      <c r="B944" s="30">
        <f>IFERROR(VLOOKUP(A944, Data!$L$3:$N$123, 3),1)*Pension</f>
        <v>960852.26571589941</v>
      </c>
      <c r="C944" s="37">
        <f t="shared" si="182"/>
        <v>78.420260095824773</v>
      </c>
      <c r="D944" s="37">
        <f>IFERROR(VLOOKUP(A944,Data!$I$3:$J$1442,2),0)</f>
        <v>8.0136397999999998E-2</v>
      </c>
      <c r="E944" s="37">
        <f t="shared" si="183"/>
        <v>7.9936397999999992E-2</v>
      </c>
      <c r="F944" s="37">
        <f t="shared" si="188"/>
        <v>1.8948167967778556E-3</v>
      </c>
      <c r="G944" s="30">
        <f t="shared" si="189"/>
        <v>1820.6390123005456</v>
      </c>
      <c r="H944" s="38">
        <f t="shared" si="184"/>
        <v>174</v>
      </c>
      <c r="I944" s="39">
        <f t="shared" si="185"/>
        <v>174.04517453798769</v>
      </c>
      <c r="J944" s="40">
        <f t="shared" si="186"/>
        <v>79</v>
      </c>
      <c r="K944" s="43">
        <f>VLOOKUP(J944,Data!$Z$3:$AA$122,2)</f>
        <v>0</v>
      </c>
      <c r="L944" s="41">
        <f t="shared" si="187"/>
        <v>4.517453798769111E-2</v>
      </c>
      <c r="M944" s="43">
        <f>VLOOKUP(H944,Data!$P$3:$X$122,9)</f>
        <v>0</v>
      </c>
      <c r="N944" s="43">
        <f t="shared" si="190"/>
        <v>0</v>
      </c>
      <c r="O944" s="43">
        <f t="shared" si="191"/>
        <v>0</v>
      </c>
      <c r="P944" s="30">
        <f t="shared" si="192"/>
        <v>0</v>
      </c>
      <c r="Q944" s="31">
        <f t="shared" si="194"/>
        <v>848340.75061972369</v>
      </c>
    </row>
    <row r="945" spans="1:17" x14ac:dyDescent="0.25">
      <c r="A945" s="6">
        <f t="shared" si="193"/>
        <v>71955</v>
      </c>
      <c r="B945" s="30">
        <f>IFERROR(VLOOKUP(A945, Data!$L$3:$N$123, 3),1)*Pension</f>
        <v>1008894.8790016947</v>
      </c>
      <c r="C945" s="37">
        <f t="shared" si="182"/>
        <v>78.505133470225871</v>
      </c>
      <c r="D945" s="37">
        <f>IFERROR(VLOOKUP(A945,Data!$I$3:$J$1442,2),0)</f>
        <v>8.0125440000000006E-2</v>
      </c>
      <c r="E945" s="37">
        <f t="shared" si="183"/>
        <v>7.992544E-2</v>
      </c>
      <c r="F945" s="37">
        <f t="shared" si="188"/>
        <v>1.8836246842280501E-3</v>
      </c>
      <c r="G945" s="30">
        <f t="shared" si="189"/>
        <v>1900.379297878864</v>
      </c>
      <c r="H945" s="38">
        <f t="shared" si="184"/>
        <v>174</v>
      </c>
      <c r="I945" s="39">
        <f t="shared" si="185"/>
        <v>174.13004791238876</v>
      </c>
      <c r="J945" s="40">
        <f t="shared" si="186"/>
        <v>79</v>
      </c>
      <c r="K945" s="43">
        <f>VLOOKUP(J945,Data!$Z$3:$AA$122,2)</f>
        <v>0</v>
      </c>
      <c r="L945" s="41">
        <f t="shared" si="187"/>
        <v>0.13004791238876123</v>
      </c>
      <c r="M945" s="43">
        <f>VLOOKUP(H945,Data!$P$3:$X$122,9)</f>
        <v>0</v>
      </c>
      <c r="N945" s="43">
        <f t="shared" si="190"/>
        <v>0</v>
      </c>
      <c r="O945" s="43">
        <f t="shared" si="191"/>
        <v>0</v>
      </c>
      <c r="P945" s="30">
        <f t="shared" si="192"/>
        <v>0</v>
      </c>
      <c r="Q945" s="31">
        <f t="shared" si="194"/>
        <v>848340.75061972369</v>
      </c>
    </row>
    <row r="946" spans="1:17" x14ac:dyDescent="0.25">
      <c r="A946" s="6">
        <f t="shared" si="193"/>
        <v>71986</v>
      </c>
      <c r="B946" s="30">
        <f>IFERROR(VLOOKUP(A946, Data!$L$3:$N$123, 3),1)*Pension</f>
        <v>1008894.8790016947</v>
      </c>
      <c r="C946" s="37">
        <f t="shared" si="182"/>
        <v>78.59000684462697</v>
      </c>
      <c r="D946" s="37">
        <f>IFERROR(VLOOKUP(A946,Data!$I$3:$J$1442,2),0)</f>
        <v>8.0114505000000003E-2</v>
      </c>
      <c r="E946" s="37">
        <f t="shared" si="183"/>
        <v>7.9914504999999997E-2</v>
      </c>
      <c r="F946" s="37">
        <f t="shared" si="188"/>
        <v>1.872498778452411E-3</v>
      </c>
      <c r="G946" s="30">
        <f t="shared" si="189"/>
        <v>1889.1544285175664</v>
      </c>
      <c r="H946" s="38">
        <f t="shared" si="184"/>
        <v>174</v>
      </c>
      <c r="I946" s="39">
        <f t="shared" si="185"/>
        <v>174.21492128678986</v>
      </c>
      <c r="J946" s="40">
        <f t="shared" si="186"/>
        <v>79</v>
      </c>
      <c r="K946" s="43">
        <f>VLOOKUP(J946,Data!$Z$3:$AA$122,2)</f>
        <v>0</v>
      </c>
      <c r="L946" s="41">
        <f t="shared" si="187"/>
        <v>0.21492128678985978</v>
      </c>
      <c r="M946" s="43">
        <f>VLOOKUP(H946,Data!$P$3:$X$122,9)</f>
        <v>0</v>
      </c>
      <c r="N946" s="43">
        <f t="shared" si="190"/>
        <v>0</v>
      </c>
      <c r="O946" s="43">
        <f t="shared" si="191"/>
        <v>0</v>
      </c>
      <c r="P946" s="30">
        <f t="shared" si="192"/>
        <v>0</v>
      </c>
      <c r="Q946" s="31">
        <f t="shared" si="194"/>
        <v>848340.75061972369</v>
      </c>
    </row>
    <row r="947" spans="1:17" x14ac:dyDescent="0.25">
      <c r="A947" s="6">
        <f t="shared" si="193"/>
        <v>72014</v>
      </c>
      <c r="B947" s="30">
        <f>IFERROR(VLOOKUP(A947, Data!$L$3:$N$123, 3),1)*Pension</f>
        <v>1008894.8790016947</v>
      </c>
      <c r="C947" s="37">
        <f t="shared" si="182"/>
        <v>78.666666666666671</v>
      </c>
      <c r="D947" s="37">
        <f>IFERROR(VLOOKUP(A947,Data!$I$3:$J$1442,2),0)</f>
        <v>8.0104649E-2</v>
      </c>
      <c r="E947" s="37">
        <f t="shared" si="183"/>
        <v>7.9904648999999994E-2</v>
      </c>
      <c r="F947" s="37">
        <f t="shared" si="188"/>
        <v>1.8625059967205706E-3</v>
      </c>
      <c r="G947" s="30">
        <f t="shared" si="189"/>
        <v>1879.072762201331</v>
      </c>
      <c r="H947" s="38">
        <f t="shared" si="184"/>
        <v>174</v>
      </c>
      <c r="I947" s="39">
        <f t="shared" si="185"/>
        <v>174.29158110882958</v>
      </c>
      <c r="J947" s="40">
        <f t="shared" si="186"/>
        <v>79</v>
      </c>
      <c r="K947" s="43">
        <f>VLOOKUP(J947,Data!$Z$3:$AA$122,2)</f>
        <v>0</v>
      </c>
      <c r="L947" s="41">
        <f t="shared" si="187"/>
        <v>0.29158110882957544</v>
      </c>
      <c r="M947" s="43">
        <f>VLOOKUP(H947,Data!$P$3:$X$122,9)</f>
        <v>0</v>
      </c>
      <c r="N947" s="43">
        <f t="shared" si="190"/>
        <v>0</v>
      </c>
      <c r="O947" s="43">
        <f t="shared" si="191"/>
        <v>0</v>
      </c>
      <c r="P947" s="30">
        <f t="shared" si="192"/>
        <v>0</v>
      </c>
      <c r="Q947" s="31">
        <f t="shared" si="194"/>
        <v>848340.75061972369</v>
      </c>
    </row>
    <row r="948" spans="1:17" x14ac:dyDescent="0.25">
      <c r="A948" s="6">
        <f t="shared" si="193"/>
        <v>72045</v>
      </c>
      <c r="B948" s="30">
        <f>IFERROR(VLOOKUP(A948, Data!$L$3:$N$123, 3),1)*Pension</f>
        <v>1008894.8790016947</v>
      </c>
      <c r="C948" s="37">
        <f t="shared" si="182"/>
        <v>78.751540041067756</v>
      </c>
      <c r="D948" s="37">
        <f>IFERROR(VLOOKUP(A948,Data!$I$3:$J$1442,2),0)</f>
        <v>8.0093759E-2</v>
      </c>
      <c r="E948" s="37">
        <f t="shared" si="183"/>
        <v>7.9893758999999995E-2</v>
      </c>
      <c r="F948" s="37">
        <f t="shared" si="188"/>
        <v>1.8515048077790541E-3</v>
      </c>
      <c r="G948" s="30">
        <f t="shared" si="189"/>
        <v>1867.9737190153048</v>
      </c>
      <c r="H948" s="38">
        <f t="shared" si="184"/>
        <v>174</v>
      </c>
      <c r="I948" s="39">
        <f t="shared" si="185"/>
        <v>174.37645448323067</v>
      </c>
      <c r="J948" s="40">
        <f t="shared" si="186"/>
        <v>79</v>
      </c>
      <c r="K948" s="43">
        <f>VLOOKUP(J948,Data!$Z$3:$AA$122,2)</f>
        <v>0</v>
      </c>
      <c r="L948" s="41">
        <f t="shared" si="187"/>
        <v>0.37645448323067399</v>
      </c>
      <c r="M948" s="43">
        <f>VLOOKUP(H948,Data!$P$3:$X$122,9)</f>
        <v>0</v>
      </c>
      <c r="N948" s="43">
        <f t="shared" si="190"/>
        <v>0</v>
      </c>
      <c r="O948" s="43">
        <f t="shared" si="191"/>
        <v>0</v>
      </c>
      <c r="P948" s="30">
        <f t="shared" si="192"/>
        <v>0</v>
      </c>
      <c r="Q948" s="31">
        <f t="shared" si="194"/>
        <v>848340.75061972369</v>
      </c>
    </row>
    <row r="949" spans="1:17" x14ac:dyDescent="0.25">
      <c r="A949" s="6">
        <f t="shared" si="193"/>
        <v>72075</v>
      </c>
      <c r="B949" s="30">
        <f>IFERROR(VLOOKUP(A949, Data!$L$3:$N$123, 3),1)*Pension</f>
        <v>1008894.8790016947</v>
      </c>
      <c r="C949" s="37">
        <f t="shared" si="182"/>
        <v>78.833675564681727</v>
      </c>
      <c r="D949" s="37">
        <f>IFERROR(VLOOKUP(A949,Data!$I$3:$J$1442,2),0)</f>
        <v>8.0083242999999998E-2</v>
      </c>
      <c r="E949" s="37">
        <f t="shared" si="183"/>
        <v>7.9883242999999993E-2</v>
      </c>
      <c r="F949" s="37">
        <f t="shared" si="188"/>
        <v>1.840920314066427E-3</v>
      </c>
      <c r="G949" s="30">
        <f t="shared" si="189"/>
        <v>1857.2950775118097</v>
      </c>
      <c r="H949" s="38">
        <f t="shared" si="184"/>
        <v>174</v>
      </c>
      <c r="I949" s="39">
        <f t="shared" si="185"/>
        <v>174.45859000684462</v>
      </c>
      <c r="J949" s="40">
        <f t="shared" si="186"/>
        <v>79</v>
      </c>
      <c r="K949" s="43">
        <f>VLOOKUP(J949,Data!$Z$3:$AA$122,2)</f>
        <v>0</v>
      </c>
      <c r="L949" s="41">
        <f t="shared" si="187"/>
        <v>0.45859000684461648</v>
      </c>
      <c r="M949" s="43">
        <f>VLOOKUP(H949,Data!$P$3:$X$122,9)</f>
        <v>0</v>
      </c>
      <c r="N949" s="43">
        <f t="shared" si="190"/>
        <v>0</v>
      </c>
      <c r="O949" s="43">
        <f t="shared" si="191"/>
        <v>0</v>
      </c>
      <c r="P949" s="30">
        <f t="shared" si="192"/>
        <v>0</v>
      </c>
      <c r="Q949" s="31">
        <f t="shared" si="194"/>
        <v>848340.75061972369</v>
      </c>
    </row>
    <row r="950" spans="1:17" x14ac:dyDescent="0.25">
      <c r="A950" s="6">
        <f t="shared" si="193"/>
        <v>72106</v>
      </c>
      <c r="B950" s="30">
        <f>IFERROR(VLOOKUP(A950, Data!$L$3:$N$123, 3),1)*Pension</f>
        <v>1008894.8790016947</v>
      </c>
      <c r="C950" s="37">
        <f t="shared" si="182"/>
        <v>78.918548939082825</v>
      </c>
      <c r="D950" s="37">
        <f>IFERROR(VLOOKUP(A950,Data!$I$3:$J$1442,2),0)</f>
        <v>8.0072400000000002E-2</v>
      </c>
      <c r="E950" s="37">
        <f t="shared" si="183"/>
        <v>7.9872399999999996E-2</v>
      </c>
      <c r="F950" s="37">
        <f t="shared" si="188"/>
        <v>1.8300464896301649E-3</v>
      </c>
      <c r="G950" s="30">
        <f t="shared" si="189"/>
        <v>1846.3245317229014</v>
      </c>
      <c r="H950" s="38">
        <f t="shared" si="184"/>
        <v>174</v>
      </c>
      <c r="I950" s="39">
        <f t="shared" si="185"/>
        <v>174.54346338124572</v>
      </c>
      <c r="J950" s="40">
        <f t="shared" si="186"/>
        <v>79</v>
      </c>
      <c r="K950" s="43">
        <f>VLOOKUP(J950,Data!$Z$3:$AA$122,2)</f>
        <v>0</v>
      </c>
      <c r="L950" s="41">
        <f t="shared" si="187"/>
        <v>0.54346338124571503</v>
      </c>
      <c r="M950" s="43">
        <f>VLOOKUP(H950,Data!$P$3:$X$122,9)</f>
        <v>0</v>
      </c>
      <c r="N950" s="43">
        <f t="shared" si="190"/>
        <v>0</v>
      </c>
      <c r="O950" s="43">
        <f t="shared" si="191"/>
        <v>0</v>
      </c>
      <c r="P950" s="30">
        <f t="shared" si="192"/>
        <v>0</v>
      </c>
      <c r="Q950" s="31">
        <f t="shared" si="194"/>
        <v>848340.75061972369</v>
      </c>
    </row>
    <row r="951" spans="1:17" x14ac:dyDescent="0.25">
      <c r="A951" s="6">
        <f t="shared" si="193"/>
        <v>72136</v>
      </c>
      <c r="B951" s="30">
        <f>IFERROR(VLOOKUP(A951, Data!$L$3:$N$123, 3),1)*Pension</f>
        <v>1008894.8790016947</v>
      </c>
      <c r="C951" s="37">
        <f t="shared" si="182"/>
        <v>79.000684462696782</v>
      </c>
      <c r="D951" s="37">
        <f>IFERROR(VLOOKUP(A951,Data!$I$3:$J$1442,2),0)</f>
        <v>8.0061928000000004E-2</v>
      </c>
      <c r="E951" s="37">
        <f t="shared" si="183"/>
        <v>7.9861927999999999E-2</v>
      </c>
      <c r="F951" s="37">
        <f t="shared" si="188"/>
        <v>1.8195847295401984E-3</v>
      </c>
      <c r="G951" s="30">
        <f t="shared" si="189"/>
        <v>1835.76971554279</v>
      </c>
      <c r="H951" s="38">
        <f t="shared" si="184"/>
        <v>174</v>
      </c>
      <c r="I951" s="39">
        <f t="shared" si="185"/>
        <v>174.62559890485969</v>
      </c>
      <c r="J951" s="40">
        <f t="shared" si="186"/>
        <v>79</v>
      </c>
      <c r="K951" s="43">
        <f>VLOOKUP(J951,Data!$Z$3:$AA$122,2)</f>
        <v>0</v>
      </c>
      <c r="L951" s="41">
        <f t="shared" si="187"/>
        <v>0.62559890485968594</v>
      </c>
      <c r="M951" s="43">
        <f>VLOOKUP(H951,Data!$P$3:$X$122,9)</f>
        <v>0</v>
      </c>
      <c r="N951" s="43">
        <f t="shared" si="190"/>
        <v>0</v>
      </c>
      <c r="O951" s="43">
        <f t="shared" si="191"/>
        <v>0</v>
      </c>
      <c r="P951" s="30">
        <f t="shared" si="192"/>
        <v>0</v>
      </c>
      <c r="Q951" s="31">
        <f t="shared" si="194"/>
        <v>848340.75061972369</v>
      </c>
    </row>
    <row r="952" spans="1:17" x14ac:dyDescent="0.25">
      <c r="A952" s="6">
        <f t="shared" si="193"/>
        <v>72167</v>
      </c>
      <c r="B952" s="30">
        <f>IFERROR(VLOOKUP(A952, Data!$L$3:$N$123, 3),1)*Pension</f>
        <v>1008894.8790016947</v>
      </c>
      <c r="C952" s="37">
        <f t="shared" si="182"/>
        <v>79.08555783709788</v>
      </c>
      <c r="D952" s="37">
        <f>IFERROR(VLOOKUP(A952,Data!$I$3:$J$1442,2),0)</f>
        <v>8.0051129999999998E-2</v>
      </c>
      <c r="E952" s="37">
        <f t="shared" si="183"/>
        <v>7.9851129999999992E-2</v>
      </c>
      <c r="F952" s="37">
        <f t="shared" si="188"/>
        <v>1.8088370392272774E-3</v>
      </c>
      <c r="G952" s="30">
        <f t="shared" si="189"/>
        <v>1824.9264258249877</v>
      </c>
      <c r="H952" s="38">
        <f t="shared" si="184"/>
        <v>174</v>
      </c>
      <c r="I952" s="39">
        <f t="shared" si="185"/>
        <v>174.71047227926078</v>
      </c>
      <c r="J952" s="40">
        <f t="shared" si="186"/>
        <v>79</v>
      </c>
      <c r="K952" s="43">
        <f>VLOOKUP(J952,Data!$Z$3:$AA$122,2)</f>
        <v>0</v>
      </c>
      <c r="L952" s="41">
        <f t="shared" si="187"/>
        <v>0.71047227926078449</v>
      </c>
      <c r="M952" s="43">
        <f>VLOOKUP(H952,Data!$P$3:$X$122,9)</f>
        <v>0</v>
      </c>
      <c r="N952" s="43">
        <f t="shared" si="190"/>
        <v>0</v>
      </c>
      <c r="O952" s="43">
        <f t="shared" si="191"/>
        <v>0</v>
      </c>
      <c r="P952" s="30">
        <f t="shared" si="192"/>
        <v>0</v>
      </c>
      <c r="Q952" s="31">
        <f t="shared" si="194"/>
        <v>848340.75061972369</v>
      </c>
    </row>
    <row r="953" spans="1:17" x14ac:dyDescent="0.25">
      <c r="A953" s="6">
        <f t="shared" si="193"/>
        <v>72198</v>
      </c>
      <c r="B953" s="30">
        <f>IFERROR(VLOOKUP(A953, Data!$L$3:$N$123, 3),1)*Pension</f>
        <v>1008894.8790016947</v>
      </c>
      <c r="C953" s="37">
        <f t="shared" si="182"/>
        <v>79.170431211498979</v>
      </c>
      <c r="D953" s="37">
        <f>IFERROR(VLOOKUP(A953,Data!$I$3:$J$1442,2),0)</f>
        <v>8.0040354999999994E-2</v>
      </c>
      <c r="E953" s="37">
        <f t="shared" si="183"/>
        <v>7.9840354999999988E-2</v>
      </c>
      <c r="F953" s="37">
        <f t="shared" si="188"/>
        <v>1.7981528535842954E-3</v>
      </c>
      <c r="G953" s="30">
        <f t="shared" si="189"/>
        <v>1814.1472056434798</v>
      </c>
      <c r="H953" s="38">
        <f t="shared" si="184"/>
        <v>174</v>
      </c>
      <c r="I953" s="39">
        <f t="shared" si="185"/>
        <v>174.79534565366188</v>
      </c>
      <c r="J953" s="40">
        <f t="shared" si="186"/>
        <v>79</v>
      </c>
      <c r="K953" s="43">
        <f>VLOOKUP(J953,Data!$Z$3:$AA$122,2)</f>
        <v>0</v>
      </c>
      <c r="L953" s="41">
        <f t="shared" si="187"/>
        <v>0.79534565366188303</v>
      </c>
      <c r="M953" s="43">
        <f>VLOOKUP(H953,Data!$P$3:$X$122,9)</f>
        <v>0</v>
      </c>
      <c r="N953" s="43">
        <f t="shared" si="190"/>
        <v>0</v>
      </c>
      <c r="O953" s="43">
        <f t="shared" si="191"/>
        <v>0</v>
      </c>
      <c r="P953" s="30">
        <f t="shared" si="192"/>
        <v>0</v>
      </c>
      <c r="Q953" s="31">
        <f t="shared" si="194"/>
        <v>848340.75061972369</v>
      </c>
    </row>
    <row r="954" spans="1:17" x14ac:dyDescent="0.25">
      <c r="A954" s="6">
        <f t="shared" si="193"/>
        <v>72228</v>
      </c>
      <c r="B954" s="30">
        <f>IFERROR(VLOOKUP(A954, Data!$L$3:$N$123, 3),1)*Pension</f>
        <v>1008894.8790016947</v>
      </c>
      <c r="C954" s="37">
        <f t="shared" si="182"/>
        <v>79.252566735112936</v>
      </c>
      <c r="D954" s="37">
        <f>IFERROR(VLOOKUP(A954,Data!$I$3:$J$1442,2),0)</f>
        <v>8.0029950000000002E-2</v>
      </c>
      <c r="E954" s="37">
        <f t="shared" si="183"/>
        <v>7.9829949999999997E-2</v>
      </c>
      <c r="F954" s="37">
        <f t="shared" si="188"/>
        <v>1.7878733468483694E-3</v>
      </c>
      <c r="G954" s="30">
        <f t="shared" si="189"/>
        <v>1803.7762639389407</v>
      </c>
      <c r="H954" s="38">
        <f t="shared" si="184"/>
        <v>174</v>
      </c>
      <c r="I954" s="39">
        <f t="shared" si="185"/>
        <v>174.87748117727583</v>
      </c>
      <c r="J954" s="40">
        <f t="shared" si="186"/>
        <v>79</v>
      </c>
      <c r="K954" s="43">
        <f>VLOOKUP(J954,Data!$Z$3:$AA$122,2)</f>
        <v>0</v>
      </c>
      <c r="L954" s="41">
        <f t="shared" si="187"/>
        <v>0.87748117727582553</v>
      </c>
      <c r="M954" s="43">
        <f>VLOOKUP(H954,Data!$P$3:$X$122,9)</f>
        <v>0</v>
      </c>
      <c r="N954" s="43">
        <f t="shared" si="190"/>
        <v>0</v>
      </c>
      <c r="O954" s="43">
        <f t="shared" si="191"/>
        <v>0</v>
      </c>
      <c r="P954" s="30">
        <f t="shared" si="192"/>
        <v>0</v>
      </c>
      <c r="Q954" s="31">
        <f t="shared" si="194"/>
        <v>848340.75061972369</v>
      </c>
    </row>
    <row r="955" spans="1:17" x14ac:dyDescent="0.25">
      <c r="A955" s="6">
        <f t="shared" si="193"/>
        <v>72259</v>
      </c>
      <c r="B955" s="30">
        <f>IFERROR(VLOOKUP(A955, Data!$L$3:$N$123, 3),1)*Pension</f>
        <v>1008894.8790016947</v>
      </c>
      <c r="C955" s="37">
        <f t="shared" si="182"/>
        <v>79.337440109514034</v>
      </c>
      <c r="D955" s="37">
        <f>IFERROR(VLOOKUP(A955,Data!$I$3:$J$1442,2),0)</f>
        <v>8.0019220000000002E-2</v>
      </c>
      <c r="E955" s="37">
        <f t="shared" si="183"/>
        <v>7.9819219999999996E-2</v>
      </c>
      <c r="F955" s="37">
        <f t="shared" si="188"/>
        <v>1.7773130345175368E-3</v>
      </c>
      <c r="G955" s="30">
        <f t="shared" si="189"/>
        <v>1793.1220189077053</v>
      </c>
      <c r="H955" s="38">
        <f t="shared" si="184"/>
        <v>174</v>
      </c>
      <c r="I955" s="39">
        <f t="shared" si="185"/>
        <v>174.96235455167692</v>
      </c>
      <c r="J955" s="40">
        <f t="shared" si="186"/>
        <v>79</v>
      </c>
      <c r="K955" s="43">
        <f>VLOOKUP(J955,Data!$Z$3:$AA$122,2)</f>
        <v>0</v>
      </c>
      <c r="L955" s="41">
        <f t="shared" si="187"/>
        <v>0.96235455167692407</v>
      </c>
      <c r="M955" s="43">
        <f>VLOOKUP(H955,Data!$P$3:$X$122,9)</f>
        <v>0</v>
      </c>
      <c r="N955" s="43">
        <f t="shared" si="190"/>
        <v>0</v>
      </c>
      <c r="O955" s="43">
        <f t="shared" si="191"/>
        <v>0</v>
      </c>
      <c r="P955" s="30">
        <f t="shared" si="192"/>
        <v>0</v>
      </c>
      <c r="Q955" s="31">
        <f t="shared" si="194"/>
        <v>848340.75061972369</v>
      </c>
    </row>
    <row r="956" spans="1:17" x14ac:dyDescent="0.25">
      <c r="A956" s="6">
        <f t="shared" si="193"/>
        <v>72289</v>
      </c>
      <c r="B956" s="30">
        <f>IFERROR(VLOOKUP(A956, Data!$L$3:$N$123, 3),1)*Pension</f>
        <v>1008894.8790016947</v>
      </c>
      <c r="C956" s="37">
        <f t="shared" si="182"/>
        <v>79.419575633127991</v>
      </c>
      <c r="D956" s="37">
        <f>IFERROR(VLOOKUP(A956,Data!$I$3:$J$1442,2),0)</f>
        <v>8.0008859000000002E-2</v>
      </c>
      <c r="E956" s="37">
        <f t="shared" si="183"/>
        <v>7.9808858999999996E-2</v>
      </c>
      <c r="F956" s="37">
        <f t="shared" si="188"/>
        <v>1.7671526260926841E-3</v>
      </c>
      <c r="G956" s="30">
        <f t="shared" si="189"/>
        <v>1782.8712348793056</v>
      </c>
      <c r="H956" s="38">
        <f t="shared" si="184"/>
        <v>175</v>
      </c>
      <c r="I956" s="39">
        <f t="shared" si="185"/>
        <v>175.04449007529089</v>
      </c>
      <c r="J956" s="40">
        <f t="shared" si="186"/>
        <v>80</v>
      </c>
      <c r="K956" s="43">
        <f>VLOOKUP(J956,Data!$Z$3:$AA$122,2)</f>
        <v>0</v>
      </c>
      <c r="L956" s="41">
        <f t="shared" si="187"/>
        <v>4.4490075290894993E-2</v>
      </c>
      <c r="M956" s="43">
        <f>VLOOKUP(H956,Data!$P$3:$X$122,9)</f>
        <v>0</v>
      </c>
      <c r="N956" s="43">
        <f t="shared" si="190"/>
        <v>0</v>
      </c>
      <c r="O956" s="43">
        <f t="shared" si="191"/>
        <v>0</v>
      </c>
      <c r="P956" s="30">
        <f t="shared" si="192"/>
        <v>0</v>
      </c>
      <c r="Q956" s="31">
        <f t="shared" si="194"/>
        <v>848340.75061972369</v>
      </c>
    </row>
    <row r="957" spans="1:17" x14ac:dyDescent="0.25">
      <c r="A957" s="6">
        <f t="shared" si="193"/>
        <v>72320</v>
      </c>
      <c r="B957" s="30">
        <f>IFERROR(VLOOKUP(A957, Data!$L$3:$N$123, 3),1)*Pension</f>
        <v>1059339.6229517795</v>
      </c>
      <c r="C957" s="37">
        <f t="shared" si="182"/>
        <v>79.504449007529089</v>
      </c>
      <c r="D957" s="37">
        <f>IFERROR(VLOOKUP(A957,Data!$I$3:$J$1442,2),0)</f>
        <v>7.9998175000000005E-2</v>
      </c>
      <c r="E957" s="37">
        <f t="shared" si="183"/>
        <v>7.9798174999999999E-2</v>
      </c>
      <c r="F957" s="37">
        <f t="shared" si="188"/>
        <v>1.7567145714715699E-3</v>
      </c>
      <c r="G957" s="30">
        <f t="shared" si="189"/>
        <v>1860.9573517765898</v>
      </c>
      <c r="H957" s="38">
        <f t="shared" si="184"/>
        <v>175</v>
      </c>
      <c r="I957" s="39">
        <f t="shared" si="185"/>
        <v>175.12936344969199</v>
      </c>
      <c r="J957" s="40">
        <f t="shared" si="186"/>
        <v>80</v>
      </c>
      <c r="K957" s="43">
        <f>VLOOKUP(J957,Data!$Z$3:$AA$122,2)</f>
        <v>0</v>
      </c>
      <c r="L957" s="41">
        <f t="shared" si="187"/>
        <v>0.12936344969199354</v>
      </c>
      <c r="M957" s="43">
        <f>VLOOKUP(H957,Data!$P$3:$X$122,9)</f>
        <v>0</v>
      </c>
      <c r="N957" s="43">
        <f t="shared" si="190"/>
        <v>0</v>
      </c>
      <c r="O957" s="43">
        <f t="shared" si="191"/>
        <v>0</v>
      </c>
      <c r="P957" s="30">
        <f t="shared" si="192"/>
        <v>0</v>
      </c>
      <c r="Q957" s="31">
        <f t="shared" si="194"/>
        <v>848340.75061972369</v>
      </c>
    </row>
    <row r="958" spans="1:17" x14ac:dyDescent="0.25">
      <c r="A958" s="6">
        <f t="shared" si="193"/>
        <v>72351</v>
      </c>
      <c r="B958" s="30">
        <f>IFERROR(VLOOKUP(A958, Data!$L$3:$N$123, 3),1)*Pension</f>
        <v>1059339.6229517795</v>
      </c>
      <c r="C958" s="37">
        <f t="shared" si="182"/>
        <v>79.589322381930188</v>
      </c>
      <c r="D958" s="37">
        <f>IFERROR(VLOOKUP(A958,Data!$I$3:$J$1442,2),0)</f>
        <v>7.9987512999999996E-2</v>
      </c>
      <c r="E958" s="37">
        <f t="shared" si="183"/>
        <v>7.978751299999999E-2</v>
      </c>
      <c r="F958" s="37">
        <f t="shared" si="188"/>
        <v>1.746338280728379E-3</v>
      </c>
      <c r="G958" s="30">
        <f t="shared" si="189"/>
        <v>1849.96533585306</v>
      </c>
      <c r="H958" s="38">
        <f t="shared" si="184"/>
        <v>175</v>
      </c>
      <c r="I958" s="39">
        <f t="shared" si="185"/>
        <v>175.21423682409309</v>
      </c>
      <c r="J958" s="40">
        <f t="shared" si="186"/>
        <v>80</v>
      </c>
      <c r="K958" s="43">
        <f>VLOOKUP(J958,Data!$Z$3:$AA$122,2)</f>
        <v>0</v>
      </c>
      <c r="L958" s="41">
        <f t="shared" si="187"/>
        <v>0.21423682409309208</v>
      </c>
      <c r="M958" s="43">
        <f>VLOOKUP(H958,Data!$P$3:$X$122,9)</f>
        <v>0</v>
      </c>
      <c r="N958" s="43">
        <f t="shared" si="190"/>
        <v>0</v>
      </c>
      <c r="O958" s="43">
        <f t="shared" si="191"/>
        <v>0</v>
      </c>
      <c r="P958" s="30">
        <f t="shared" si="192"/>
        <v>0</v>
      </c>
      <c r="Q958" s="31">
        <f t="shared" si="194"/>
        <v>848340.75061972369</v>
      </c>
    </row>
    <row r="959" spans="1:17" x14ac:dyDescent="0.25">
      <c r="A959" s="6">
        <f t="shared" si="193"/>
        <v>72379</v>
      </c>
      <c r="B959" s="30">
        <f>IFERROR(VLOOKUP(A959, Data!$L$3:$N$123, 3),1)*Pension</f>
        <v>1059339.6229517795</v>
      </c>
      <c r="C959" s="37">
        <f t="shared" si="182"/>
        <v>79.665982203969889</v>
      </c>
      <c r="D959" s="37">
        <f>IFERROR(VLOOKUP(A959,Data!$I$3:$J$1442,2),0)</f>
        <v>7.9977903000000003E-2</v>
      </c>
      <c r="E959" s="37">
        <f t="shared" si="183"/>
        <v>7.9777902999999997E-2</v>
      </c>
      <c r="F959" s="37">
        <f t="shared" si="188"/>
        <v>1.737018744163901E-3</v>
      </c>
      <c r="G959" s="30">
        <f t="shared" si="189"/>
        <v>1840.0927815027603</v>
      </c>
      <c r="H959" s="38">
        <f t="shared" si="184"/>
        <v>175</v>
      </c>
      <c r="I959" s="39">
        <f t="shared" si="185"/>
        <v>175.29089664613278</v>
      </c>
      <c r="J959" s="40">
        <f t="shared" si="186"/>
        <v>80</v>
      </c>
      <c r="K959" s="43">
        <f>VLOOKUP(J959,Data!$Z$3:$AA$122,2)</f>
        <v>0</v>
      </c>
      <c r="L959" s="41">
        <f t="shared" si="187"/>
        <v>0.29089664613277932</v>
      </c>
      <c r="M959" s="43">
        <f>VLOOKUP(H959,Data!$P$3:$X$122,9)</f>
        <v>0</v>
      </c>
      <c r="N959" s="43">
        <f t="shared" si="190"/>
        <v>0</v>
      </c>
      <c r="O959" s="43">
        <f t="shared" si="191"/>
        <v>0</v>
      </c>
      <c r="P959" s="30">
        <f t="shared" si="192"/>
        <v>0</v>
      </c>
      <c r="Q959" s="31">
        <f t="shared" si="194"/>
        <v>848340.75061972369</v>
      </c>
    </row>
    <row r="960" spans="1:17" x14ac:dyDescent="0.25">
      <c r="A960" s="6">
        <f t="shared" si="193"/>
        <v>72410</v>
      </c>
      <c r="B960" s="30">
        <f>IFERROR(VLOOKUP(A960, Data!$L$3:$N$123, 3),1)*Pension</f>
        <v>1059339.6229517795</v>
      </c>
      <c r="C960" s="37">
        <f t="shared" si="182"/>
        <v>79.750855578370974</v>
      </c>
      <c r="D960" s="37">
        <f>IFERROR(VLOOKUP(A960,Data!$I$3:$J$1442,2),0)</f>
        <v>7.9967284E-2</v>
      </c>
      <c r="E960" s="37">
        <f t="shared" si="183"/>
        <v>7.9767283999999994E-2</v>
      </c>
      <c r="F960" s="37">
        <f t="shared" si="188"/>
        <v>1.7267588130648981E-3</v>
      </c>
      <c r="G960" s="30">
        <f t="shared" si="189"/>
        <v>1829.2240299608316</v>
      </c>
      <c r="H960" s="38">
        <f t="shared" si="184"/>
        <v>175</v>
      </c>
      <c r="I960" s="39">
        <f t="shared" si="185"/>
        <v>175.37577002053388</v>
      </c>
      <c r="J960" s="40">
        <f t="shared" si="186"/>
        <v>80</v>
      </c>
      <c r="K960" s="43">
        <f>VLOOKUP(J960,Data!$Z$3:$AA$122,2)</f>
        <v>0</v>
      </c>
      <c r="L960" s="41">
        <f t="shared" si="187"/>
        <v>0.37577002053387787</v>
      </c>
      <c r="M960" s="43">
        <f>VLOOKUP(H960,Data!$P$3:$X$122,9)</f>
        <v>0</v>
      </c>
      <c r="N960" s="43">
        <f t="shared" si="190"/>
        <v>0</v>
      </c>
      <c r="O960" s="43">
        <f t="shared" si="191"/>
        <v>0</v>
      </c>
      <c r="P960" s="30">
        <f t="shared" si="192"/>
        <v>0</v>
      </c>
      <c r="Q960" s="31">
        <f t="shared" si="194"/>
        <v>848340.75061972369</v>
      </c>
    </row>
    <row r="961" spans="1:17" x14ac:dyDescent="0.25">
      <c r="A961" s="6">
        <f t="shared" si="193"/>
        <v>72440</v>
      </c>
      <c r="B961" s="30">
        <f>IFERROR(VLOOKUP(A961, Data!$L$3:$N$123, 3),1)*Pension</f>
        <v>1059339.6229517795</v>
      </c>
      <c r="C961" s="37">
        <f t="shared" si="182"/>
        <v>79.832991101984945</v>
      </c>
      <c r="D961" s="37">
        <f>IFERROR(VLOOKUP(A961,Data!$I$3:$J$1442,2),0)</f>
        <v>7.9957029999999998E-2</v>
      </c>
      <c r="E961" s="37">
        <f t="shared" si="183"/>
        <v>7.9757029999999993E-2</v>
      </c>
      <c r="F961" s="37">
        <f t="shared" si="188"/>
        <v>1.7168874212990328E-3</v>
      </c>
      <c r="G961" s="30">
        <f t="shared" si="189"/>
        <v>1818.7668735295704</v>
      </c>
      <c r="H961" s="38">
        <f t="shared" si="184"/>
        <v>175</v>
      </c>
      <c r="I961" s="39">
        <f t="shared" si="185"/>
        <v>175.45790554414785</v>
      </c>
      <c r="J961" s="40">
        <f t="shared" si="186"/>
        <v>80</v>
      </c>
      <c r="K961" s="43">
        <f>VLOOKUP(J961,Data!$Z$3:$AA$122,2)</f>
        <v>0</v>
      </c>
      <c r="L961" s="41">
        <f t="shared" si="187"/>
        <v>0.45790554414784879</v>
      </c>
      <c r="M961" s="43">
        <f>VLOOKUP(H961,Data!$P$3:$X$122,9)</f>
        <v>0</v>
      </c>
      <c r="N961" s="43">
        <f t="shared" si="190"/>
        <v>0</v>
      </c>
      <c r="O961" s="43">
        <f t="shared" si="191"/>
        <v>0</v>
      </c>
      <c r="P961" s="30">
        <f t="shared" si="192"/>
        <v>0</v>
      </c>
      <c r="Q961" s="31">
        <f t="shared" si="194"/>
        <v>848340.75061972369</v>
      </c>
    </row>
    <row r="962" spans="1:17" x14ac:dyDescent="0.25">
      <c r="A962" s="6">
        <f t="shared" si="193"/>
        <v>72471</v>
      </c>
      <c r="B962" s="30">
        <f>IFERROR(VLOOKUP(A962, Data!$L$3:$N$123, 3),1)*Pension</f>
        <v>1059339.6229517795</v>
      </c>
      <c r="C962" s="37">
        <f t="shared" si="182"/>
        <v>79.917864476386043</v>
      </c>
      <c r="D962" s="37">
        <f>IFERROR(VLOOKUP(A962,Data!$I$3:$J$1442,2),0)</f>
        <v>7.9946455999999999E-2</v>
      </c>
      <c r="E962" s="37">
        <f t="shared" si="183"/>
        <v>7.9746455999999993E-2</v>
      </c>
      <c r="F962" s="37">
        <f t="shared" si="188"/>
        <v>1.7067463110103046E-3</v>
      </c>
      <c r="G962" s="30">
        <f t="shared" si="189"/>
        <v>1808.0239935799966</v>
      </c>
      <c r="H962" s="38">
        <f t="shared" si="184"/>
        <v>175</v>
      </c>
      <c r="I962" s="39">
        <f t="shared" si="185"/>
        <v>175.54277891854895</v>
      </c>
      <c r="J962" s="40">
        <f t="shared" si="186"/>
        <v>80</v>
      </c>
      <c r="K962" s="43">
        <f>VLOOKUP(J962,Data!$Z$3:$AA$122,2)</f>
        <v>0</v>
      </c>
      <c r="L962" s="41">
        <f t="shared" si="187"/>
        <v>0.54277891854894733</v>
      </c>
      <c r="M962" s="43">
        <f>VLOOKUP(H962,Data!$P$3:$X$122,9)</f>
        <v>0</v>
      </c>
      <c r="N962" s="43">
        <f t="shared" si="190"/>
        <v>0</v>
      </c>
      <c r="O962" s="43">
        <f t="shared" si="191"/>
        <v>0</v>
      </c>
      <c r="P962" s="30">
        <f t="shared" si="192"/>
        <v>0</v>
      </c>
      <c r="Q962" s="31">
        <f t="shared" si="194"/>
        <v>848340.75061972369</v>
      </c>
    </row>
    <row r="963" spans="1:17" x14ac:dyDescent="0.25">
      <c r="A963" s="6">
        <f t="shared" si="193"/>
        <v>72501</v>
      </c>
      <c r="B963" s="30">
        <f>IFERROR(VLOOKUP(A963, Data!$L$3:$N$123, 3),1)*Pension</f>
        <v>1059339.6229517795</v>
      </c>
      <c r="C963" s="37">
        <f t="shared" ref="C963:C1026" si="195">(A963-EffDate)/365.25</f>
        <v>80</v>
      </c>
      <c r="D963" s="37">
        <f>IFERROR(VLOOKUP(A963,Data!$I$3:$J$1442,2),0)</f>
        <v>7.9936244000000004E-2</v>
      </c>
      <c r="E963" s="37">
        <f t="shared" ref="E963:E1026" si="196">D963-Fees</f>
        <v>7.9736243999999998E-2</v>
      </c>
      <c r="F963" s="37">
        <f t="shared" si="188"/>
        <v>1.6969894323557949E-3</v>
      </c>
      <c r="G963" s="30">
        <f t="shared" si="189"/>
        <v>1797.6881454249421</v>
      </c>
      <c r="H963" s="38">
        <f t="shared" ref="H963:H1026" si="197">IF(OR(A963 = DATE(YEAR(A963), MONTH(Date_of_Birth), DAY(Date_of_Birth)),AND(A963 = DATE(YEAR(A963), MONTH(Date_of_Birth), DAY(Date_of_Birth)-1), AND(MONTH(Date_of_Birth)=2, DAY(Date_of_Birth) = 29))), ROUND((A963-Date_of_Birth)/365.25,0),ROUNDDOWN((A963-Date_of_Birth)/365.25,0))</f>
        <v>175</v>
      </c>
      <c r="I963" s="39">
        <f t="shared" ref="I963:I1026" si="198">IF(OR(A963 = DATE(YEAR(A963), MONTH(Date_of_Birth), DAY(Date_of_Birth)),AND(A963 = DATE(YEAR(A963), MONTH(Date_of_Birth), DAY(Date_of_Birth)-1), AND(MONTH(Date_of_Birth)=2, DAY(Date_of_Birth) = 29))), ROUND((A963-Date_of_Birth)/365.25,0),(A963-Date_of_Birth)/365.25)</f>
        <v>175.62491444216289</v>
      </c>
      <c r="J963" s="40">
        <f t="shared" ref="J963:J1026" si="199">H963-StartAge</f>
        <v>80</v>
      </c>
      <c r="K963" s="43">
        <f>VLOOKUP(J963,Data!$Z$3:$AA$122,2)</f>
        <v>0</v>
      </c>
      <c r="L963" s="41">
        <f t="shared" ref="L963:L1026" si="200">IF(A963&lt;=NextBirth,(A963-EffDate)/365.25,(I963-H963))</f>
        <v>0.62491444216288983</v>
      </c>
      <c r="M963" s="43">
        <f>VLOOKUP(H963,Data!$P$3:$X$122,9)</f>
        <v>0</v>
      </c>
      <c r="N963" s="43">
        <f t="shared" si="190"/>
        <v>0</v>
      </c>
      <c r="O963" s="43">
        <f t="shared" si="191"/>
        <v>0</v>
      </c>
      <c r="P963" s="30">
        <f t="shared" si="192"/>
        <v>0</v>
      </c>
      <c r="Q963" s="31">
        <f t="shared" si="194"/>
        <v>848340.75061972369</v>
      </c>
    </row>
    <row r="964" spans="1:17" x14ac:dyDescent="0.25">
      <c r="A964" s="6">
        <f t="shared" si="193"/>
        <v>72532</v>
      </c>
      <c r="B964" s="30">
        <f>IFERROR(VLOOKUP(A964, Data!$L$3:$N$123, 3),1)*Pension</f>
        <v>1059339.6229517795</v>
      </c>
      <c r="C964" s="37">
        <f t="shared" si="195"/>
        <v>80.084873374401099</v>
      </c>
      <c r="D964" s="37">
        <f>IFERROR(VLOOKUP(A964,Data!$I$3:$J$1442,2),0)</f>
        <v>7.9925713999999995E-2</v>
      </c>
      <c r="E964" s="37">
        <f t="shared" si="196"/>
        <v>7.9725713999999989E-2</v>
      </c>
      <c r="F964" s="37">
        <f t="shared" ref="F964:F1027" si="201">EXP(-E964*C964)</f>
        <v>1.6869658639755943E-3</v>
      </c>
      <c r="G964" s="30">
        <f t="shared" ref="G964:G1027" si="202">B964*F964</f>
        <v>1787.0697822764291</v>
      </c>
      <c r="H964" s="38">
        <f t="shared" si="197"/>
        <v>175</v>
      </c>
      <c r="I964" s="39">
        <f t="shared" si="198"/>
        <v>175.70978781656399</v>
      </c>
      <c r="J964" s="40">
        <f t="shared" si="199"/>
        <v>80</v>
      </c>
      <c r="K964" s="43">
        <f>VLOOKUP(J964,Data!$Z$3:$AA$122,2)</f>
        <v>0</v>
      </c>
      <c r="L964" s="41">
        <f t="shared" si="200"/>
        <v>0.70978781656398837</v>
      </c>
      <c r="M964" s="43">
        <f>VLOOKUP(H964,Data!$P$3:$X$122,9)</f>
        <v>0</v>
      </c>
      <c r="N964" s="43">
        <f t="shared" ref="N964:N1027" si="203">IF(M964=0, 0, EXP(-L964*M964))</f>
        <v>0</v>
      </c>
      <c r="O964" s="43">
        <f t="shared" ref="O964:O1027" si="204">K964*N964</f>
        <v>0</v>
      </c>
      <c r="P964" s="30">
        <f t="shared" ref="P964:P1027" si="205">G964*O964</f>
        <v>0</v>
      </c>
      <c r="Q964" s="31">
        <f t="shared" si="194"/>
        <v>848340.75061972369</v>
      </c>
    </row>
    <row r="965" spans="1:17" x14ac:dyDescent="0.25">
      <c r="A965" s="6">
        <f t="shared" ref="A965:A1028" si="206">EOMONTH(A964,1)</f>
        <v>72563</v>
      </c>
      <c r="B965" s="30">
        <f>IFERROR(VLOOKUP(A965, Data!$L$3:$N$123, 3),1)*Pension</f>
        <v>1059339.6229517795</v>
      </c>
      <c r="C965" s="37">
        <f t="shared" si="195"/>
        <v>80.169746748802197</v>
      </c>
      <c r="D965" s="37">
        <f>IFERROR(VLOOKUP(A965,Data!$I$3:$J$1442,2),0)</f>
        <v>7.9915206000000003E-2</v>
      </c>
      <c r="E965" s="37">
        <f t="shared" si="196"/>
        <v>7.9715205999999997E-2</v>
      </c>
      <c r="F965" s="37">
        <f t="shared" si="201"/>
        <v>1.6770015413187767E-3</v>
      </c>
      <c r="G965" s="30">
        <f t="shared" si="202"/>
        <v>1776.5141804701859</v>
      </c>
      <c r="H965" s="38">
        <f t="shared" si="197"/>
        <v>175</v>
      </c>
      <c r="I965" s="39">
        <f t="shared" si="198"/>
        <v>175.79466119096509</v>
      </c>
      <c r="J965" s="40">
        <f t="shared" si="199"/>
        <v>80</v>
      </c>
      <c r="K965" s="43">
        <f>VLOOKUP(J965,Data!$Z$3:$AA$122,2)</f>
        <v>0</v>
      </c>
      <c r="L965" s="41">
        <f t="shared" si="200"/>
        <v>0.79466119096508692</v>
      </c>
      <c r="M965" s="43">
        <f>VLOOKUP(H965,Data!$P$3:$X$122,9)</f>
        <v>0</v>
      </c>
      <c r="N965" s="43">
        <f t="shared" si="203"/>
        <v>0</v>
      </c>
      <c r="O965" s="43">
        <f t="shared" si="204"/>
        <v>0</v>
      </c>
      <c r="P965" s="30">
        <f t="shared" si="205"/>
        <v>0</v>
      </c>
      <c r="Q965" s="31">
        <f t="shared" ref="Q965:Q1028" si="207">Q964+P965</f>
        <v>848340.75061972369</v>
      </c>
    </row>
    <row r="966" spans="1:17" x14ac:dyDescent="0.25">
      <c r="A966" s="6">
        <f t="shared" si="206"/>
        <v>72593</v>
      </c>
      <c r="B966" s="30">
        <f>IFERROR(VLOOKUP(A966, Data!$L$3:$N$123, 3),1)*Pension</f>
        <v>1059339.6229517795</v>
      </c>
      <c r="C966" s="37">
        <f t="shared" si="195"/>
        <v>80.251882272416154</v>
      </c>
      <c r="D966" s="37">
        <f>IFERROR(VLOOKUP(A966,Data!$I$3:$J$1442,2),0)</f>
        <v>7.9905059000000001E-2</v>
      </c>
      <c r="E966" s="37">
        <f t="shared" si="196"/>
        <v>7.9705058999999995E-2</v>
      </c>
      <c r="F966" s="37">
        <f t="shared" si="201"/>
        <v>1.6674145741464325E-3</v>
      </c>
      <c r="G966" s="30">
        <f t="shared" si="202"/>
        <v>1766.3583262805839</v>
      </c>
      <c r="H966" s="38">
        <f t="shared" si="197"/>
        <v>175</v>
      </c>
      <c r="I966" s="39">
        <f t="shared" si="198"/>
        <v>175.87679671457906</v>
      </c>
      <c r="J966" s="40">
        <f t="shared" si="199"/>
        <v>80</v>
      </c>
      <c r="K966" s="43">
        <f>VLOOKUP(J966,Data!$Z$3:$AA$122,2)</f>
        <v>0</v>
      </c>
      <c r="L966" s="41">
        <f t="shared" si="200"/>
        <v>0.87679671457905783</v>
      </c>
      <c r="M966" s="43">
        <f>VLOOKUP(H966,Data!$P$3:$X$122,9)</f>
        <v>0</v>
      </c>
      <c r="N966" s="43">
        <f t="shared" si="203"/>
        <v>0</v>
      </c>
      <c r="O966" s="43">
        <f t="shared" si="204"/>
        <v>0</v>
      </c>
      <c r="P966" s="30">
        <f t="shared" si="205"/>
        <v>0</v>
      </c>
      <c r="Q966" s="31">
        <f t="shared" si="207"/>
        <v>848340.75061972369</v>
      </c>
    </row>
    <row r="967" spans="1:17" x14ac:dyDescent="0.25">
      <c r="A967" s="6">
        <f t="shared" si="206"/>
        <v>72624</v>
      </c>
      <c r="B967" s="30">
        <f>IFERROR(VLOOKUP(A967, Data!$L$3:$N$123, 3),1)*Pension</f>
        <v>1059339.6229517795</v>
      </c>
      <c r="C967" s="37">
        <f t="shared" si="195"/>
        <v>80.336755646817252</v>
      </c>
      <c r="D967" s="37">
        <f>IFERROR(VLOOKUP(A967,Data!$I$3:$J$1442,2),0)</f>
        <v>7.9894594999999999E-2</v>
      </c>
      <c r="E967" s="37">
        <f t="shared" si="196"/>
        <v>7.9694594999999993E-2</v>
      </c>
      <c r="F967" s="37">
        <f t="shared" si="201"/>
        <v>1.6575656897126637E-3</v>
      </c>
      <c r="G967" s="30">
        <f t="shared" si="202"/>
        <v>1755.9250127580194</v>
      </c>
      <c r="H967" s="38">
        <f t="shared" si="197"/>
        <v>175</v>
      </c>
      <c r="I967" s="39">
        <f t="shared" si="198"/>
        <v>175.96167008898016</v>
      </c>
      <c r="J967" s="40">
        <f t="shared" si="199"/>
        <v>80</v>
      </c>
      <c r="K967" s="43">
        <f>VLOOKUP(J967,Data!$Z$3:$AA$122,2)</f>
        <v>0</v>
      </c>
      <c r="L967" s="41">
        <f t="shared" si="200"/>
        <v>0.96167008898015638</v>
      </c>
      <c r="M967" s="43">
        <f>VLOOKUP(H967,Data!$P$3:$X$122,9)</f>
        <v>0</v>
      </c>
      <c r="N967" s="43">
        <f t="shared" si="203"/>
        <v>0</v>
      </c>
      <c r="O967" s="43">
        <f t="shared" si="204"/>
        <v>0</v>
      </c>
      <c r="P967" s="30">
        <f t="shared" si="205"/>
        <v>0</v>
      </c>
      <c r="Q967" s="31">
        <f t="shared" si="207"/>
        <v>848340.75061972369</v>
      </c>
    </row>
    <row r="968" spans="1:17" x14ac:dyDescent="0.25">
      <c r="A968" s="6">
        <f t="shared" si="206"/>
        <v>72654</v>
      </c>
      <c r="B968" s="30">
        <f>IFERROR(VLOOKUP(A968, Data!$L$3:$N$123, 3),1)*Pension</f>
        <v>1059339.6229517795</v>
      </c>
      <c r="C968" s="37">
        <f t="shared" si="195"/>
        <v>80.418891170431209</v>
      </c>
      <c r="D968" s="37">
        <f>IFERROR(VLOOKUP(A968,Data!$I$3:$J$1442,2),0)</f>
        <v>7.9884489000000003E-2</v>
      </c>
      <c r="E968" s="37">
        <f t="shared" si="196"/>
        <v>7.9684488999999997E-2</v>
      </c>
      <c r="F968" s="37">
        <f t="shared" si="201"/>
        <v>1.6480899810026499E-3</v>
      </c>
      <c r="G968" s="30">
        <f t="shared" si="202"/>
        <v>1745.8870190659527</v>
      </c>
      <c r="H968" s="38">
        <f t="shared" si="197"/>
        <v>176</v>
      </c>
      <c r="I968" s="39">
        <f t="shared" si="198"/>
        <v>176.04380561259413</v>
      </c>
      <c r="J968" s="40">
        <f t="shared" si="199"/>
        <v>81</v>
      </c>
      <c r="K968" s="43">
        <f>VLOOKUP(J968,Data!$Z$3:$AA$122,2)</f>
        <v>0</v>
      </c>
      <c r="L968" s="41">
        <f t="shared" si="200"/>
        <v>4.3805612594127297E-2</v>
      </c>
      <c r="M968" s="43">
        <f>VLOOKUP(H968,Data!$P$3:$X$122,9)</f>
        <v>0</v>
      </c>
      <c r="N968" s="43">
        <f t="shared" si="203"/>
        <v>0</v>
      </c>
      <c r="O968" s="43">
        <f t="shared" si="204"/>
        <v>0</v>
      </c>
      <c r="P968" s="30">
        <f t="shared" si="205"/>
        <v>0</v>
      </c>
      <c r="Q968" s="31">
        <f t="shared" si="207"/>
        <v>848340.75061972369</v>
      </c>
    </row>
    <row r="969" spans="1:17" x14ac:dyDescent="0.25">
      <c r="A969" s="6">
        <f t="shared" si="206"/>
        <v>72685</v>
      </c>
      <c r="B969" s="30">
        <f>IFERROR(VLOOKUP(A969, Data!$L$3:$N$123, 3),1)*Pension</f>
        <v>1112306.6040993687</v>
      </c>
      <c r="C969" s="37">
        <f t="shared" si="195"/>
        <v>80.503764544832308</v>
      </c>
      <c r="D969" s="37">
        <f>IFERROR(VLOOKUP(A969,Data!$I$3:$J$1442,2),0)</f>
        <v>7.9874069000000006E-2</v>
      </c>
      <c r="E969" s="37">
        <f t="shared" si="196"/>
        <v>7.9674069E-2</v>
      </c>
      <c r="F969" s="37">
        <f t="shared" si="201"/>
        <v>1.6383551609059127E-3</v>
      </c>
      <c r="G969" s="30">
        <f t="shared" si="202"/>
        <v>1822.3532653359305</v>
      </c>
      <c r="H969" s="38">
        <f t="shared" si="197"/>
        <v>176</v>
      </c>
      <c r="I969" s="39">
        <f t="shared" si="198"/>
        <v>176.1286789869952</v>
      </c>
      <c r="J969" s="40">
        <f t="shared" si="199"/>
        <v>81</v>
      </c>
      <c r="K969" s="43">
        <f>VLOOKUP(J969,Data!$Z$3:$AA$122,2)</f>
        <v>0</v>
      </c>
      <c r="L969" s="41">
        <f t="shared" si="200"/>
        <v>0.12867898699519742</v>
      </c>
      <c r="M969" s="43">
        <f>VLOOKUP(H969,Data!$P$3:$X$122,9)</f>
        <v>0</v>
      </c>
      <c r="N969" s="43">
        <f t="shared" si="203"/>
        <v>0</v>
      </c>
      <c r="O969" s="43">
        <f t="shared" si="204"/>
        <v>0</v>
      </c>
      <c r="P969" s="30">
        <f t="shared" si="205"/>
        <v>0</v>
      </c>
      <c r="Q969" s="31">
        <f t="shared" si="207"/>
        <v>848340.75061972369</v>
      </c>
    </row>
    <row r="970" spans="1:17" x14ac:dyDescent="0.25">
      <c r="A970" s="6">
        <f t="shared" si="206"/>
        <v>72716</v>
      </c>
      <c r="B970" s="30">
        <f>IFERROR(VLOOKUP(A970, Data!$L$3:$N$123, 3),1)*Pension</f>
        <v>1112306.6040993687</v>
      </c>
      <c r="C970" s="37">
        <f t="shared" si="195"/>
        <v>80.588637919233406</v>
      </c>
      <c r="D970" s="37">
        <f>IFERROR(VLOOKUP(A970,Data!$I$3:$J$1442,2),0)</f>
        <v>7.9863669999999998E-2</v>
      </c>
      <c r="E970" s="37">
        <f t="shared" si="196"/>
        <v>7.9663669999999992E-2</v>
      </c>
      <c r="F970" s="37">
        <f t="shared" si="201"/>
        <v>1.6286779661792389E-3</v>
      </c>
      <c r="G970" s="30">
        <f t="shared" si="202"/>
        <v>1811.5892577322957</v>
      </c>
      <c r="H970" s="38">
        <f t="shared" si="197"/>
        <v>176</v>
      </c>
      <c r="I970" s="39">
        <f t="shared" si="198"/>
        <v>176.2135523613963</v>
      </c>
      <c r="J970" s="40">
        <f t="shared" si="199"/>
        <v>81</v>
      </c>
      <c r="K970" s="43">
        <f>VLOOKUP(J970,Data!$Z$3:$AA$122,2)</f>
        <v>0</v>
      </c>
      <c r="L970" s="41">
        <f t="shared" si="200"/>
        <v>0.21355236139629596</v>
      </c>
      <c r="M970" s="43">
        <f>VLOOKUP(H970,Data!$P$3:$X$122,9)</f>
        <v>0</v>
      </c>
      <c r="N970" s="43">
        <f t="shared" si="203"/>
        <v>0</v>
      </c>
      <c r="O970" s="43">
        <f t="shared" si="204"/>
        <v>0</v>
      </c>
      <c r="P970" s="30">
        <f t="shared" si="205"/>
        <v>0</v>
      </c>
      <c r="Q970" s="31">
        <f t="shared" si="207"/>
        <v>848340.75061972369</v>
      </c>
    </row>
    <row r="971" spans="1:17" x14ac:dyDescent="0.25">
      <c r="A971" s="6">
        <f t="shared" si="206"/>
        <v>72744</v>
      </c>
      <c r="B971" s="30">
        <f>IFERROR(VLOOKUP(A971, Data!$L$3:$N$123, 3),1)*Pension</f>
        <v>1112306.6040993687</v>
      </c>
      <c r="C971" s="37">
        <f t="shared" si="195"/>
        <v>80.665297741273108</v>
      </c>
      <c r="D971" s="37">
        <f>IFERROR(VLOOKUP(A971,Data!$I$3:$J$1442,2),0)</f>
        <v>7.9854296000000005E-2</v>
      </c>
      <c r="E971" s="37">
        <f t="shared" si="196"/>
        <v>7.9654295999999999E-2</v>
      </c>
      <c r="F971" s="37">
        <f t="shared" si="201"/>
        <v>1.6199864350294711E-3</v>
      </c>
      <c r="G971" s="30">
        <f t="shared" si="202"/>
        <v>1801.9216102346736</v>
      </c>
      <c r="H971" s="38">
        <f t="shared" si="197"/>
        <v>176</v>
      </c>
      <c r="I971" s="39">
        <f t="shared" si="198"/>
        <v>176.29021218343601</v>
      </c>
      <c r="J971" s="40">
        <f t="shared" si="199"/>
        <v>81</v>
      </c>
      <c r="K971" s="43">
        <f>VLOOKUP(J971,Data!$Z$3:$AA$122,2)</f>
        <v>0</v>
      </c>
      <c r="L971" s="41">
        <f t="shared" si="200"/>
        <v>0.29021218343601163</v>
      </c>
      <c r="M971" s="43">
        <f>VLOOKUP(H971,Data!$P$3:$X$122,9)</f>
        <v>0</v>
      </c>
      <c r="N971" s="43">
        <f t="shared" si="203"/>
        <v>0</v>
      </c>
      <c r="O971" s="43">
        <f t="shared" si="204"/>
        <v>0</v>
      </c>
      <c r="P971" s="30">
        <f t="shared" si="205"/>
        <v>0</v>
      </c>
      <c r="Q971" s="31">
        <f t="shared" si="207"/>
        <v>848340.75061972369</v>
      </c>
    </row>
    <row r="972" spans="1:17" x14ac:dyDescent="0.25">
      <c r="A972" s="6">
        <f t="shared" si="206"/>
        <v>72775</v>
      </c>
      <c r="B972" s="30">
        <f>IFERROR(VLOOKUP(A972, Data!$L$3:$N$123, 3),1)*Pension</f>
        <v>1112306.6040993687</v>
      </c>
      <c r="C972" s="37">
        <f t="shared" si="195"/>
        <v>80.750171115674192</v>
      </c>
      <c r="D972" s="37">
        <f>IFERROR(VLOOKUP(A972,Data!$I$3:$J$1442,2),0)</f>
        <v>7.9843939000000003E-2</v>
      </c>
      <c r="E972" s="37">
        <f t="shared" si="196"/>
        <v>7.9643938999999997E-2</v>
      </c>
      <c r="F972" s="37">
        <f t="shared" si="201"/>
        <v>1.6104176839999433E-3</v>
      </c>
      <c r="G972" s="30">
        <f t="shared" si="202"/>
        <v>1791.2782252715472</v>
      </c>
      <c r="H972" s="38">
        <f t="shared" si="197"/>
        <v>176</v>
      </c>
      <c r="I972" s="39">
        <f t="shared" si="198"/>
        <v>176.37508555783711</v>
      </c>
      <c r="J972" s="40">
        <f t="shared" si="199"/>
        <v>81</v>
      </c>
      <c r="K972" s="43">
        <f>VLOOKUP(J972,Data!$Z$3:$AA$122,2)</f>
        <v>0</v>
      </c>
      <c r="L972" s="41">
        <f t="shared" si="200"/>
        <v>0.37508555783711017</v>
      </c>
      <c r="M972" s="43">
        <f>VLOOKUP(H972,Data!$P$3:$X$122,9)</f>
        <v>0</v>
      </c>
      <c r="N972" s="43">
        <f t="shared" si="203"/>
        <v>0</v>
      </c>
      <c r="O972" s="43">
        <f t="shared" si="204"/>
        <v>0</v>
      </c>
      <c r="P972" s="30">
        <f t="shared" si="205"/>
        <v>0</v>
      </c>
      <c r="Q972" s="31">
        <f t="shared" si="207"/>
        <v>848340.75061972369</v>
      </c>
    </row>
    <row r="973" spans="1:17" x14ac:dyDescent="0.25">
      <c r="A973" s="6">
        <f t="shared" si="206"/>
        <v>72805</v>
      </c>
      <c r="B973" s="30">
        <f>IFERROR(VLOOKUP(A973, Data!$L$3:$N$123, 3),1)*Pension</f>
        <v>1112306.6040993687</v>
      </c>
      <c r="C973" s="37">
        <f t="shared" si="195"/>
        <v>80.832306639288163</v>
      </c>
      <c r="D973" s="37">
        <f>IFERROR(VLOOKUP(A973,Data!$I$3:$J$1442,2),0)</f>
        <v>7.9833936999999994E-2</v>
      </c>
      <c r="E973" s="37">
        <f t="shared" si="196"/>
        <v>7.9633936999999988E-2</v>
      </c>
      <c r="F973" s="37">
        <f t="shared" si="201"/>
        <v>1.6012113947691487E-3</v>
      </c>
      <c r="G973" s="30">
        <f t="shared" si="202"/>
        <v>1781.0380089608855</v>
      </c>
      <c r="H973" s="38">
        <f t="shared" si="197"/>
        <v>176</v>
      </c>
      <c r="I973" s="39">
        <f t="shared" si="198"/>
        <v>176.45722108145105</v>
      </c>
      <c r="J973" s="40">
        <f t="shared" si="199"/>
        <v>81</v>
      </c>
      <c r="K973" s="43">
        <f>VLOOKUP(J973,Data!$Z$3:$AA$122,2)</f>
        <v>0</v>
      </c>
      <c r="L973" s="41">
        <f t="shared" si="200"/>
        <v>0.45722108145105267</v>
      </c>
      <c r="M973" s="43">
        <f>VLOOKUP(H973,Data!$P$3:$X$122,9)</f>
        <v>0</v>
      </c>
      <c r="N973" s="43">
        <f t="shared" si="203"/>
        <v>0</v>
      </c>
      <c r="O973" s="43">
        <f t="shared" si="204"/>
        <v>0</v>
      </c>
      <c r="P973" s="30">
        <f t="shared" si="205"/>
        <v>0</v>
      </c>
      <c r="Q973" s="31">
        <f t="shared" si="207"/>
        <v>848340.75061972369</v>
      </c>
    </row>
    <row r="974" spans="1:17" x14ac:dyDescent="0.25">
      <c r="A974" s="6">
        <f t="shared" si="206"/>
        <v>72836</v>
      </c>
      <c r="B974" s="30">
        <f>IFERROR(VLOOKUP(A974, Data!$L$3:$N$123, 3),1)*Pension</f>
        <v>1112306.6040993687</v>
      </c>
      <c r="C974" s="37">
        <f t="shared" si="195"/>
        <v>80.917180013689247</v>
      </c>
      <c r="D974" s="37">
        <f>IFERROR(VLOOKUP(A974,Data!$I$3:$J$1442,2),0)</f>
        <v>7.9823622999999996E-2</v>
      </c>
      <c r="E974" s="37">
        <f t="shared" si="196"/>
        <v>7.9623622999999991E-2</v>
      </c>
      <c r="F974" s="37">
        <f t="shared" si="201"/>
        <v>1.5917535073199541E-3</v>
      </c>
      <c r="G974" s="30">
        <f t="shared" si="202"/>
        <v>1770.5179382903177</v>
      </c>
      <c r="H974" s="38">
        <f t="shared" si="197"/>
        <v>176</v>
      </c>
      <c r="I974" s="39">
        <f t="shared" si="198"/>
        <v>176.54209445585215</v>
      </c>
      <c r="J974" s="40">
        <f t="shared" si="199"/>
        <v>81</v>
      </c>
      <c r="K974" s="43">
        <f>VLOOKUP(J974,Data!$Z$3:$AA$122,2)</f>
        <v>0</v>
      </c>
      <c r="L974" s="41">
        <f t="shared" si="200"/>
        <v>0.54209445585215121</v>
      </c>
      <c r="M974" s="43">
        <f>VLOOKUP(H974,Data!$P$3:$X$122,9)</f>
        <v>0</v>
      </c>
      <c r="N974" s="43">
        <f t="shared" si="203"/>
        <v>0</v>
      </c>
      <c r="O974" s="43">
        <f t="shared" si="204"/>
        <v>0</v>
      </c>
      <c r="P974" s="30">
        <f t="shared" si="205"/>
        <v>0</v>
      </c>
      <c r="Q974" s="31">
        <f t="shared" si="207"/>
        <v>848340.75061972369</v>
      </c>
    </row>
    <row r="975" spans="1:17" x14ac:dyDescent="0.25">
      <c r="A975" s="6">
        <f t="shared" si="206"/>
        <v>72866</v>
      </c>
      <c r="B975" s="30">
        <f>IFERROR(VLOOKUP(A975, Data!$L$3:$N$123, 3),1)*Pension</f>
        <v>1112306.6040993687</v>
      </c>
      <c r="C975" s="37">
        <f t="shared" si="195"/>
        <v>80.999315537303218</v>
      </c>
      <c r="D975" s="37">
        <f>IFERROR(VLOOKUP(A975,Data!$I$3:$J$1442,2),0)</f>
        <v>7.9813660999999994E-2</v>
      </c>
      <c r="E975" s="37">
        <f t="shared" si="196"/>
        <v>7.9613660999999988E-2</v>
      </c>
      <c r="F975" s="37">
        <f t="shared" si="201"/>
        <v>1.5826540726213497E-3</v>
      </c>
      <c r="G975" s="30">
        <f t="shared" si="202"/>
        <v>1760.396576981489</v>
      </c>
      <c r="H975" s="38">
        <f t="shared" si="197"/>
        <v>176</v>
      </c>
      <c r="I975" s="39">
        <f t="shared" si="198"/>
        <v>176.62422997946612</v>
      </c>
      <c r="J975" s="40">
        <f t="shared" si="199"/>
        <v>81</v>
      </c>
      <c r="K975" s="43">
        <f>VLOOKUP(J975,Data!$Z$3:$AA$122,2)</f>
        <v>0</v>
      </c>
      <c r="L975" s="41">
        <f t="shared" si="200"/>
        <v>0.62422997946612213</v>
      </c>
      <c r="M975" s="43">
        <f>VLOOKUP(H975,Data!$P$3:$X$122,9)</f>
        <v>0</v>
      </c>
      <c r="N975" s="43">
        <f t="shared" si="203"/>
        <v>0</v>
      </c>
      <c r="O975" s="43">
        <f t="shared" si="204"/>
        <v>0</v>
      </c>
      <c r="P975" s="30">
        <f t="shared" si="205"/>
        <v>0</v>
      </c>
      <c r="Q975" s="31">
        <f t="shared" si="207"/>
        <v>848340.75061972369</v>
      </c>
    </row>
    <row r="976" spans="1:17" x14ac:dyDescent="0.25">
      <c r="A976" s="6">
        <f t="shared" si="206"/>
        <v>72897</v>
      </c>
      <c r="B976" s="30">
        <f>IFERROR(VLOOKUP(A976, Data!$L$3:$N$123, 3),1)*Pension</f>
        <v>1112306.6040993687</v>
      </c>
      <c r="C976" s="37">
        <f t="shared" si="195"/>
        <v>81.084188911704317</v>
      </c>
      <c r="D976" s="37">
        <f>IFERROR(VLOOKUP(A976,Data!$I$3:$J$1442,2),0)</f>
        <v>7.9803390000000002E-2</v>
      </c>
      <c r="E976" s="37">
        <f t="shared" si="196"/>
        <v>7.9603389999999996E-2</v>
      </c>
      <c r="F976" s="37">
        <f t="shared" si="201"/>
        <v>1.5733057298837961E-3</v>
      </c>
      <c r="G976" s="30">
        <f t="shared" si="202"/>
        <v>1749.9983536171239</v>
      </c>
      <c r="H976" s="38">
        <f t="shared" si="197"/>
        <v>176</v>
      </c>
      <c r="I976" s="39">
        <f t="shared" si="198"/>
        <v>176.70910335386722</v>
      </c>
      <c r="J976" s="40">
        <f t="shared" si="199"/>
        <v>81</v>
      </c>
      <c r="K976" s="43">
        <f>VLOOKUP(J976,Data!$Z$3:$AA$122,2)</f>
        <v>0</v>
      </c>
      <c r="L976" s="41">
        <f t="shared" si="200"/>
        <v>0.70910335386722068</v>
      </c>
      <c r="M976" s="43">
        <f>VLOOKUP(H976,Data!$P$3:$X$122,9)</f>
        <v>0</v>
      </c>
      <c r="N976" s="43">
        <f t="shared" si="203"/>
        <v>0</v>
      </c>
      <c r="O976" s="43">
        <f t="shared" si="204"/>
        <v>0</v>
      </c>
      <c r="P976" s="30">
        <f t="shared" si="205"/>
        <v>0</v>
      </c>
      <c r="Q976" s="31">
        <f t="shared" si="207"/>
        <v>848340.75061972369</v>
      </c>
    </row>
    <row r="977" spans="1:17" x14ac:dyDescent="0.25">
      <c r="A977" s="6">
        <f t="shared" si="206"/>
        <v>72928</v>
      </c>
      <c r="B977" s="30">
        <f>IFERROR(VLOOKUP(A977, Data!$L$3:$N$123, 3),1)*Pension</f>
        <v>1112306.6040993687</v>
      </c>
      <c r="C977" s="37">
        <f t="shared" si="195"/>
        <v>81.169062286105401</v>
      </c>
      <c r="D977" s="37">
        <f>IFERROR(VLOOKUP(A977,Data!$I$3:$J$1442,2),0)</f>
        <v>7.9793138999999999E-2</v>
      </c>
      <c r="E977" s="37">
        <f t="shared" si="196"/>
        <v>7.9593138999999993E-2</v>
      </c>
      <c r="F977" s="37">
        <f t="shared" si="201"/>
        <v>1.5640127932929507E-3</v>
      </c>
      <c r="G977" s="30">
        <f t="shared" si="202"/>
        <v>1739.6617588756499</v>
      </c>
      <c r="H977" s="38">
        <f t="shared" si="197"/>
        <v>176</v>
      </c>
      <c r="I977" s="39">
        <f t="shared" si="198"/>
        <v>176.79397672826832</v>
      </c>
      <c r="J977" s="40">
        <f t="shared" si="199"/>
        <v>81</v>
      </c>
      <c r="K977" s="43">
        <f>VLOOKUP(J977,Data!$Z$3:$AA$122,2)</f>
        <v>0</v>
      </c>
      <c r="L977" s="41">
        <f t="shared" si="200"/>
        <v>0.79397672826831922</v>
      </c>
      <c r="M977" s="43">
        <f>VLOOKUP(H977,Data!$P$3:$X$122,9)</f>
        <v>0</v>
      </c>
      <c r="N977" s="43">
        <f t="shared" si="203"/>
        <v>0</v>
      </c>
      <c r="O977" s="43">
        <f t="shared" si="204"/>
        <v>0</v>
      </c>
      <c r="P977" s="30">
        <f t="shared" si="205"/>
        <v>0</v>
      </c>
      <c r="Q977" s="31">
        <f t="shared" si="207"/>
        <v>848340.75061972369</v>
      </c>
    </row>
    <row r="978" spans="1:17" x14ac:dyDescent="0.25">
      <c r="A978" s="6">
        <f t="shared" si="206"/>
        <v>72958</v>
      </c>
      <c r="B978" s="30">
        <f>IFERROR(VLOOKUP(A978, Data!$L$3:$N$123, 3),1)*Pension</f>
        <v>1112306.6040993687</v>
      </c>
      <c r="C978" s="37">
        <f t="shared" si="195"/>
        <v>81.251197809719372</v>
      </c>
      <c r="D978" s="37">
        <f>IFERROR(VLOOKUP(A978,Data!$I$3:$J$1442,2),0)</f>
        <v>7.9783240000000005E-2</v>
      </c>
      <c r="E978" s="37">
        <f t="shared" si="196"/>
        <v>7.958324E-2</v>
      </c>
      <c r="F978" s="37">
        <f t="shared" si="201"/>
        <v>1.5550717769928651E-3</v>
      </c>
      <c r="G978" s="30">
        <f t="shared" si="202"/>
        <v>1729.7166073977046</v>
      </c>
      <c r="H978" s="38">
        <f t="shared" si="197"/>
        <v>176</v>
      </c>
      <c r="I978" s="39">
        <f t="shared" si="198"/>
        <v>176.87611225188226</v>
      </c>
      <c r="J978" s="40">
        <f t="shared" si="199"/>
        <v>81</v>
      </c>
      <c r="K978" s="43">
        <f>VLOOKUP(J978,Data!$Z$3:$AA$122,2)</f>
        <v>0</v>
      </c>
      <c r="L978" s="41">
        <f t="shared" si="200"/>
        <v>0.87611225188226172</v>
      </c>
      <c r="M978" s="43">
        <f>VLOOKUP(H978,Data!$P$3:$X$122,9)</f>
        <v>0</v>
      </c>
      <c r="N978" s="43">
        <f t="shared" si="203"/>
        <v>0</v>
      </c>
      <c r="O978" s="43">
        <f t="shared" si="204"/>
        <v>0</v>
      </c>
      <c r="P978" s="30">
        <f t="shared" si="205"/>
        <v>0</v>
      </c>
      <c r="Q978" s="31">
        <f t="shared" si="207"/>
        <v>848340.75061972369</v>
      </c>
    </row>
    <row r="979" spans="1:17" x14ac:dyDescent="0.25">
      <c r="A979" s="6">
        <f t="shared" si="206"/>
        <v>72989</v>
      </c>
      <c r="B979" s="30">
        <f>IFERROR(VLOOKUP(A979, Data!$L$3:$N$123, 3),1)*Pension</f>
        <v>1112306.6040993687</v>
      </c>
      <c r="C979" s="37">
        <f t="shared" si="195"/>
        <v>81.33607118412047</v>
      </c>
      <c r="D979" s="37">
        <f>IFERROR(VLOOKUP(A979,Data!$I$3:$J$1442,2),0)</f>
        <v>7.9773030999999994E-2</v>
      </c>
      <c r="E979" s="37">
        <f t="shared" si="196"/>
        <v>7.9573030999999989E-2</v>
      </c>
      <c r="F979" s="37">
        <f t="shared" si="201"/>
        <v>1.5458865510527729E-3</v>
      </c>
      <c r="G979" s="30">
        <f t="shared" si="202"/>
        <v>1719.4998199243951</v>
      </c>
      <c r="H979" s="38">
        <f t="shared" si="197"/>
        <v>176</v>
      </c>
      <c r="I979" s="39">
        <f t="shared" si="198"/>
        <v>176.96098562628336</v>
      </c>
      <c r="J979" s="40">
        <f t="shared" si="199"/>
        <v>81</v>
      </c>
      <c r="K979" s="43">
        <f>VLOOKUP(J979,Data!$Z$3:$AA$122,2)</f>
        <v>0</v>
      </c>
      <c r="L979" s="41">
        <f t="shared" si="200"/>
        <v>0.96098562628336026</v>
      </c>
      <c r="M979" s="43">
        <f>VLOOKUP(H979,Data!$P$3:$X$122,9)</f>
        <v>0</v>
      </c>
      <c r="N979" s="43">
        <f t="shared" si="203"/>
        <v>0</v>
      </c>
      <c r="O979" s="43">
        <f t="shared" si="204"/>
        <v>0</v>
      </c>
      <c r="P979" s="30">
        <f t="shared" si="205"/>
        <v>0</v>
      </c>
      <c r="Q979" s="31">
        <f t="shared" si="207"/>
        <v>848340.75061972369</v>
      </c>
    </row>
    <row r="980" spans="1:17" x14ac:dyDescent="0.25">
      <c r="A980" s="6">
        <f t="shared" si="206"/>
        <v>73019</v>
      </c>
      <c r="B980" s="30">
        <f>IFERROR(VLOOKUP(A980, Data!$L$3:$N$123, 3),1)*Pension</f>
        <v>1112306.6040993687</v>
      </c>
      <c r="C980" s="37">
        <f t="shared" si="195"/>
        <v>81.418206707734427</v>
      </c>
      <c r="D980" s="37">
        <f>IFERROR(VLOOKUP(A980,Data!$I$3:$J$1442,2),0)</f>
        <v>7.9763173000000007E-2</v>
      </c>
      <c r="E980" s="37">
        <f t="shared" si="196"/>
        <v>7.9563173000000001E-2</v>
      </c>
      <c r="F980" s="37">
        <f t="shared" si="201"/>
        <v>1.5370491060722727E-3</v>
      </c>
      <c r="G980" s="30">
        <f t="shared" si="202"/>
        <v>1709.66987150922</v>
      </c>
      <c r="H980" s="38">
        <f t="shared" si="197"/>
        <v>177</v>
      </c>
      <c r="I980" s="39">
        <f t="shared" si="198"/>
        <v>177.04312114989733</v>
      </c>
      <c r="J980" s="40">
        <f t="shared" si="199"/>
        <v>82</v>
      </c>
      <c r="K980" s="43">
        <f>VLOOKUP(J980,Data!$Z$3:$AA$122,2)</f>
        <v>0</v>
      </c>
      <c r="L980" s="41">
        <f t="shared" si="200"/>
        <v>4.3121149897331179E-2</v>
      </c>
      <c r="M980" s="43">
        <f>VLOOKUP(H980,Data!$P$3:$X$122,9)</f>
        <v>0</v>
      </c>
      <c r="N980" s="43">
        <f t="shared" si="203"/>
        <v>0</v>
      </c>
      <c r="O980" s="43">
        <f t="shared" si="204"/>
        <v>0</v>
      </c>
      <c r="P980" s="30">
        <f t="shared" si="205"/>
        <v>0</v>
      </c>
      <c r="Q980" s="31">
        <f t="shared" si="207"/>
        <v>848340.75061972369</v>
      </c>
    </row>
    <row r="981" spans="1:17" x14ac:dyDescent="0.25">
      <c r="A981" s="6">
        <f t="shared" si="206"/>
        <v>73050</v>
      </c>
      <c r="B981" s="30">
        <f>IFERROR(VLOOKUP(A981, Data!$L$3:$N$123, 3),1)*Pension</f>
        <v>1167921.934304337</v>
      </c>
      <c r="C981" s="37">
        <f t="shared" si="195"/>
        <v>81.503080082135526</v>
      </c>
      <c r="D981" s="37">
        <f>IFERROR(VLOOKUP(A981,Data!$I$3:$J$1442,2),0)</f>
        <v>7.9753006000000001E-2</v>
      </c>
      <c r="E981" s="37">
        <f t="shared" si="196"/>
        <v>7.9553005999999996E-2</v>
      </c>
      <c r="F981" s="37">
        <f t="shared" si="201"/>
        <v>1.5279703104007106E-3</v>
      </c>
      <c r="G981" s="30">
        <f t="shared" si="202"/>
        <v>1784.5500404827962</v>
      </c>
      <c r="H981" s="38">
        <f t="shared" si="197"/>
        <v>177</v>
      </c>
      <c r="I981" s="39">
        <f t="shared" si="198"/>
        <v>177.12799452429843</v>
      </c>
      <c r="J981" s="40">
        <f t="shared" si="199"/>
        <v>82</v>
      </c>
      <c r="K981" s="43">
        <f>VLOOKUP(J981,Data!$Z$3:$AA$122,2)</f>
        <v>0</v>
      </c>
      <c r="L981" s="41">
        <f t="shared" si="200"/>
        <v>0.12799452429842972</v>
      </c>
      <c r="M981" s="43">
        <f>VLOOKUP(H981,Data!$P$3:$X$122,9)</f>
        <v>0</v>
      </c>
      <c r="N981" s="43">
        <f t="shared" si="203"/>
        <v>0</v>
      </c>
      <c r="O981" s="43">
        <f t="shared" si="204"/>
        <v>0</v>
      </c>
      <c r="P981" s="30">
        <f t="shared" si="205"/>
        <v>0</v>
      </c>
      <c r="Q981" s="31">
        <f t="shared" si="207"/>
        <v>848340.75061972369</v>
      </c>
    </row>
    <row r="982" spans="1:17" x14ac:dyDescent="0.25">
      <c r="A982" s="6">
        <f t="shared" si="206"/>
        <v>73081</v>
      </c>
      <c r="B982" s="30">
        <f>IFERROR(VLOOKUP(A982, Data!$L$3:$N$123, 3),1)*Pension</f>
        <v>1167921.934304337</v>
      </c>
      <c r="C982" s="37">
        <f t="shared" si="195"/>
        <v>81.587953456536624</v>
      </c>
      <c r="D982" s="37">
        <f>IFERROR(VLOOKUP(A982,Data!$I$3:$J$1442,2),0)</f>
        <v>7.9742860999999998E-2</v>
      </c>
      <c r="E982" s="37">
        <f t="shared" si="196"/>
        <v>7.9542860999999992E-2</v>
      </c>
      <c r="F982" s="37">
        <f t="shared" si="201"/>
        <v>1.5189450349173048E-3</v>
      </c>
      <c r="G982" s="30">
        <f t="shared" si="202"/>
        <v>1774.0092232825873</v>
      </c>
      <c r="H982" s="38">
        <f t="shared" si="197"/>
        <v>177</v>
      </c>
      <c r="I982" s="39">
        <f t="shared" si="198"/>
        <v>177.21286789869953</v>
      </c>
      <c r="J982" s="40">
        <f t="shared" si="199"/>
        <v>82</v>
      </c>
      <c r="K982" s="43">
        <f>VLOOKUP(J982,Data!$Z$3:$AA$122,2)</f>
        <v>0</v>
      </c>
      <c r="L982" s="41">
        <f t="shared" si="200"/>
        <v>0.21286789869952827</v>
      </c>
      <c r="M982" s="43">
        <f>VLOOKUP(H982,Data!$P$3:$X$122,9)</f>
        <v>0</v>
      </c>
      <c r="N982" s="43">
        <f t="shared" si="203"/>
        <v>0</v>
      </c>
      <c r="O982" s="43">
        <f t="shared" si="204"/>
        <v>0</v>
      </c>
      <c r="P982" s="30">
        <f t="shared" si="205"/>
        <v>0</v>
      </c>
      <c r="Q982" s="31">
        <f t="shared" si="207"/>
        <v>848340.75061972369</v>
      </c>
    </row>
    <row r="983" spans="1:17" x14ac:dyDescent="0.25">
      <c r="A983" s="6">
        <f t="shared" si="206"/>
        <v>73109</v>
      </c>
      <c r="B983" s="30">
        <f>IFERROR(VLOOKUP(A983, Data!$L$3:$N$123, 3),1)*Pension</f>
        <v>1167921.934304337</v>
      </c>
      <c r="C983" s="37">
        <f t="shared" si="195"/>
        <v>81.664613278576311</v>
      </c>
      <c r="D983" s="37">
        <f>IFERROR(VLOOKUP(A983,Data!$I$3:$J$1442,2),0)</f>
        <v>7.9733714999999997E-2</v>
      </c>
      <c r="E983" s="37">
        <f t="shared" si="196"/>
        <v>7.9533714999999991E-2</v>
      </c>
      <c r="F983" s="37">
        <f t="shared" si="201"/>
        <v>1.5108391136716675E-3</v>
      </c>
      <c r="G983" s="30">
        <f t="shared" si="202"/>
        <v>1764.5421400620639</v>
      </c>
      <c r="H983" s="38">
        <f t="shared" si="197"/>
        <v>177</v>
      </c>
      <c r="I983" s="39">
        <f t="shared" si="198"/>
        <v>177.28952772073922</v>
      </c>
      <c r="J983" s="40">
        <f t="shared" si="199"/>
        <v>82</v>
      </c>
      <c r="K983" s="43">
        <f>VLOOKUP(J983,Data!$Z$3:$AA$122,2)</f>
        <v>0</v>
      </c>
      <c r="L983" s="41">
        <f t="shared" si="200"/>
        <v>0.28952772073921551</v>
      </c>
      <c r="M983" s="43">
        <f>VLOOKUP(H983,Data!$P$3:$X$122,9)</f>
        <v>0</v>
      </c>
      <c r="N983" s="43">
        <f t="shared" si="203"/>
        <v>0</v>
      </c>
      <c r="O983" s="43">
        <f t="shared" si="204"/>
        <v>0</v>
      </c>
      <c r="P983" s="30">
        <f t="shared" si="205"/>
        <v>0</v>
      </c>
      <c r="Q983" s="31">
        <f t="shared" si="207"/>
        <v>848340.75061972369</v>
      </c>
    </row>
    <row r="984" spans="1:17" x14ac:dyDescent="0.25">
      <c r="A984" s="6">
        <f t="shared" si="206"/>
        <v>73140</v>
      </c>
      <c r="B984" s="30">
        <f>IFERROR(VLOOKUP(A984, Data!$L$3:$N$123, 3),1)*Pension</f>
        <v>1167921.934304337</v>
      </c>
      <c r="C984" s="37">
        <f t="shared" si="195"/>
        <v>81.74948665297741</v>
      </c>
      <c r="D984" s="37">
        <f>IFERROR(VLOOKUP(A984,Data!$I$3:$J$1442,2),0)</f>
        <v>7.972361E-2</v>
      </c>
      <c r="E984" s="37">
        <f t="shared" si="196"/>
        <v>7.9523609999999995E-2</v>
      </c>
      <c r="F984" s="37">
        <f t="shared" si="201"/>
        <v>1.5019150362887822E-3</v>
      </c>
      <c r="G984" s="30">
        <f t="shared" si="202"/>
        <v>1754.119514343163</v>
      </c>
      <c r="H984" s="38">
        <f t="shared" si="197"/>
        <v>177</v>
      </c>
      <c r="I984" s="39">
        <f t="shared" si="198"/>
        <v>177.37440109514031</v>
      </c>
      <c r="J984" s="40">
        <f t="shared" si="199"/>
        <v>82</v>
      </c>
      <c r="K984" s="43">
        <f>VLOOKUP(J984,Data!$Z$3:$AA$122,2)</f>
        <v>0</v>
      </c>
      <c r="L984" s="41">
        <f t="shared" si="200"/>
        <v>0.37440109514031406</v>
      </c>
      <c r="M984" s="43">
        <f>VLOOKUP(H984,Data!$P$3:$X$122,9)</f>
        <v>0</v>
      </c>
      <c r="N984" s="43">
        <f t="shared" si="203"/>
        <v>0</v>
      </c>
      <c r="O984" s="43">
        <f t="shared" si="204"/>
        <v>0</v>
      </c>
      <c r="P984" s="30">
        <f t="shared" si="205"/>
        <v>0</v>
      </c>
      <c r="Q984" s="31">
        <f t="shared" si="207"/>
        <v>848340.75061972369</v>
      </c>
    </row>
    <row r="985" spans="1:17" x14ac:dyDescent="0.25">
      <c r="A985" s="6">
        <f t="shared" si="206"/>
        <v>73170</v>
      </c>
      <c r="B985" s="30">
        <f>IFERROR(VLOOKUP(A985, Data!$L$3:$N$123, 3),1)*Pension</f>
        <v>1167921.934304337</v>
      </c>
      <c r="C985" s="37">
        <f t="shared" si="195"/>
        <v>81.831622176591381</v>
      </c>
      <c r="D985" s="37">
        <f>IFERROR(VLOOKUP(A985,Data!$I$3:$J$1442,2),0)</f>
        <v>7.9713850000000003E-2</v>
      </c>
      <c r="E985" s="37">
        <f t="shared" si="196"/>
        <v>7.9513849999999997E-2</v>
      </c>
      <c r="F985" s="37">
        <f t="shared" si="201"/>
        <v>1.4933291373969029E-3</v>
      </c>
      <c r="G985" s="30">
        <f t="shared" si="202"/>
        <v>1744.0918547016179</v>
      </c>
      <c r="H985" s="38">
        <f t="shared" si="197"/>
        <v>177</v>
      </c>
      <c r="I985" s="39">
        <f t="shared" si="198"/>
        <v>177.45653661875428</v>
      </c>
      <c r="J985" s="40">
        <f t="shared" si="199"/>
        <v>82</v>
      </c>
      <c r="K985" s="43">
        <f>VLOOKUP(J985,Data!$Z$3:$AA$122,2)</f>
        <v>0</v>
      </c>
      <c r="L985" s="41">
        <f t="shared" si="200"/>
        <v>0.45653661875428497</v>
      </c>
      <c r="M985" s="43">
        <f>VLOOKUP(H985,Data!$P$3:$X$122,9)</f>
        <v>0</v>
      </c>
      <c r="N985" s="43">
        <f t="shared" si="203"/>
        <v>0</v>
      </c>
      <c r="O985" s="43">
        <f t="shared" si="204"/>
        <v>0</v>
      </c>
      <c r="P985" s="30">
        <f t="shared" si="205"/>
        <v>0</v>
      </c>
      <c r="Q985" s="31">
        <f t="shared" si="207"/>
        <v>848340.75061972369</v>
      </c>
    </row>
    <row r="986" spans="1:17" x14ac:dyDescent="0.25">
      <c r="A986" s="6">
        <f t="shared" si="206"/>
        <v>73201</v>
      </c>
      <c r="B986" s="30">
        <f>IFERROR(VLOOKUP(A986, Data!$L$3:$N$123, 3),1)*Pension</f>
        <v>1167921.934304337</v>
      </c>
      <c r="C986" s="37">
        <f t="shared" si="195"/>
        <v>81.916495550992465</v>
      </c>
      <c r="D986" s="37">
        <f>IFERROR(VLOOKUP(A986,Data!$I$3:$J$1442,2),0)</f>
        <v>7.9703785999999999E-2</v>
      </c>
      <c r="E986" s="37">
        <f t="shared" si="196"/>
        <v>7.9503785999999993E-2</v>
      </c>
      <c r="F986" s="37">
        <f t="shared" si="201"/>
        <v>1.4845085085911207E-3</v>
      </c>
      <c r="G986" s="30">
        <f t="shared" si="202"/>
        <v>1733.7900488449882</v>
      </c>
      <c r="H986" s="38">
        <f t="shared" si="197"/>
        <v>177</v>
      </c>
      <c r="I986" s="39">
        <f t="shared" si="198"/>
        <v>177.54140999315538</v>
      </c>
      <c r="J986" s="40">
        <f t="shared" si="199"/>
        <v>82</v>
      </c>
      <c r="K986" s="43">
        <f>VLOOKUP(J986,Data!$Z$3:$AA$122,2)</f>
        <v>0</v>
      </c>
      <c r="L986" s="41">
        <f t="shared" si="200"/>
        <v>0.54140999315538352</v>
      </c>
      <c r="M986" s="43">
        <f>VLOOKUP(H986,Data!$P$3:$X$122,9)</f>
        <v>0</v>
      </c>
      <c r="N986" s="43">
        <f t="shared" si="203"/>
        <v>0</v>
      </c>
      <c r="O986" s="43">
        <f t="shared" si="204"/>
        <v>0</v>
      </c>
      <c r="P986" s="30">
        <f t="shared" si="205"/>
        <v>0</v>
      </c>
      <c r="Q986" s="31">
        <f t="shared" si="207"/>
        <v>848340.75061972369</v>
      </c>
    </row>
    <row r="987" spans="1:17" x14ac:dyDescent="0.25">
      <c r="A987" s="6">
        <f t="shared" si="206"/>
        <v>73231</v>
      </c>
      <c r="B987" s="30">
        <f>IFERROR(VLOOKUP(A987, Data!$L$3:$N$123, 3),1)*Pension</f>
        <v>1167921.934304337</v>
      </c>
      <c r="C987" s="37">
        <f t="shared" si="195"/>
        <v>81.998631074606436</v>
      </c>
      <c r="D987" s="37">
        <f>IFERROR(VLOOKUP(A987,Data!$I$3:$J$1442,2),0)</f>
        <v>7.9694066999999993E-2</v>
      </c>
      <c r="E987" s="37">
        <f t="shared" si="196"/>
        <v>7.9494066999999988E-2</v>
      </c>
      <c r="F987" s="37">
        <f t="shared" si="201"/>
        <v>1.4760219634136081E-3</v>
      </c>
      <c r="G987" s="30">
        <f t="shared" si="202"/>
        <v>1723.8784265857066</v>
      </c>
      <c r="H987" s="38">
        <f t="shared" si="197"/>
        <v>177</v>
      </c>
      <c r="I987" s="39">
        <f t="shared" si="198"/>
        <v>177.62354551676933</v>
      </c>
      <c r="J987" s="40">
        <f t="shared" si="199"/>
        <v>82</v>
      </c>
      <c r="K987" s="43">
        <f>VLOOKUP(J987,Data!$Z$3:$AA$122,2)</f>
        <v>0</v>
      </c>
      <c r="L987" s="41">
        <f t="shared" si="200"/>
        <v>0.62354551676932601</v>
      </c>
      <c r="M987" s="43">
        <f>VLOOKUP(H987,Data!$P$3:$X$122,9)</f>
        <v>0</v>
      </c>
      <c r="N987" s="43">
        <f t="shared" si="203"/>
        <v>0</v>
      </c>
      <c r="O987" s="43">
        <f t="shared" si="204"/>
        <v>0</v>
      </c>
      <c r="P987" s="30">
        <f t="shared" si="205"/>
        <v>0</v>
      </c>
      <c r="Q987" s="31">
        <f t="shared" si="207"/>
        <v>848340.75061972369</v>
      </c>
    </row>
    <row r="988" spans="1:17" x14ac:dyDescent="0.25">
      <c r="A988" s="6">
        <f t="shared" si="206"/>
        <v>73262</v>
      </c>
      <c r="B988" s="30">
        <f>IFERROR(VLOOKUP(A988, Data!$L$3:$N$123, 3),1)*Pension</f>
        <v>1167921.934304337</v>
      </c>
      <c r="C988" s="37">
        <f t="shared" si="195"/>
        <v>82.083504449007535</v>
      </c>
      <c r="D988" s="37">
        <f>IFERROR(VLOOKUP(A988,Data!$I$3:$J$1442,2),0)</f>
        <v>7.9684042999999996E-2</v>
      </c>
      <c r="E988" s="37">
        <f t="shared" si="196"/>
        <v>7.948404299999999E-2</v>
      </c>
      <c r="F988" s="37">
        <f t="shared" si="201"/>
        <v>1.467303674909171E-3</v>
      </c>
      <c r="G988" s="30">
        <f t="shared" si="202"/>
        <v>1713.6961462117811</v>
      </c>
      <c r="H988" s="38">
        <f t="shared" si="197"/>
        <v>177</v>
      </c>
      <c r="I988" s="39">
        <f t="shared" si="198"/>
        <v>177.70841889117042</v>
      </c>
      <c r="J988" s="40">
        <f t="shared" si="199"/>
        <v>82</v>
      </c>
      <c r="K988" s="43">
        <f>VLOOKUP(J988,Data!$Z$3:$AA$122,2)</f>
        <v>0</v>
      </c>
      <c r="L988" s="41">
        <f t="shared" si="200"/>
        <v>0.70841889117042456</v>
      </c>
      <c r="M988" s="43">
        <f>VLOOKUP(H988,Data!$P$3:$X$122,9)</f>
        <v>0</v>
      </c>
      <c r="N988" s="43">
        <f t="shared" si="203"/>
        <v>0</v>
      </c>
      <c r="O988" s="43">
        <f t="shared" si="204"/>
        <v>0</v>
      </c>
      <c r="P988" s="30">
        <f t="shared" si="205"/>
        <v>0</v>
      </c>
      <c r="Q988" s="31">
        <f t="shared" si="207"/>
        <v>848340.75061972369</v>
      </c>
    </row>
    <row r="989" spans="1:17" x14ac:dyDescent="0.25">
      <c r="A989" s="6">
        <f t="shared" si="206"/>
        <v>73293</v>
      </c>
      <c r="B989" s="30">
        <f>IFERROR(VLOOKUP(A989, Data!$L$3:$N$123, 3),1)*Pension</f>
        <v>1167921.934304337</v>
      </c>
      <c r="C989" s="37">
        <f t="shared" si="195"/>
        <v>82.168377823408619</v>
      </c>
      <c r="D989" s="37">
        <f>IFERROR(VLOOKUP(A989,Data!$I$3:$J$1442,2),0)</f>
        <v>7.9674041000000001E-2</v>
      </c>
      <c r="E989" s="37">
        <f t="shared" si="196"/>
        <v>7.9474040999999995E-2</v>
      </c>
      <c r="F989" s="37">
        <f t="shared" si="201"/>
        <v>1.4586367270959465E-3</v>
      </c>
      <c r="G989" s="30">
        <f t="shared" si="202"/>
        <v>1703.5738277572452</v>
      </c>
      <c r="H989" s="38">
        <f t="shared" si="197"/>
        <v>177</v>
      </c>
      <c r="I989" s="39">
        <f t="shared" si="198"/>
        <v>177.79329226557152</v>
      </c>
      <c r="J989" s="40">
        <f t="shared" si="199"/>
        <v>82</v>
      </c>
      <c r="K989" s="43">
        <f>VLOOKUP(J989,Data!$Z$3:$AA$122,2)</f>
        <v>0</v>
      </c>
      <c r="L989" s="41">
        <f t="shared" si="200"/>
        <v>0.7932922655715231</v>
      </c>
      <c r="M989" s="43">
        <f>VLOOKUP(H989,Data!$P$3:$X$122,9)</f>
        <v>0</v>
      </c>
      <c r="N989" s="43">
        <f t="shared" si="203"/>
        <v>0</v>
      </c>
      <c r="O989" s="43">
        <f t="shared" si="204"/>
        <v>0</v>
      </c>
      <c r="P989" s="30">
        <f t="shared" si="205"/>
        <v>0</v>
      </c>
      <c r="Q989" s="31">
        <f t="shared" si="207"/>
        <v>848340.75061972369</v>
      </c>
    </row>
    <row r="990" spans="1:17" x14ac:dyDescent="0.25">
      <c r="A990" s="6">
        <f t="shared" si="206"/>
        <v>73323</v>
      </c>
      <c r="B990" s="30">
        <f>IFERROR(VLOOKUP(A990, Data!$L$3:$N$123, 3),1)*Pension</f>
        <v>1167921.934304337</v>
      </c>
      <c r="C990" s="37">
        <f t="shared" si="195"/>
        <v>82.25051334702259</v>
      </c>
      <c r="D990" s="37">
        <f>IFERROR(VLOOKUP(A990,Data!$I$3:$J$1442,2),0)</f>
        <v>7.9664381000000006E-2</v>
      </c>
      <c r="E990" s="37">
        <f t="shared" si="196"/>
        <v>7.9464381000000001E-2</v>
      </c>
      <c r="F990" s="37">
        <f t="shared" si="201"/>
        <v>1.4502981397661837E-3</v>
      </c>
      <c r="G990" s="30">
        <f t="shared" si="202"/>
        <v>1693.835008713703</v>
      </c>
      <c r="H990" s="38">
        <f t="shared" si="197"/>
        <v>177</v>
      </c>
      <c r="I990" s="39">
        <f t="shared" si="198"/>
        <v>177.87542778918549</v>
      </c>
      <c r="J990" s="40">
        <f t="shared" si="199"/>
        <v>82</v>
      </c>
      <c r="K990" s="43">
        <f>VLOOKUP(J990,Data!$Z$3:$AA$122,2)</f>
        <v>0</v>
      </c>
      <c r="L990" s="41">
        <f t="shared" si="200"/>
        <v>0.87542778918549402</v>
      </c>
      <c r="M990" s="43">
        <f>VLOOKUP(H990,Data!$P$3:$X$122,9)</f>
        <v>0</v>
      </c>
      <c r="N990" s="43">
        <f t="shared" si="203"/>
        <v>0</v>
      </c>
      <c r="O990" s="43">
        <f t="shared" si="204"/>
        <v>0</v>
      </c>
      <c r="P990" s="30">
        <f t="shared" si="205"/>
        <v>0</v>
      </c>
      <c r="Q990" s="31">
        <f t="shared" si="207"/>
        <v>848340.75061972369</v>
      </c>
    </row>
    <row r="991" spans="1:17" x14ac:dyDescent="0.25">
      <c r="A991" s="6">
        <f t="shared" si="206"/>
        <v>73354</v>
      </c>
      <c r="B991" s="30">
        <f>IFERROR(VLOOKUP(A991, Data!$L$3:$N$123, 3),1)*Pension</f>
        <v>1167921.934304337</v>
      </c>
      <c r="C991" s="37">
        <f t="shared" si="195"/>
        <v>82.335386721423689</v>
      </c>
      <c r="D991" s="37">
        <f>IFERROR(VLOOKUP(A991,Data!$I$3:$J$1442,2),0)</f>
        <v>7.9654419000000004E-2</v>
      </c>
      <c r="E991" s="37">
        <f t="shared" si="196"/>
        <v>7.9454418999999998E-2</v>
      </c>
      <c r="F991" s="37">
        <f t="shared" si="201"/>
        <v>1.4417317048531549E-3</v>
      </c>
      <c r="G991" s="30">
        <f t="shared" si="202"/>
        <v>1683.8300814799861</v>
      </c>
      <c r="H991" s="38">
        <f t="shared" si="197"/>
        <v>177</v>
      </c>
      <c r="I991" s="39">
        <f t="shared" si="198"/>
        <v>177.96030116358659</v>
      </c>
      <c r="J991" s="40">
        <f t="shared" si="199"/>
        <v>82</v>
      </c>
      <c r="K991" s="43">
        <f>VLOOKUP(J991,Data!$Z$3:$AA$122,2)</f>
        <v>0</v>
      </c>
      <c r="L991" s="41">
        <f t="shared" si="200"/>
        <v>0.96030116358659257</v>
      </c>
      <c r="M991" s="43">
        <f>VLOOKUP(H991,Data!$P$3:$X$122,9)</f>
        <v>0</v>
      </c>
      <c r="N991" s="43">
        <f t="shared" si="203"/>
        <v>0</v>
      </c>
      <c r="O991" s="43">
        <f t="shared" si="204"/>
        <v>0</v>
      </c>
      <c r="P991" s="30">
        <f t="shared" si="205"/>
        <v>0</v>
      </c>
      <c r="Q991" s="31">
        <f t="shared" si="207"/>
        <v>848340.75061972369</v>
      </c>
    </row>
    <row r="992" spans="1:17" x14ac:dyDescent="0.25">
      <c r="A992" s="6">
        <f t="shared" si="206"/>
        <v>73384</v>
      </c>
      <c r="B992" s="30">
        <f>IFERROR(VLOOKUP(A992, Data!$L$3:$N$123, 3),1)*Pension</f>
        <v>1167921.934304337</v>
      </c>
      <c r="C992" s="37">
        <f t="shared" si="195"/>
        <v>82.417522245037645</v>
      </c>
      <c r="D992" s="37">
        <f>IFERROR(VLOOKUP(A992,Data!$I$3:$J$1442,2),0)</f>
        <v>7.9644798000000003E-2</v>
      </c>
      <c r="E992" s="37">
        <f t="shared" si="196"/>
        <v>7.9444797999999997E-2</v>
      </c>
      <c r="F992" s="37">
        <f t="shared" si="201"/>
        <v>1.4334897737676164E-3</v>
      </c>
      <c r="G992" s="30">
        <f t="shared" si="202"/>
        <v>1674.2041493841609</v>
      </c>
      <c r="H992" s="38">
        <f t="shared" si="197"/>
        <v>178</v>
      </c>
      <c r="I992" s="39">
        <f t="shared" si="198"/>
        <v>178.04243668720054</v>
      </c>
      <c r="J992" s="40">
        <f t="shared" si="199"/>
        <v>83</v>
      </c>
      <c r="K992" s="43">
        <f>VLOOKUP(J992,Data!$Z$3:$AA$122,2)</f>
        <v>0</v>
      </c>
      <c r="L992" s="41">
        <f t="shared" si="200"/>
        <v>4.2436687200535061E-2</v>
      </c>
      <c r="M992" s="43">
        <f>VLOOKUP(H992,Data!$P$3:$X$122,9)</f>
        <v>0</v>
      </c>
      <c r="N992" s="43">
        <f t="shared" si="203"/>
        <v>0</v>
      </c>
      <c r="O992" s="43">
        <f t="shared" si="204"/>
        <v>0</v>
      </c>
      <c r="P992" s="30">
        <f t="shared" si="205"/>
        <v>0</v>
      </c>
      <c r="Q992" s="31">
        <f t="shared" si="207"/>
        <v>848340.75061972369</v>
      </c>
    </row>
    <row r="993" spans="1:17" x14ac:dyDescent="0.25">
      <c r="A993" s="6">
        <f t="shared" si="206"/>
        <v>73415</v>
      </c>
      <c r="B993" s="30">
        <f>IFERROR(VLOOKUP(A993, Data!$L$3:$N$123, 3),1)*Pension</f>
        <v>1226318.0310195538</v>
      </c>
      <c r="C993" s="37">
        <f t="shared" si="195"/>
        <v>82.502395619438744</v>
      </c>
      <c r="D993" s="37">
        <f>IFERROR(VLOOKUP(A993,Data!$I$3:$J$1442,2),0)</f>
        <v>7.9634875999999993E-2</v>
      </c>
      <c r="E993" s="37">
        <f t="shared" si="196"/>
        <v>7.9434875999999988E-2</v>
      </c>
      <c r="F993" s="37">
        <f t="shared" si="201"/>
        <v>1.4250226570081792E-3</v>
      </c>
      <c r="G993" s="30">
        <f t="shared" si="202"/>
        <v>1747.5309789005232</v>
      </c>
      <c r="H993" s="38">
        <f t="shared" si="197"/>
        <v>178</v>
      </c>
      <c r="I993" s="39">
        <f t="shared" si="198"/>
        <v>178.12731006160163</v>
      </c>
      <c r="J993" s="40">
        <f t="shared" si="199"/>
        <v>83</v>
      </c>
      <c r="K993" s="43">
        <f>VLOOKUP(J993,Data!$Z$3:$AA$122,2)</f>
        <v>0</v>
      </c>
      <c r="L993" s="41">
        <f t="shared" si="200"/>
        <v>0.12731006160163361</v>
      </c>
      <c r="M993" s="43">
        <f>VLOOKUP(H993,Data!$P$3:$X$122,9)</f>
        <v>0</v>
      </c>
      <c r="N993" s="43">
        <f t="shared" si="203"/>
        <v>0</v>
      </c>
      <c r="O993" s="43">
        <f t="shared" si="204"/>
        <v>0</v>
      </c>
      <c r="P993" s="30">
        <f t="shared" si="205"/>
        <v>0</v>
      </c>
      <c r="Q993" s="31">
        <f t="shared" si="207"/>
        <v>848340.75061972369</v>
      </c>
    </row>
    <row r="994" spans="1:17" x14ac:dyDescent="0.25">
      <c r="A994" s="6">
        <f t="shared" si="206"/>
        <v>73446</v>
      </c>
      <c r="B994" s="30">
        <f>IFERROR(VLOOKUP(A994, Data!$L$3:$N$123, 3),1)*Pension</f>
        <v>1226318.0310195538</v>
      </c>
      <c r="C994" s="37">
        <f t="shared" si="195"/>
        <v>82.587268993839842</v>
      </c>
      <c r="D994" s="37">
        <f>IFERROR(VLOOKUP(A994,Data!$I$3:$J$1442,2),0)</f>
        <v>7.9624975000000001E-2</v>
      </c>
      <c r="E994" s="37">
        <f t="shared" si="196"/>
        <v>7.9424974999999995E-2</v>
      </c>
      <c r="F994" s="37">
        <f t="shared" si="201"/>
        <v>1.416605481531198E-3</v>
      </c>
      <c r="G994" s="30">
        <f t="shared" si="202"/>
        <v>1737.2088448428456</v>
      </c>
      <c r="H994" s="38">
        <f t="shared" si="197"/>
        <v>178</v>
      </c>
      <c r="I994" s="39">
        <f t="shared" si="198"/>
        <v>178.21218343600273</v>
      </c>
      <c r="J994" s="40">
        <f t="shared" si="199"/>
        <v>83</v>
      </c>
      <c r="K994" s="43">
        <f>VLOOKUP(J994,Data!$Z$3:$AA$122,2)</f>
        <v>0</v>
      </c>
      <c r="L994" s="41">
        <f t="shared" si="200"/>
        <v>0.21218343600273215</v>
      </c>
      <c r="M994" s="43">
        <f>VLOOKUP(H994,Data!$P$3:$X$122,9)</f>
        <v>0</v>
      </c>
      <c r="N994" s="43">
        <f t="shared" si="203"/>
        <v>0</v>
      </c>
      <c r="O994" s="43">
        <f t="shared" si="204"/>
        <v>0</v>
      </c>
      <c r="P994" s="30">
        <f t="shared" si="205"/>
        <v>0</v>
      </c>
      <c r="Q994" s="31">
        <f t="shared" si="207"/>
        <v>848340.75061972369</v>
      </c>
    </row>
    <row r="995" spans="1:17" x14ac:dyDescent="0.25">
      <c r="A995" s="6">
        <f t="shared" si="206"/>
        <v>73474</v>
      </c>
      <c r="B995" s="30">
        <f>IFERROR(VLOOKUP(A995, Data!$L$3:$N$123, 3),1)*Pension</f>
        <v>1226318.0310195538</v>
      </c>
      <c r="C995" s="37">
        <f t="shared" si="195"/>
        <v>82.66392881587953</v>
      </c>
      <c r="D995" s="37">
        <f>IFERROR(VLOOKUP(A995,Data!$I$3:$J$1442,2),0)</f>
        <v>7.9616048999999994E-2</v>
      </c>
      <c r="E995" s="37">
        <f t="shared" si="196"/>
        <v>7.9416048999999989E-2</v>
      </c>
      <c r="F995" s="37">
        <f t="shared" si="201"/>
        <v>1.4090456871305845E-3</v>
      </c>
      <c r="G995" s="30">
        <f t="shared" si="202"/>
        <v>1727.9381326585726</v>
      </c>
      <c r="H995" s="38">
        <f t="shared" si="197"/>
        <v>178</v>
      </c>
      <c r="I995" s="39">
        <f t="shared" si="198"/>
        <v>178.28884325804245</v>
      </c>
      <c r="J995" s="40">
        <f t="shared" si="199"/>
        <v>83</v>
      </c>
      <c r="K995" s="43">
        <f>VLOOKUP(J995,Data!$Z$3:$AA$122,2)</f>
        <v>0</v>
      </c>
      <c r="L995" s="41">
        <f t="shared" si="200"/>
        <v>0.28884325804244781</v>
      </c>
      <c r="M995" s="43">
        <f>VLOOKUP(H995,Data!$P$3:$X$122,9)</f>
        <v>0</v>
      </c>
      <c r="N995" s="43">
        <f t="shared" si="203"/>
        <v>0</v>
      </c>
      <c r="O995" s="43">
        <f t="shared" si="204"/>
        <v>0</v>
      </c>
      <c r="P995" s="30">
        <f t="shared" si="205"/>
        <v>0</v>
      </c>
      <c r="Q995" s="31">
        <f t="shared" si="207"/>
        <v>848340.75061972369</v>
      </c>
    </row>
    <row r="996" spans="1:17" x14ac:dyDescent="0.25">
      <c r="A996" s="6">
        <f t="shared" si="206"/>
        <v>73505</v>
      </c>
      <c r="B996" s="30">
        <f>IFERROR(VLOOKUP(A996, Data!$L$3:$N$123, 3),1)*Pension</f>
        <v>1226318.0310195538</v>
      </c>
      <c r="C996" s="37">
        <f t="shared" si="195"/>
        <v>82.748802190280628</v>
      </c>
      <c r="D996" s="37">
        <f>IFERROR(VLOOKUP(A996,Data!$I$3:$J$1442,2),0)</f>
        <v>7.9606186999999995E-2</v>
      </c>
      <c r="E996" s="37">
        <f t="shared" si="196"/>
        <v>7.9406186999999989E-2</v>
      </c>
      <c r="F996" s="37">
        <f t="shared" si="201"/>
        <v>1.4007228408014045E-3</v>
      </c>
      <c r="G996" s="30">
        <f t="shared" si="202"/>
        <v>1717.7316761356942</v>
      </c>
      <c r="H996" s="38">
        <f t="shared" si="197"/>
        <v>178</v>
      </c>
      <c r="I996" s="39">
        <f t="shared" si="198"/>
        <v>178.37371663244352</v>
      </c>
      <c r="J996" s="40">
        <f t="shared" si="199"/>
        <v>83</v>
      </c>
      <c r="K996" s="43">
        <f>VLOOKUP(J996,Data!$Z$3:$AA$122,2)</f>
        <v>0</v>
      </c>
      <c r="L996" s="41">
        <f t="shared" si="200"/>
        <v>0.37371663244351794</v>
      </c>
      <c r="M996" s="43">
        <f>VLOOKUP(H996,Data!$P$3:$X$122,9)</f>
        <v>0</v>
      </c>
      <c r="N996" s="43">
        <f t="shared" si="203"/>
        <v>0</v>
      </c>
      <c r="O996" s="43">
        <f t="shared" si="204"/>
        <v>0</v>
      </c>
      <c r="P996" s="30">
        <f t="shared" si="205"/>
        <v>0</v>
      </c>
      <c r="Q996" s="31">
        <f t="shared" si="207"/>
        <v>848340.75061972369</v>
      </c>
    </row>
    <row r="997" spans="1:17" x14ac:dyDescent="0.25">
      <c r="A997" s="6">
        <f t="shared" si="206"/>
        <v>73535</v>
      </c>
      <c r="B997" s="30">
        <f>IFERROR(VLOOKUP(A997, Data!$L$3:$N$123, 3),1)*Pension</f>
        <v>1226318.0310195538</v>
      </c>
      <c r="C997" s="37">
        <f t="shared" si="195"/>
        <v>82.830937713894599</v>
      </c>
      <c r="D997" s="37">
        <f>IFERROR(VLOOKUP(A997,Data!$I$3:$J$1442,2),0)</f>
        <v>7.9596660999999999E-2</v>
      </c>
      <c r="E997" s="37">
        <f t="shared" si="196"/>
        <v>7.9396660999999993E-2</v>
      </c>
      <c r="F997" s="37">
        <f t="shared" si="201"/>
        <v>1.3927154422360066E-3</v>
      </c>
      <c r="G997" s="30">
        <f t="shared" si="202"/>
        <v>1707.9120588933868</v>
      </c>
      <c r="H997" s="38">
        <f t="shared" si="197"/>
        <v>178</v>
      </c>
      <c r="I997" s="39">
        <f t="shared" si="198"/>
        <v>178.45585215605749</v>
      </c>
      <c r="J997" s="40">
        <f t="shared" si="199"/>
        <v>83</v>
      </c>
      <c r="K997" s="43">
        <f>VLOOKUP(J997,Data!$Z$3:$AA$122,2)</f>
        <v>0</v>
      </c>
      <c r="L997" s="41">
        <f t="shared" si="200"/>
        <v>0.45585215605748886</v>
      </c>
      <c r="M997" s="43">
        <f>VLOOKUP(H997,Data!$P$3:$X$122,9)</f>
        <v>0</v>
      </c>
      <c r="N997" s="43">
        <f t="shared" si="203"/>
        <v>0</v>
      </c>
      <c r="O997" s="43">
        <f t="shared" si="204"/>
        <v>0</v>
      </c>
      <c r="P997" s="30">
        <f t="shared" si="205"/>
        <v>0</v>
      </c>
      <c r="Q997" s="31">
        <f t="shared" si="207"/>
        <v>848340.75061972369</v>
      </c>
    </row>
    <row r="998" spans="1:17" x14ac:dyDescent="0.25">
      <c r="A998" s="6">
        <f t="shared" si="206"/>
        <v>73566</v>
      </c>
      <c r="B998" s="30">
        <f>IFERROR(VLOOKUP(A998, Data!$L$3:$N$123, 3),1)*Pension</f>
        <v>1226318.0310195538</v>
      </c>
      <c r="C998" s="37">
        <f t="shared" si="195"/>
        <v>82.915811088295683</v>
      </c>
      <c r="D998" s="37">
        <f>IFERROR(VLOOKUP(A998,Data!$I$3:$J$1442,2),0)</f>
        <v>7.9586837999999993E-2</v>
      </c>
      <c r="E998" s="37">
        <f t="shared" si="196"/>
        <v>7.9386837999999987E-2</v>
      </c>
      <c r="F998" s="37">
        <f t="shared" si="201"/>
        <v>1.3844891356608567E-3</v>
      </c>
      <c r="G998" s="30">
        <f t="shared" si="202"/>
        <v>1697.8239908115856</v>
      </c>
      <c r="H998" s="38">
        <f t="shared" si="197"/>
        <v>178</v>
      </c>
      <c r="I998" s="39">
        <f t="shared" si="198"/>
        <v>178.54072553045859</v>
      </c>
      <c r="J998" s="40">
        <f t="shared" si="199"/>
        <v>83</v>
      </c>
      <c r="K998" s="43">
        <f>VLOOKUP(J998,Data!$Z$3:$AA$122,2)</f>
        <v>0</v>
      </c>
      <c r="L998" s="41">
        <f t="shared" si="200"/>
        <v>0.5407255304585874</v>
      </c>
      <c r="M998" s="43">
        <f>VLOOKUP(H998,Data!$P$3:$X$122,9)</f>
        <v>0</v>
      </c>
      <c r="N998" s="43">
        <f t="shared" si="203"/>
        <v>0</v>
      </c>
      <c r="O998" s="43">
        <f t="shared" si="204"/>
        <v>0</v>
      </c>
      <c r="P998" s="30">
        <f t="shared" si="205"/>
        <v>0</v>
      </c>
      <c r="Q998" s="31">
        <f t="shared" si="207"/>
        <v>848340.75061972369</v>
      </c>
    </row>
    <row r="999" spans="1:17" x14ac:dyDescent="0.25">
      <c r="A999" s="6">
        <f t="shared" si="206"/>
        <v>73596</v>
      </c>
      <c r="B999" s="30">
        <f>IFERROR(VLOOKUP(A999, Data!$L$3:$N$123, 3),1)*Pension</f>
        <v>1226318.0310195538</v>
      </c>
      <c r="C999" s="37">
        <f t="shared" si="195"/>
        <v>82.997946611909654</v>
      </c>
      <c r="D999" s="37">
        <f>IFERROR(VLOOKUP(A999,Data!$I$3:$J$1442,2),0)</f>
        <v>7.9577352000000004E-2</v>
      </c>
      <c r="E999" s="37">
        <f t="shared" si="196"/>
        <v>7.9377351999999998E-2</v>
      </c>
      <c r="F999" s="37">
        <f t="shared" si="201"/>
        <v>1.3765743466224664E-3</v>
      </c>
      <c r="G999" s="30">
        <f t="shared" si="202"/>
        <v>1688.1179423020917</v>
      </c>
      <c r="H999" s="38">
        <f t="shared" si="197"/>
        <v>178</v>
      </c>
      <c r="I999" s="39">
        <f t="shared" si="198"/>
        <v>178.62286105407256</v>
      </c>
      <c r="J999" s="40">
        <f t="shared" si="199"/>
        <v>83</v>
      </c>
      <c r="K999" s="43">
        <f>VLOOKUP(J999,Data!$Z$3:$AA$122,2)</f>
        <v>0</v>
      </c>
      <c r="L999" s="41">
        <f t="shared" si="200"/>
        <v>0.62286105407255832</v>
      </c>
      <c r="M999" s="43">
        <f>VLOOKUP(H999,Data!$P$3:$X$122,9)</f>
        <v>0</v>
      </c>
      <c r="N999" s="43">
        <f t="shared" si="203"/>
        <v>0</v>
      </c>
      <c r="O999" s="43">
        <f t="shared" si="204"/>
        <v>0</v>
      </c>
      <c r="P999" s="30">
        <f t="shared" si="205"/>
        <v>0</v>
      </c>
      <c r="Q999" s="31">
        <f t="shared" si="207"/>
        <v>848340.75061972369</v>
      </c>
    </row>
    <row r="1000" spans="1:17" x14ac:dyDescent="0.25">
      <c r="A1000" s="6">
        <f t="shared" si="206"/>
        <v>73627</v>
      </c>
      <c r="B1000" s="30">
        <f>IFERROR(VLOOKUP(A1000, Data!$L$3:$N$123, 3),1)*Pension</f>
        <v>1226318.0310195538</v>
      </c>
      <c r="C1000" s="37">
        <f t="shared" si="195"/>
        <v>83.082819986310753</v>
      </c>
      <c r="D1000" s="37">
        <f>IFERROR(VLOOKUP(A1000,Data!$I$3:$J$1442,2),0)</f>
        <v>7.9567568000000005E-2</v>
      </c>
      <c r="E1000" s="37">
        <f t="shared" si="196"/>
        <v>7.9367567999999999E-2</v>
      </c>
      <c r="F1000" s="37">
        <f t="shared" si="201"/>
        <v>1.3684434336581422E-3</v>
      </c>
      <c r="G1000" s="30">
        <f t="shared" si="202"/>
        <v>1678.1468571252904</v>
      </c>
      <c r="H1000" s="38">
        <f t="shared" si="197"/>
        <v>178</v>
      </c>
      <c r="I1000" s="39">
        <f t="shared" si="198"/>
        <v>178.70773442847366</v>
      </c>
      <c r="J1000" s="40">
        <f t="shared" si="199"/>
        <v>83</v>
      </c>
      <c r="K1000" s="43">
        <f>VLOOKUP(J1000,Data!$Z$3:$AA$122,2)</f>
        <v>0</v>
      </c>
      <c r="L1000" s="41">
        <f t="shared" si="200"/>
        <v>0.70773442847365686</v>
      </c>
      <c r="M1000" s="43">
        <f>VLOOKUP(H1000,Data!$P$3:$X$122,9)</f>
        <v>0</v>
      </c>
      <c r="N1000" s="43">
        <f t="shared" si="203"/>
        <v>0</v>
      </c>
      <c r="O1000" s="43">
        <f t="shared" si="204"/>
        <v>0</v>
      </c>
      <c r="P1000" s="30">
        <f t="shared" si="205"/>
        <v>0</v>
      </c>
      <c r="Q1000" s="31">
        <f t="shared" si="207"/>
        <v>848340.75061972369</v>
      </c>
    </row>
    <row r="1001" spans="1:17" x14ac:dyDescent="0.25">
      <c r="A1001" s="6">
        <f t="shared" si="206"/>
        <v>73658</v>
      </c>
      <c r="B1001" s="30">
        <f>IFERROR(VLOOKUP(A1001, Data!$L$3:$N$123, 3),1)*Pension</f>
        <v>1226318.0310195538</v>
      </c>
      <c r="C1001" s="37">
        <f t="shared" si="195"/>
        <v>83.167693360711837</v>
      </c>
      <c r="D1001" s="37">
        <f>IFERROR(VLOOKUP(A1001,Data!$I$3:$J$1442,2),0)</f>
        <v>7.9557804999999995E-2</v>
      </c>
      <c r="E1001" s="37">
        <f t="shared" si="196"/>
        <v>7.935780499999999E-2</v>
      </c>
      <c r="F1001" s="37">
        <f t="shared" si="201"/>
        <v>1.3603604303650274E-3</v>
      </c>
      <c r="G1001" s="30">
        <f t="shared" si="202"/>
        <v>1668.2345244421531</v>
      </c>
      <c r="H1001" s="38">
        <f t="shared" si="197"/>
        <v>178</v>
      </c>
      <c r="I1001" s="39">
        <f t="shared" si="198"/>
        <v>178.79260780287476</v>
      </c>
      <c r="J1001" s="40">
        <f t="shared" si="199"/>
        <v>83</v>
      </c>
      <c r="K1001" s="43">
        <f>VLOOKUP(J1001,Data!$Z$3:$AA$122,2)</f>
        <v>0</v>
      </c>
      <c r="L1001" s="41">
        <f t="shared" si="200"/>
        <v>0.79260780287475541</v>
      </c>
      <c r="M1001" s="43">
        <f>VLOOKUP(H1001,Data!$P$3:$X$122,9)</f>
        <v>0</v>
      </c>
      <c r="N1001" s="43">
        <f t="shared" si="203"/>
        <v>0</v>
      </c>
      <c r="O1001" s="43">
        <f t="shared" si="204"/>
        <v>0</v>
      </c>
      <c r="P1001" s="30">
        <f t="shared" si="205"/>
        <v>0</v>
      </c>
      <c r="Q1001" s="31">
        <f t="shared" si="207"/>
        <v>848340.75061972369</v>
      </c>
    </row>
    <row r="1002" spans="1:17" x14ac:dyDescent="0.25">
      <c r="A1002" s="6">
        <f t="shared" si="206"/>
        <v>73688</v>
      </c>
      <c r="B1002" s="30">
        <f>IFERROR(VLOOKUP(A1002, Data!$L$3:$N$123, 3),1)*Pension</f>
        <v>1226318.0310195538</v>
      </c>
      <c r="C1002" s="37">
        <f t="shared" si="195"/>
        <v>83.249828884325808</v>
      </c>
      <c r="D1002" s="37">
        <f>IFERROR(VLOOKUP(A1002,Data!$I$3:$J$1442,2),0)</f>
        <v>7.9548375000000004E-2</v>
      </c>
      <c r="E1002" s="37">
        <f t="shared" si="196"/>
        <v>7.9348374999999999E-2</v>
      </c>
      <c r="F1002" s="37">
        <f t="shared" si="201"/>
        <v>1.3525837307871481E-3</v>
      </c>
      <c r="G1002" s="30">
        <f t="shared" si="202"/>
        <v>1658.6978175279776</v>
      </c>
      <c r="H1002" s="38">
        <f t="shared" si="197"/>
        <v>178</v>
      </c>
      <c r="I1002" s="39">
        <f t="shared" si="198"/>
        <v>178.8747433264887</v>
      </c>
      <c r="J1002" s="40">
        <f t="shared" si="199"/>
        <v>83</v>
      </c>
      <c r="K1002" s="43">
        <f>VLOOKUP(J1002,Data!$Z$3:$AA$122,2)</f>
        <v>0</v>
      </c>
      <c r="L1002" s="41">
        <f t="shared" si="200"/>
        <v>0.8747433264886979</v>
      </c>
      <c r="M1002" s="43">
        <f>VLOOKUP(H1002,Data!$P$3:$X$122,9)</f>
        <v>0</v>
      </c>
      <c r="N1002" s="43">
        <f t="shared" si="203"/>
        <v>0</v>
      </c>
      <c r="O1002" s="43">
        <f t="shared" si="204"/>
        <v>0</v>
      </c>
      <c r="P1002" s="30">
        <f t="shared" si="205"/>
        <v>0</v>
      </c>
      <c r="Q1002" s="31">
        <f t="shared" si="207"/>
        <v>848340.75061972369</v>
      </c>
    </row>
    <row r="1003" spans="1:17" x14ac:dyDescent="0.25">
      <c r="A1003" s="6">
        <f t="shared" si="206"/>
        <v>73719</v>
      </c>
      <c r="B1003" s="30">
        <f>IFERROR(VLOOKUP(A1003, Data!$L$3:$N$123, 3),1)*Pension</f>
        <v>1226318.0310195538</v>
      </c>
      <c r="C1003" s="37">
        <f t="shared" si="195"/>
        <v>83.334702258726892</v>
      </c>
      <c r="D1003" s="37">
        <f>IFERROR(VLOOKUP(A1003,Data!$I$3:$J$1442,2),0)</f>
        <v>7.9538651000000002E-2</v>
      </c>
      <c r="E1003" s="37">
        <f t="shared" si="196"/>
        <v>7.9338650999999996E-2</v>
      </c>
      <c r="F1003" s="37">
        <f t="shared" si="201"/>
        <v>1.3445944188933581E-3</v>
      </c>
      <c r="G1003" s="30">
        <f t="shared" si="202"/>
        <v>1648.900380297184</v>
      </c>
      <c r="H1003" s="38">
        <f t="shared" si="197"/>
        <v>178</v>
      </c>
      <c r="I1003" s="39">
        <f t="shared" si="198"/>
        <v>178.9596167008898</v>
      </c>
      <c r="J1003" s="40">
        <f t="shared" si="199"/>
        <v>83</v>
      </c>
      <c r="K1003" s="43">
        <f>VLOOKUP(J1003,Data!$Z$3:$AA$122,2)</f>
        <v>0</v>
      </c>
      <c r="L1003" s="41">
        <f t="shared" si="200"/>
        <v>0.95961670088979645</v>
      </c>
      <c r="M1003" s="43">
        <f>VLOOKUP(H1003,Data!$P$3:$X$122,9)</f>
        <v>0</v>
      </c>
      <c r="N1003" s="43">
        <f t="shared" si="203"/>
        <v>0</v>
      </c>
      <c r="O1003" s="43">
        <f t="shared" si="204"/>
        <v>0</v>
      </c>
      <c r="P1003" s="30">
        <f t="shared" si="205"/>
        <v>0</v>
      </c>
      <c r="Q1003" s="31">
        <f t="shared" si="207"/>
        <v>848340.75061972369</v>
      </c>
    </row>
    <row r="1004" spans="1:17" x14ac:dyDescent="0.25">
      <c r="A1004" s="6">
        <f t="shared" si="206"/>
        <v>73749</v>
      </c>
      <c r="B1004" s="30">
        <f>IFERROR(VLOOKUP(A1004, Data!$L$3:$N$123, 3),1)*Pension</f>
        <v>1226318.0310195538</v>
      </c>
      <c r="C1004" s="37">
        <f t="shared" si="195"/>
        <v>83.416837782340863</v>
      </c>
      <c r="D1004" s="37">
        <f>IFERROR(VLOOKUP(A1004,Data!$I$3:$J$1442,2),0)</f>
        <v>7.9529259000000005E-2</v>
      </c>
      <c r="E1004" s="37">
        <f t="shared" si="196"/>
        <v>7.9329258999999999E-2</v>
      </c>
      <c r="F1004" s="37">
        <f t="shared" si="201"/>
        <v>1.3369078189879873E-3</v>
      </c>
      <c r="G1004" s="30">
        <f t="shared" si="202"/>
        <v>1639.4741642359945</v>
      </c>
      <c r="H1004" s="38">
        <f t="shared" si="197"/>
        <v>179</v>
      </c>
      <c r="I1004" s="39">
        <f t="shared" si="198"/>
        <v>179.04175222450377</v>
      </c>
      <c r="J1004" s="40">
        <f t="shared" si="199"/>
        <v>84</v>
      </c>
      <c r="K1004" s="43">
        <f>VLOOKUP(J1004,Data!$Z$3:$AA$122,2)</f>
        <v>0</v>
      </c>
      <c r="L1004" s="41">
        <f t="shared" si="200"/>
        <v>4.1752224503767366E-2</v>
      </c>
      <c r="M1004" s="43">
        <f>VLOOKUP(H1004,Data!$P$3:$X$122,9)</f>
        <v>0</v>
      </c>
      <c r="N1004" s="43">
        <f t="shared" si="203"/>
        <v>0</v>
      </c>
      <c r="O1004" s="43">
        <f t="shared" si="204"/>
        <v>0</v>
      </c>
      <c r="P1004" s="30">
        <f t="shared" si="205"/>
        <v>0</v>
      </c>
      <c r="Q1004" s="31">
        <f t="shared" si="207"/>
        <v>848340.75061972369</v>
      </c>
    </row>
    <row r="1005" spans="1:17" x14ac:dyDescent="0.25">
      <c r="A1005" s="6">
        <f t="shared" si="206"/>
        <v>73780</v>
      </c>
      <c r="B1005" s="30">
        <f>IFERROR(VLOOKUP(A1005, Data!$L$3:$N$123, 3),1)*Pension</f>
        <v>1287633.9325705315</v>
      </c>
      <c r="C1005" s="37">
        <f t="shared" si="195"/>
        <v>83.501711156741962</v>
      </c>
      <c r="D1005" s="37">
        <f>IFERROR(VLOOKUP(A1005,Data!$I$3:$J$1442,2),0)</f>
        <v>7.9519572999999996E-2</v>
      </c>
      <c r="E1005" s="37">
        <f t="shared" si="196"/>
        <v>7.931957299999999E-2</v>
      </c>
      <c r="F1005" s="37">
        <f t="shared" si="201"/>
        <v>1.3290111975751084E-3</v>
      </c>
      <c r="G1005" s="30">
        <f t="shared" si="202"/>
        <v>1711.2799147639084</v>
      </c>
      <c r="H1005" s="38">
        <f t="shared" si="197"/>
        <v>179</v>
      </c>
      <c r="I1005" s="39">
        <f t="shared" si="198"/>
        <v>179.12662559890487</v>
      </c>
      <c r="J1005" s="40">
        <f t="shared" si="199"/>
        <v>84</v>
      </c>
      <c r="K1005" s="43">
        <f>VLOOKUP(J1005,Data!$Z$3:$AA$122,2)</f>
        <v>0</v>
      </c>
      <c r="L1005" s="41">
        <f t="shared" si="200"/>
        <v>0.12662559890486591</v>
      </c>
      <c r="M1005" s="43">
        <f>VLOOKUP(H1005,Data!$P$3:$X$122,9)</f>
        <v>0</v>
      </c>
      <c r="N1005" s="43">
        <f t="shared" si="203"/>
        <v>0</v>
      </c>
      <c r="O1005" s="43">
        <f t="shared" si="204"/>
        <v>0</v>
      </c>
      <c r="P1005" s="30">
        <f t="shared" si="205"/>
        <v>0</v>
      </c>
      <c r="Q1005" s="31">
        <f t="shared" si="207"/>
        <v>848340.75061972369</v>
      </c>
    </row>
    <row r="1006" spans="1:17" x14ac:dyDescent="0.25">
      <c r="A1006" s="6">
        <f t="shared" si="206"/>
        <v>73811</v>
      </c>
      <c r="B1006" s="30">
        <f>IFERROR(VLOOKUP(A1006, Data!$L$3:$N$123, 3),1)*Pension</f>
        <v>1287633.9325705315</v>
      </c>
      <c r="C1006" s="37">
        <f t="shared" si="195"/>
        <v>83.586584531143046</v>
      </c>
      <c r="D1006" s="37">
        <f>IFERROR(VLOOKUP(A1006,Data!$I$3:$J$1442,2),0)</f>
        <v>7.9509908000000004E-2</v>
      </c>
      <c r="E1006" s="37">
        <f t="shared" si="196"/>
        <v>7.9309907999999998E-2</v>
      </c>
      <c r="F1006" s="37">
        <f t="shared" si="201"/>
        <v>1.3211610717437758E-3</v>
      </c>
      <c r="G1006" s="30">
        <f t="shared" si="202"/>
        <v>1701.1718263685361</v>
      </c>
      <c r="H1006" s="38">
        <f t="shared" si="197"/>
        <v>179</v>
      </c>
      <c r="I1006" s="39">
        <f t="shared" si="198"/>
        <v>179.21149897330596</v>
      </c>
      <c r="J1006" s="40">
        <f t="shared" si="199"/>
        <v>84</v>
      </c>
      <c r="K1006" s="43">
        <f>VLOOKUP(J1006,Data!$Z$3:$AA$122,2)</f>
        <v>0</v>
      </c>
      <c r="L1006" s="41">
        <f t="shared" si="200"/>
        <v>0.21149897330596445</v>
      </c>
      <c r="M1006" s="43">
        <f>VLOOKUP(H1006,Data!$P$3:$X$122,9)</f>
        <v>0</v>
      </c>
      <c r="N1006" s="43">
        <f t="shared" si="203"/>
        <v>0</v>
      </c>
      <c r="O1006" s="43">
        <f t="shared" si="204"/>
        <v>0</v>
      </c>
      <c r="P1006" s="30">
        <f t="shared" si="205"/>
        <v>0</v>
      </c>
      <c r="Q1006" s="31">
        <f t="shared" si="207"/>
        <v>848340.75061972369</v>
      </c>
    </row>
    <row r="1007" spans="1:17" x14ac:dyDescent="0.25">
      <c r="A1007" s="6">
        <f t="shared" si="206"/>
        <v>73839</v>
      </c>
      <c r="B1007" s="30">
        <f>IFERROR(VLOOKUP(A1007, Data!$L$3:$N$123, 3),1)*Pension</f>
        <v>1287633.9325705315</v>
      </c>
      <c r="C1007" s="37">
        <f t="shared" si="195"/>
        <v>83.663244353182748</v>
      </c>
      <c r="D1007" s="37">
        <f>IFERROR(VLOOKUP(A1007,Data!$I$3:$J$1442,2),0)</f>
        <v>7.9501193999999997E-2</v>
      </c>
      <c r="E1007" s="37">
        <f t="shared" si="196"/>
        <v>7.9301193999999992E-2</v>
      </c>
      <c r="F1007" s="37">
        <f t="shared" si="201"/>
        <v>1.3141106274239939E-3</v>
      </c>
      <c r="G1007" s="30">
        <f t="shared" si="202"/>
        <v>1692.0934350226858</v>
      </c>
      <c r="H1007" s="38">
        <f t="shared" si="197"/>
        <v>179</v>
      </c>
      <c r="I1007" s="39">
        <f t="shared" si="198"/>
        <v>179.28815879534565</v>
      </c>
      <c r="J1007" s="40">
        <f t="shared" si="199"/>
        <v>84</v>
      </c>
      <c r="K1007" s="43">
        <f>VLOOKUP(J1007,Data!$Z$3:$AA$122,2)</f>
        <v>0</v>
      </c>
      <c r="L1007" s="41">
        <f t="shared" si="200"/>
        <v>0.2881587953456517</v>
      </c>
      <c r="M1007" s="43">
        <f>VLOOKUP(H1007,Data!$P$3:$X$122,9)</f>
        <v>0</v>
      </c>
      <c r="N1007" s="43">
        <f t="shared" si="203"/>
        <v>0</v>
      </c>
      <c r="O1007" s="43">
        <f t="shared" si="204"/>
        <v>0</v>
      </c>
      <c r="P1007" s="30">
        <f t="shared" si="205"/>
        <v>0</v>
      </c>
      <c r="Q1007" s="31">
        <f t="shared" si="207"/>
        <v>848340.75061972369</v>
      </c>
    </row>
    <row r="1008" spans="1:17" x14ac:dyDescent="0.25">
      <c r="A1008" s="6">
        <f t="shared" si="206"/>
        <v>73870</v>
      </c>
      <c r="B1008" s="30">
        <f>IFERROR(VLOOKUP(A1008, Data!$L$3:$N$123, 3),1)*Pension</f>
        <v>1287633.9325705315</v>
      </c>
      <c r="C1008" s="37">
        <f t="shared" si="195"/>
        <v>83.748117727583846</v>
      </c>
      <c r="D1008" s="37">
        <f>IFERROR(VLOOKUP(A1008,Data!$I$3:$J$1442,2),0)</f>
        <v>7.9491566E-2</v>
      </c>
      <c r="E1008" s="37">
        <f t="shared" si="196"/>
        <v>7.9291565999999994E-2</v>
      </c>
      <c r="F1008" s="37">
        <f t="shared" si="201"/>
        <v>1.3063485447072261E-3</v>
      </c>
      <c r="G1008" s="30">
        <f t="shared" si="202"/>
        <v>1682.0987139291562</v>
      </c>
      <c r="H1008" s="38">
        <f t="shared" si="197"/>
        <v>179</v>
      </c>
      <c r="I1008" s="39">
        <f t="shared" si="198"/>
        <v>179.37303216974675</v>
      </c>
      <c r="J1008" s="40">
        <f t="shared" si="199"/>
        <v>84</v>
      </c>
      <c r="K1008" s="43">
        <f>VLOOKUP(J1008,Data!$Z$3:$AA$122,2)</f>
        <v>0</v>
      </c>
      <c r="L1008" s="41">
        <f t="shared" si="200"/>
        <v>0.37303216974675024</v>
      </c>
      <c r="M1008" s="43">
        <f>VLOOKUP(H1008,Data!$P$3:$X$122,9)</f>
        <v>0</v>
      </c>
      <c r="N1008" s="43">
        <f t="shared" si="203"/>
        <v>0</v>
      </c>
      <c r="O1008" s="43">
        <f t="shared" si="204"/>
        <v>0</v>
      </c>
      <c r="P1008" s="30">
        <f t="shared" si="205"/>
        <v>0</v>
      </c>
      <c r="Q1008" s="31">
        <f t="shared" si="207"/>
        <v>848340.75061972369</v>
      </c>
    </row>
    <row r="1009" spans="1:17" x14ac:dyDescent="0.25">
      <c r="A1009" s="6">
        <f t="shared" si="206"/>
        <v>73900</v>
      </c>
      <c r="B1009" s="30">
        <f>IFERROR(VLOOKUP(A1009, Data!$L$3:$N$123, 3),1)*Pension</f>
        <v>1287633.9325705315</v>
      </c>
      <c r="C1009" s="37">
        <f t="shared" si="195"/>
        <v>83.830253251197803</v>
      </c>
      <c r="D1009" s="37">
        <f>IFERROR(VLOOKUP(A1009,Data!$I$3:$J$1442,2),0)</f>
        <v>7.9482265999999996E-2</v>
      </c>
      <c r="E1009" s="37">
        <f t="shared" si="196"/>
        <v>7.928226599999999E-2</v>
      </c>
      <c r="F1009" s="37">
        <f t="shared" si="201"/>
        <v>1.298880632820872E-3</v>
      </c>
      <c r="G1009" s="30">
        <f t="shared" si="202"/>
        <v>1672.48277717884</v>
      </c>
      <c r="H1009" s="38">
        <f t="shared" si="197"/>
        <v>179</v>
      </c>
      <c r="I1009" s="39">
        <f t="shared" si="198"/>
        <v>179.45516769336072</v>
      </c>
      <c r="J1009" s="40">
        <f t="shared" si="199"/>
        <v>84</v>
      </c>
      <c r="K1009" s="43">
        <f>VLOOKUP(J1009,Data!$Z$3:$AA$122,2)</f>
        <v>0</v>
      </c>
      <c r="L1009" s="41">
        <f t="shared" si="200"/>
        <v>0.45516769336072116</v>
      </c>
      <c r="M1009" s="43">
        <f>VLOOKUP(H1009,Data!$P$3:$X$122,9)</f>
        <v>0</v>
      </c>
      <c r="N1009" s="43">
        <f t="shared" si="203"/>
        <v>0</v>
      </c>
      <c r="O1009" s="43">
        <f t="shared" si="204"/>
        <v>0</v>
      </c>
      <c r="P1009" s="30">
        <f t="shared" si="205"/>
        <v>0</v>
      </c>
      <c r="Q1009" s="31">
        <f t="shared" si="207"/>
        <v>848340.75061972369</v>
      </c>
    </row>
    <row r="1010" spans="1:17" x14ac:dyDescent="0.25">
      <c r="A1010" s="6">
        <f t="shared" si="206"/>
        <v>73931</v>
      </c>
      <c r="B1010" s="30">
        <f>IFERROR(VLOOKUP(A1010, Data!$L$3:$N$123, 3),1)*Pension</f>
        <v>1287633.9325705315</v>
      </c>
      <c r="C1010" s="37">
        <f t="shared" si="195"/>
        <v>83.915126625598901</v>
      </c>
      <c r="D1010" s="37">
        <f>IFERROR(VLOOKUP(A1010,Data!$I$3:$J$1442,2),0)</f>
        <v>7.9472676000000006E-2</v>
      </c>
      <c r="E1010" s="37">
        <f t="shared" si="196"/>
        <v>7.9272676E-2</v>
      </c>
      <c r="F1010" s="37">
        <f t="shared" si="201"/>
        <v>1.2912085425538923E-3</v>
      </c>
      <c r="G1010" s="30">
        <f t="shared" si="202"/>
        <v>1662.6039334173329</v>
      </c>
      <c r="H1010" s="38">
        <f t="shared" si="197"/>
        <v>179</v>
      </c>
      <c r="I1010" s="39">
        <f t="shared" si="198"/>
        <v>179.54004106776182</v>
      </c>
      <c r="J1010" s="40">
        <f t="shared" si="199"/>
        <v>84</v>
      </c>
      <c r="K1010" s="43">
        <f>VLOOKUP(J1010,Data!$Z$3:$AA$122,2)</f>
        <v>0</v>
      </c>
      <c r="L1010" s="41">
        <f t="shared" si="200"/>
        <v>0.5400410677618197</v>
      </c>
      <c r="M1010" s="43">
        <f>VLOOKUP(H1010,Data!$P$3:$X$122,9)</f>
        <v>0</v>
      </c>
      <c r="N1010" s="43">
        <f t="shared" si="203"/>
        <v>0</v>
      </c>
      <c r="O1010" s="43">
        <f t="shared" si="204"/>
        <v>0</v>
      </c>
      <c r="P1010" s="30">
        <f t="shared" si="205"/>
        <v>0</v>
      </c>
      <c r="Q1010" s="31">
        <f t="shared" si="207"/>
        <v>848340.75061972369</v>
      </c>
    </row>
    <row r="1011" spans="1:17" x14ac:dyDescent="0.25">
      <c r="A1011" s="6">
        <f t="shared" si="206"/>
        <v>73961</v>
      </c>
      <c r="B1011" s="30">
        <f>IFERROR(VLOOKUP(A1011, Data!$L$3:$N$123, 3),1)*Pension</f>
        <v>1287633.9325705315</v>
      </c>
      <c r="C1011" s="37">
        <f t="shared" si="195"/>
        <v>83.997262149212872</v>
      </c>
      <c r="D1011" s="37">
        <f>IFERROR(VLOOKUP(A1011,Data!$I$3:$J$1442,2),0)</f>
        <v>7.9463412999999997E-2</v>
      </c>
      <c r="E1011" s="37">
        <f t="shared" si="196"/>
        <v>7.9263412999999991E-2</v>
      </c>
      <c r="F1011" s="37">
        <f t="shared" si="201"/>
        <v>1.283827176387746E-3</v>
      </c>
      <c r="G1011" s="30">
        <f t="shared" si="202"/>
        <v>1653.0994358730748</v>
      </c>
      <c r="H1011" s="38">
        <f t="shared" si="197"/>
        <v>179</v>
      </c>
      <c r="I1011" s="39">
        <f t="shared" si="198"/>
        <v>179.62217659137576</v>
      </c>
      <c r="J1011" s="40">
        <f t="shared" si="199"/>
        <v>84</v>
      </c>
      <c r="K1011" s="43">
        <f>VLOOKUP(J1011,Data!$Z$3:$AA$122,2)</f>
        <v>0</v>
      </c>
      <c r="L1011" s="41">
        <f t="shared" si="200"/>
        <v>0.6221765913757622</v>
      </c>
      <c r="M1011" s="43">
        <f>VLOOKUP(H1011,Data!$P$3:$X$122,9)</f>
        <v>0</v>
      </c>
      <c r="N1011" s="43">
        <f t="shared" si="203"/>
        <v>0</v>
      </c>
      <c r="O1011" s="43">
        <f t="shared" si="204"/>
        <v>0</v>
      </c>
      <c r="P1011" s="30">
        <f t="shared" si="205"/>
        <v>0</v>
      </c>
      <c r="Q1011" s="31">
        <f t="shared" si="207"/>
        <v>848340.75061972369</v>
      </c>
    </row>
    <row r="1012" spans="1:17" x14ac:dyDescent="0.25">
      <c r="A1012" s="6">
        <f t="shared" si="206"/>
        <v>73992</v>
      </c>
      <c r="B1012" s="30">
        <f>IFERROR(VLOOKUP(A1012, Data!$L$3:$N$123, 3),1)*Pension</f>
        <v>1287633.9325705315</v>
      </c>
      <c r="C1012" s="37">
        <f t="shared" si="195"/>
        <v>84.082135523613957</v>
      </c>
      <c r="D1012" s="37">
        <f>IFERROR(VLOOKUP(A1012,Data!$I$3:$J$1442,2),0)</f>
        <v>7.9453861000000001E-2</v>
      </c>
      <c r="E1012" s="37">
        <f t="shared" si="196"/>
        <v>7.9253860999999995E-2</v>
      </c>
      <c r="F1012" s="37">
        <f t="shared" si="201"/>
        <v>1.2762440107179599E-3</v>
      </c>
      <c r="G1012" s="30">
        <f t="shared" si="202"/>
        <v>1643.3350944403542</v>
      </c>
      <c r="H1012" s="38">
        <f t="shared" si="197"/>
        <v>179</v>
      </c>
      <c r="I1012" s="39">
        <f t="shared" si="198"/>
        <v>179.70704996577686</v>
      </c>
      <c r="J1012" s="40">
        <f t="shared" si="199"/>
        <v>84</v>
      </c>
      <c r="K1012" s="43">
        <f>VLOOKUP(J1012,Data!$Z$3:$AA$122,2)</f>
        <v>0</v>
      </c>
      <c r="L1012" s="41">
        <f t="shared" si="200"/>
        <v>0.70704996577686074</v>
      </c>
      <c r="M1012" s="43">
        <f>VLOOKUP(H1012,Data!$P$3:$X$122,9)</f>
        <v>0</v>
      </c>
      <c r="N1012" s="43">
        <f t="shared" si="203"/>
        <v>0</v>
      </c>
      <c r="O1012" s="43">
        <f t="shared" si="204"/>
        <v>0</v>
      </c>
      <c r="P1012" s="30">
        <f t="shared" si="205"/>
        <v>0</v>
      </c>
      <c r="Q1012" s="31">
        <f t="shared" si="207"/>
        <v>848340.75061972369</v>
      </c>
    </row>
    <row r="1013" spans="1:17" x14ac:dyDescent="0.25">
      <c r="A1013" s="6">
        <f t="shared" si="206"/>
        <v>74023</v>
      </c>
      <c r="B1013" s="30">
        <f>IFERROR(VLOOKUP(A1013, Data!$L$3:$N$123, 3),1)*Pension</f>
        <v>1287633.9325705315</v>
      </c>
      <c r="C1013" s="37">
        <f t="shared" si="195"/>
        <v>84.167008898015055</v>
      </c>
      <c r="D1013" s="37">
        <f>IFERROR(VLOOKUP(A1013,Data!$I$3:$J$1442,2),0)</f>
        <v>7.9444327999999995E-2</v>
      </c>
      <c r="E1013" s="37">
        <f t="shared" si="196"/>
        <v>7.9244327999999989E-2</v>
      </c>
      <c r="F1013" s="37">
        <f t="shared" si="201"/>
        <v>1.2687056646623579E-3</v>
      </c>
      <c r="G1013" s="30">
        <f t="shared" si="202"/>
        <v>1633.628464263702</v>
      </c>
      <c r="H1013" s="38">
        <f t="shared" si="197"/>
        <v>179</v>
      </c>
      <c r="I1013" s="39">
        <f t="shared" si="198"/>
        <v>179.79192334017796</v>
      </c>
      <c r="J1013" s="40">
        <f t="shared" si="199"/>
        <v>84</v>
      </c>
      <c r="K1013" s="43">
        <f>VLOOKUP(J1013,Data!$Z$3:$AA$122,2)</f>
        <v>0</v>
      </c>
      <c r="L1013" s="41">
        <f t="shared" si="200"/>
        <v>0.79192334017795929</v>
      </c>
      <c r="M1013" s="43">
        <f>VLOOKUP(H1013,Data!$P$3:$X$122,9)</f>
        <v>0</v>
      </c>
      <c r="N1013" s="43">
        <f t="shared" si="203"/>
        <v>0</v>
      </c>
      <c r="O1013" s="43">
        <f t="shared" si="204"/>
        <v>0</v>
      </c>
      <c r="P1013" s="30">
        <f t="shared" si="205"/>
        <v>0</v>
      </c>
      <c r="Q1013" s="31">
        <f t="shared" si="207"/>
        <v>848340.75061972369</v>
      </c>
    </row>
    <row r="1014" spans="1:17" x14ac:dyDescent="0.25">
      <c r="A1014" s="6">
        <f t="shared" si="206"/>
        <v>74053</v>
      </c>
      <c r="B1014" s="30">
        <f>IFERROR(VLOOKUP(A1014, Data!$L$3:$N$123, 3),1)*Pension</f>
        <v>1287633.9325705315</v>
      </c>
      <c r="C1014" s="37">
        <f t="shared" si="195"/>
        <v>84.249144421629026</v>
      </c>
      <c r="D1014" s="37">
        <f>IFERROR(VLOOKUP(A1014,Data!$I$3:$J$1442,2),0)</f>
        <v>7.9435120999999997E-2</v>
      </c>
      <c r="E1014" s="37">
        <f t="shared" si="196"/>
        <v>7.9235120999999992E-2</v>
      </c>
      <c r="F1014" s="37">
        <f t="shared" si="201"/>
        <v>1.261452868072751E-3</v>
      </c>
      <c r="G1014" s="30">
        <f t="shared" si="202"/>
        <v>1624.2895172688923</v>
      </c>
      <c r="H1014" s="38">
        <f t="shared" si="197"/>
        <v>179</v>
      </c>
      <c r="I1014" s="39">
        <f t="shared" si="198"/>
        <v>179.87405886379193</v>
      </c>
      <c r="J1014" s="40">
        <f t="shared" si="199"/>
        <v>84</v>
      </c>
      <c r="K1014" s="43">
        <f>VLOOKUP(J1014,Data!$Z$3:$AA$122,2)</f>
        <v>0</v>
      </c>
      <c r="L1014" s="41">
        <f t="shared" si="200"/>
        <v>0.87405886379193021</v>
      </c>
      <c r="M1014" s="43">
        <f>VLOOKUP(H1014,Data!$P$3:$X$122,9)</f>
        <v>0</v>
      </c>
      <c r="N1014" s="43">
        <f t="shared" si="203"/>
        <v>0</v>
      </c>
      <c r="O1014" s="43">
        <f t="shared" si="204"/>
        <v>0</v>
      </c>
      <c r="P1014" s="30">
        <f t="shared" si="205"/>
        <v>0</v>
      </c>
      <c r="Q1014" s="31">
        <f t="shared" si="207"/>
        <v>848340.75061972369</v>
      </c>
    </row>
    <row r="1015" spans="1:17" x14ac:dyDescent="0.25">
      <c r="A1015" s="6">
        <f t="shared" si="206"/>
        <v>74084</v>
      </c>
      <c r="B1015" s="30">
        <f>IFERROR(VLOOKUP(A1015, Data!$L$3:$N$123, 3),1)*Pension</f>
        <v>1287633.9325705315</v>
      </c>
      <c r="C1015" s="37">
        <f t="shared" si="195"/>
        <v>84.334017796030111</v>
      </c>
      <c r="D1015" s="37">
        <f>IFERROR(VLOOKUP(A1015,Data!$I$3:$J$1442,2),0)</f>
        <v>7.9425625999999999E-2</v>
      </c>
      <c r="E1015" s="37">
        <f t="shared" si="196"/>
        <v>7.9225625999999993E-2</v>
      </c>
      <c r="F1015" s="37">
        <f t="shared" si="201"/>
        <v>1.2540018606687524E-3</v>
      </c>
      <c r="G1015" s="30">
        <f t="shared" si="202"/>
        <v>1614.6953473036695</v>
      </c>
      <c r="H1015" s="38">
        <f t="shared" si="197"/>
        <v>179</v>
      </c>
      <c r="I1015" s="39">
        <f t="shared" si="198"/>
        <v>179.95893223819303</v>
      </c>
      <c r="J1015" s="40">
        <f t="shared" si="199"/>
        <v>84</v>
      </c>
      <c r="K1015" s="43">
        <f>VLOOKUP(J1015,Data!$Z$3:$AA$122,2)</f>
        <v>0</v>
      </c>
      <c r="L1015" s="41">
        <f t="shared" si="200"/>
        <v>0.95893223819302875</v>
      </c>
      <c r="M1015" s="43">
        <f>VLOOKUP(H1015,Data!$P$3:$X$122,9)</f>
        <v>0</v>
      </c>
      <c r="N1015" s="43">
        <f t="shared" si="203"/>
        <v>0</v>
      </c>
      <c r="O1015" s="43">
        <f t="shared" si="204"/>
        <v>0</v>
      </c>
      <c r="P1015" s="30">
        <f t="shared" si="205"/>
        <v>0</v>
      </c>
      <c r="Q1015" s="31">
        <f t="shared" si="207"/>
        <v>848340.75061972369</v>
      </c>
    </row>
    <row r="1016" spans="1:17" x14ac:dyDescent="0.25">
      <c r="A1016" s="6">
        <f t="shared" si="206"/>
        <v>74114</v>
      </c>
      <c r="B1016" s="30">
        <f>IFERROR(VLOOKUP(A1016, Data!$L$3:$N$123, 3),1)*Pension</f>
        <v>1287633.9325705315</v>
      </c>
      <c r="C1016" s="37">
        <f t="shared" si="195"/>
        <v>84.416153319644081</v>
      </c>
      <c r="D1016" s="37">
        <f>IFERROR(VLOOKUP(A1016,Data!$I$3:$J$1442,2),0)</f>
        <v>7.9416455999999996E-2</v>
      </c>
      <c r="E1016" s="37">
        <f t="shared" si="196"/>
        <v>7.9216455999999991E-2</v>
      </c>
      <c r="F1016" s="37">
        <f t="shared" si="201"/>
        <v>1.2468330592608011E-3</v>
      </c>
      <c r="G1016" s="30">
        <f t="shared" si="202"/>
        <v>1605.4645553549319</v>
      </c>
      <c r="H1016" s="38">
        <f t="shared" si="197"/>
        <v>180</v>
      </c>
      <c r="I1016" s="39">
        <f t="shared" si="198"/>
        <v>180.04106776180697</v>
      </c>
      <c r="J1016" s="40">
        <f t="shared" si="199"/>
        <v>85</v>
      </c>
      <c r="K1016" s="43">
        <f>VLOOKUP(J1016,Data!$Z$3:$AA$122,2)</f>
        <v>0</v>
      </c>
      <c r="L1016" s="41">
        <f t="shared" si="200"/>
        <v>4.1067761806971248E-2</v>
      </c>
      <c r="M1016" s="43">
        <f>VLOOKUP(H1016,Data!$P$3:$X$122,9)</f>
        <v>0</v>
      </c>
      <c r="N1016" s="43">
        <f t="shared" si="203"/>
        <v>0</v>
      </c>
      <c r="O1016" s="43">
        <f t="shared" si="204"/>
        <v>0</v>
      </c>
      <c r="P1016" s="30">
        <f t="shared" si="205"/>
        <v>0</v>
      </c>
      <c r="Q1016" s="31">
        <f t="shared" si="207"/>
        <v>848340.75061972369</v>
      </c>
    </row>
    <row r="1017" spans="1:17" x14ac:dyDescent="0.25">
      <c r="A1017" s="6">
        <f t="shared" si="206"/>
        <v>74145</v>
      </c>
      <c r="B1017" s="30">
        <f>IFERROR(VLOOKUP(A1017, Data!$L$3:$N$123, 3),1)*Pension</f>
        <v>1352015.6291990581</v>
      </c>
      <c r="C1017" s="37">
        <f t="shared" si="195"/>
        <v>84.50102669404518</v>
      </c>
      <c r="D1017" s="37">
        <f>IFERROR(VLOOKUP(A1017,Data!$I$3:$J$1442,2),0)</f>
        <v>7.9406998000000006E-2</v>
      </c>
      <c r="E1017" s="37">
        <f t="shared" si="196"/>
        <v>7.9206998000000001E-2</v>
      </c>
      <c r="F1017" s="37">
        <f t="shared" si="201"/>
        <v>1.2394684602526609E-3</v>
      </c>
      <c r="G1017" s="30">
        <f t="shared" si="202"/>
        <v>1675.7807301608891</v>
      </c>
      <c r="H1017" s="38">
        <f t="shared" si="197"/>
        <v>180</v>
      </c>
      <c r="I1017" s="39">
        <f t="shared" si="198"/>
        <v>180.12594113620807</v>
      </c>
      <c r="J1017" s="40">
        <f t="shared" si="199"/>
        <v>85</v>
      </c>
      <c r="K1017" s="43">
        <f>VLOOKUP(J1017,Data!$Z$3:$AA$122,2)</f>
        <v>0</v>
      </c>
      <c r="L1017" s="41">
        <f t="shared" si="200"/>
        <v>0.12594113620806979</v>
      </c>
      <c r="M1017" s="43">
        <f>VLOOKUP(H1017,Data!$P$3:$X$122,9)</f>
        <v>0</v>
      </c>
      <c r="N1017" s="43">
        <f t="shared" si="203"/>
        <v>0</v>
      </c>
      <c r="O1017" s="43">
        <f t="shared" si="204"/>
        <v>0</v>
      </c>
      <c r="P1017" s="30">
        <f t="shared" si="205"/>
        <v>0</v>
      </c>
      <c r="Q1017" s="31">
        <f t="shared" si="207"/>
        <v>848340.75061972369</v>
      </c>
    </row>
    <row r="1018" spans="1:17" x14ac:dyDescent="0.25">
      <c r="A1018" s="6">
        <f t="shared" si="206"/>
        <v>74176</v>
      </c>
      <c r="B1018" s="30">
        <f>IFERROR(VLOOKUP(A1018, Data!$L$3:$N$123, 3),1)*Pension</f>
        <v>1352015.6291990581</v>
      </c>
      <c r="C1018" s="37">
        <f t="shared" si="195"/>
        <v>84.585900068446264</v>
      </c>
      <c r="D1018" s="37">
        <f>IFERROR(VLOOKUP(A1018,Data!$I$3:$J$1442,2),0)</f>
        <v>7.9397559000000006E-2</v>
      </c>
      <c r="E1018" s="37">
        <f t="shared" si="196"/>
        <v>7.9197559000000001E-2</v>
      </c>
      <c r="F1018" s="37">
        <f t="shared" si="201"/>
        <v>1.2321473592546417E-3</v>
      </c>
      <c r="G1018" s="30">
        <f t="shared" si="202"/>
        <v>1665.8824871886222</v>
      </c>
      <c r="H1018" s="38">
        <f t="shared" si="197"/>
        <v>180</v>
      </c>
      <c r="I1018" s="39">
        <f t="shared" si="198"/>
        <v>180.21081451060917</v>
      </c>
      <c r="J1018" s="40">
        <f t="shared" si="199"/>
        <v>85</v>
      </c>
      <c r="K1018" s="43">
        <f>VLOOKUP(J1018,Data!$Z$3:$AA$122,2)</f>
        <v>0</v>
      </c>
      <c r="L1018" s="41">
        <f t="shared" si="200"/>
        <v>0.21081451060916834</v>
      </c>
      <c r="M1018" s="43">
        <f>VLOOKUP(H1018,Data!$P$3:$X$122,9)</f>
        <v>0</v>
      </c>
      <c r="N1018" s="43">
        <f t="shared" si="203"/>
        <v>0</v>
      </c>
      <c r="O1018" s="43">
        <f t="shared" si="204"/>
        <v>0</v>
      </c>
      <c r="P1018" s="30">
        <f t="shared" si="205"/>
        <v>0</v>
      </c>
      <c r="Q1018" s="31">
        <f t="shared" si="207"/>
        <v>848340.75061972369</v>
      </c>
    </row>
    <row r="1019" spans="1:17" x14ac:dyDescent="0.25">
      <c r="A1019" s="6">
        <f t="shared" si="206"/>
        <v>74204</v>
      </c>
      <c r="B1019" s="30">
        <f>IFERROR(VLOOKUP(A1019, Data!$L$3:$N$123, 3),1)*Pension</f>
        <v>1352015.6291990581</v>
      </c>
      <c r="C1019" s="37">
        <f t="shared" si="195"/>
        <v>84.662559890485966</v>
      </c>
      <c r="D1019" s="37">
        <f>IFERROR(VLOOKUP(A1019,Data!$I$3:$J$1442,2),0)</f>
        <v>7.9389050000000003E-2</v>
      </c>
      <c r="E1019" s="37">
        <f t="shared" si="196"/>
        <v>7.9189049999999997E-2</v>
      </c>
      <c r="F1019" s="37">
        <f t="shared" si="201"/>
        <v>1.225571898150357E-3</v>
      </c>
      <c r="G1019" s="30">
        <f t="shared" si="202"/>
        <v>1656.9923610064388</v>
      </c>
      <c r="H1019" s="38">
        <f t="shared" si="197"/>
        <v>180</v>
      </c>
      <c r="I1019" s="39">
        <f t="shared" si="198"/>
        <v>180.28747433264888</v>
      </c>
      <c r="J1019" s="40">
        <f t="shared" si="199"/>
        <v>85</v>
      </c>
      <c r="K1019" s="43">
        <f>VLOOKUP(J1019,Data!$Z$3:$AA$122,2)</f>
        <v>0</v>
      </c>
      <c r="L1019" s="41">
        <f t="shared" si="200"/>
        <v>0.287474332648884</v>
      </c>
      <c r="M1019" s="43">
        <f>VLOOKUP(H1019,Data!$P$3:$X$122,9)</f>
        <v>0</v>
      </c>
      <c r="N1019" s="43">
        <f t="shared" si="203"/>
        <v>0</v>
      </c>
      <c r="O1019" s="43">
        <f t="shared" si="204"/>
        <v>0</v>
      </c>
      <c r="P1019" s="30">
        <f t="shared" si="205"/>
        <v>0</v>
      </c>
      <c r="Q1019" s="31">
        <f t="shared" si="207"/>
        <v>848340.75061972369</v>
      </c>
    </row>
    <row r="1020" spans="1:17" x14ac:dyDescent="0.25">
      <c r="A1020" s="6">
        <f t="shared" si="206"/>
        <v>74235</v>
      </c>
      <c r="B1020" s="30">
        <f>IFERROR(VLOOKUP(A1020, Data!$L$3:$N$123, 3),1)*Pension</f>
        <v>1352015.6291990581</v>
      </c>
      <c r="C1020" s="37">
        <f t="shared" si="195"/>
        <v>84.747433264887064</v>
      </c>
      <c r="D1020" s="37">
        <f>IFERROR(VLOOKUP(A1020,Data!$I$3:$J$1442,2),0)</f>
        <v>7.9379647999999997E-2</v>
      </c>
      <c r="E1020" s="37">
        <f t="shared" si="196"/>
        <v>7.9179647999999991E-2</v>
      </c>
      <c r="F1020" s="37">
        <f t="shared" si="201"/>
        <v>1.2183327724508768E-3</v>
      </c>
      <c r="G1020" s="30">
        <f t="shared" si="202"/>
        <v>1647.204949919005</v>
      </c>
      <c r="H1020" s="38">
        <f t="shared" si="197"/>
        <v>180</v>
      </c>
      <c r="I1020" s="39">
        <f t="shared" si="198"/>
        <v>180.37234770704995</v>
      </c>
      <c r="J1020" s="40">
        <f t="shared" si="199"/>
        <v>85</v>
      </c>
      <c r="K1020" s="43">
        <f>VLOOKUP(J1020,Data!$Z$3:$AA$122,2)</f>
        <v>0</v>
      </c>
      <c r="L1020" s="41">
        <f t="shared" si="200"/>
        <v>0.37234770704995412</v>
      </c>
      <c r="M1020" s="43">
        <f>VLOOKUP(H1020,Data!$P$3:$X$122,9)</f>
        <v>0</v>
      </c>
      <c r="N1020" s="43">
        <f t="shared" si="203"/>
        <v>0</v>
      </c>
      <c r="O1020" s="43">
        <f t="shared" si="204"/>
        <v>0</v>
      </c>
      <c r="P1020" s="30">
        <f t="shared" si="205"/>
        <v>0</v>
      </c>
      <c r="Q1020" s="31">
        <f t="shared" si="207"/>
        <v>848340.75061972369</v>
      </c>
    </row>
    <row r="1021" spans="1:17" x14ac:dyDescent="0.25">
      <c r="A1021" s="6">
        <f t="shared" si="206"/>
        <v>74265</v>
      </c>
      <c r="B1021" s="30">
        <f>IFERROR(VLOOKUP(A1021, Data!$L$3:$N$123, 3),1)*Pension</f>
        <v>1352015.6291990581</v>
      </c>
      <c r="C1021" s="37">
        <f t="shared" si="195"/>
        <v>84.829568788501021</v>
      </c>
      <c r="D1021" s="37">
        <f>IFERROR(VLOOKUP(A1021,Data!$I$3:$J$1442,2),0)</f>
        <v>7.9370566000000004E-2</v>
      </c>
      <c r="E1021" s="37">
        <f t="shared" si="196"/>
        <v>7.9170565999999998E-2</v>
      </c>
      <c r="F1021" s="37">
        <f t="shared" si="201"/>
        <v>1.2113680060109534E-3</v>
      </c>
      <c r="G1021" s="30">
        <f t="shared" si="202"/>
        <v>1637.7884768385074</v>
      </c>
      <c r="H1021" s="38">
        <f t="shared" si="197"/>
        <v>180</v>
      </c>
      <c r="I1021" s="39">
        <f t="shared" si="198"/>
        <v>180.45448323066393</v>
      </c>
      <c r="J1021" s="40">
        <f t="shared" si="199"/>
        <v>85</v>
      </c>
      <c r="K1021" s="43">
        <f>VLOOKUP(J1021,Data!$Z$3:$AA$122,2)</f>
        <v>0</v>
      </c>
      <c r="L1021" s="41">
        <f t="shared" si="200"/>
        <v>0.45448323066392504</v>
      </c>
      <c r="M1021" s="43">
        <f>VLOOKUP(H1021,Data!$P$3:$X$122,9)</f>
        <v>0</v>
      </c>
      <c r="N1021" s="43">
        <f t="shared" si="203"/>
        <v>0</v>
      </c>
      <c r="O1021" s="43">
        <f t="shared" si="204"/>
        <v>0</v>
      </c>
      <c r="P1021" s="30">
        <f t="shared" si="205"/>
        <v>0</v>
      </c>
      <c r="Q1021" s="31">
        <f t="shared" si="207"/>
        <v>848340.75061972369</v>
      </c>
    </row>
    <row r="1022" spans="1:17" x14ac:dyDescent="0.25">
      <c r="A1022" s="6">
        <f t="shared" si="206"/>
        <v>74296</v>
      </c>
      <c r="B1022" s="30">
        <f>IFERROR(VLOOKUP(A1022, Data!$L$3:$N$123, 3),1)*Pension</f>
        <v>1352015.6291990581</v>
      </c>
      <c r="C1022" s="37">
        <f t="shared" si="195"/>
        <v>84.91444216290212</v>
      </c>
      <c r="D1022" s="37">
        <f>IFERROR(VLOOKUP(A1022,Data!$I$3:$J$1442,2),0)</f>
        <v>7.9361200000000007E-2</v>
      </c>
      <c r="E1022" s="37">
        <f t="shared" si="196"/>
        <v>7.9161200000000001E-2</v>
      </c>
      <c r="F1022" s="37">
        <f t="shared" si="201"/>
        <v>1.2042128777692064E-3</v>
      </c>
      <c r="G1022" s="30">
        <f t="shared" si="202"/>
        <v>1628.1146316267418</v>
      </c>
      <c r="H1022" s="38">
        <f t="shared" si="197"/>
        <v>180</v>
      </c>
      <c r="I1022" s="39">
        <f t="shared" si="198"/>
        <v>180.53935660506502</v>
      </c>
      <c r="J1022" s="40">
        <f t="shared" si="199"/>
        <v>85</v>
      </c>
      <c r="K1022" s="43">
        <f>VLOOKUP(J1022,Data!$Z$3:$AA$122,2)</f>
        <v>0</v>
      </c>
      <c r="L1022" s="41">
        <f t="shared" si="200"/>
        <v>0.53935660506502359</v>
      </c>
      <c r="M1022" s="43">
        <f>VLOOKUP(H1022,Data!$P$3:$X$122,9)</f>
        <v>0</v>
      </c>
      <c r="N1022" s="43">
        <f t="shared" si="203"/>
        <v>0</v>
      </c>
      <c r="O1022" s="43">
        <f t="shared" si="204"/>
        <v>0</v>
      </c>
      <c r="P1022" s="30">
        <f t="shared" si="205"/>
        <v>0</v>
      </c>
      <c r="Q1022" s="31">
        <f t="shared" si="207"/>
        <v>848340.75061972369</v>
      </c>
    </row>
    <row r="1023" spans="1:17" x14ac:dyDescent="0.25">
      <c r="A1023" s="6">
        <f t="shared" si="206"/>
        <v>74326</v>
      </c>
      <c r="B1023" s="30">
        <f>IFERROR(VLOOKUP(A1023, Data!$L$3:$N$123, 3),1)*Pension</f>
        <v>1352015.6291990581</v>
      </c>
      <c r="C1023" s="37">
        <f t="shared" si="195"/>
        <v>84.99657768651609</v>
      </c>
      <c r="D1023" s="37">
        <f>IFERROR(VLOOKUP(A1023,Data!$I$3:$J$1442,2),0)</f>
        <v>7.9352154999999994E-2</v>
      </c>
      <c r="E1023" s="37">
        <f t="shared" si="196"/>
        <v>7.9152154999999988E-2</v>
      </c>
      <c r="F1023" s="37">
        <f t="shared" si="201"/>
        <v>1.1973286945109508E-3</v>
      </c>
      <c r="G1023" s="30">
        <f t="shared" si="202"/>
        <v>1618.80710826731</v>
      </c>
      <c r="H1023" s="38">
        <f t="shared" si="197"/>
        <v>180</v>
      </c>
      <c r="I1023" s="39">
        <f t="shared" si="198"/>
        <v>180.62149212867899</v>
      </c>
      <c r="J1023" s="40">
        <f t="shared" si="199"/>
        <v>85</v>
      </c>
      <c r="K1023" s="43">
        <f>VLOOKUP(J1023,Data!$Z$3:$AA$122,2)</f>
        <v>0</v>
      </c>
      <c r="L1023" s="41">
        <f t="shared" si="200"/>
        <v>0.6214921286789945</v>
      </c>
      <c r="M1023" s="43">
        <f>VLOOKUP(H1023,Data!$P$3:$X$122,9)</f>
        <v>0</v>
      </c>
      <c r="N1023" s="43">
        <f t="shared" si="203"/>
        <v>0</v>
      </c>
      <c r="O1023" s="43">
        <f t="shared" si="204"/>
        <v>0</v>
      </c>
      <c r="P1023" s="30">
        <f t="shared" si="205"/>
        <v>0</v>
      </c>
      <c r="Q1023" s="31">
        <f t="shared" si="207"/>
        <v>848340.75061972369</v>
      </c>
    </row>
    <row r="1024" spans="1:17" x14ac:dyDescent="0.25">
      <c r="A1024" s="6">
        <f t="shared" si="206"/>
        <v>74357</v>
      </c>
      <c r="B1024" s="30">
        <f>IFERROR(VLOOKUP(A1024, Data!$L$3:$N$123, 3),1)*Pension</f>
        <v>1352015.6291990581</v>
      </c>
      <c r="C1024" s="37">
        <f t="shared" si="195"/>
        <v>85.081451060917175</v>
      </c>
      <c r="D1024" s="37">
        <f>IFERROR(VLOOKUP(A1024,Data!$I$3:$J$1442,2),0)</f>
        <v>7.9342826000000005E-2</v>
      </c>
      <c r="E1024" s="37">
        <f t="shared" si="196"/>
        <v>7.9142825999999999E-2</v>
      </c>
      <c r="F1024" s="37">
        <f t="shared" si="201"/>
        <v>1.1902564663458274E-3</v>
      </c>
      <c r="G1024" s="30">
        <f t="shared" si="202"/>
        <v>1609.2453452548014</v>
      </c>
      <c r="H1024" s="38">
        <f t="shared" si="197"/>
        <v>180</v>
      </c>
      <c r="I1024" s="39">
        <f t="shared" si="198"/>
        <v>180.70636550308009</v>
      </c>
      <c r="J1024" s="40">
        <f t="shared" si="199"/>
        <v>85</v>
      </c>
      <c r="K1024" s="43">
        <f>VLOOKUP(J1024,Data!$Z$3:$AA$122,2)</f>
        <v>0</v>
      </c>
      <c r="L1024" s="41">
        <f t="shared" si="200"/>
        <v>0.70636550308009305</v>
      </c>
      <c r="M1024" s="43">
        <f>VLOOKUP(H1024,Data!$P$3:$X$122,9)</f>
        <v>0</v>
      </c>
      <c r="N1024" s="43">
        <f t="shared" si="203"/>
        <v>0</v>
      </c>
      <c r="O1024" s="43">
        <f t="shared" si="204"/>
        <v>0</v>
      </c>
      <c r="P1024" s="30">
        <f t="shared" si="205"/>
        <v>0</v>
      </c>
      <c r="Q1024" s="31">
        <f t="shared" si="207"/>
        <v>848340.75061972369</v>
      </c>
    </row>
    <row r="1025" spans="1:17" x14ac:dyDescent="0.25">
      <c r="A1025" s="6">
        <f t="shared" si="206"/>
        <v>74388</v>
      </c>
      <c r="B1025" s="30">
        <f>IFERROR(VLOOKUP(A1025, Data!$L$3:$N$123, 3),1)*Pension</f>
        <v>1352015.6291990581</v>
      </c>
      <c r="C1025" s="37">
        <f t="shared" si="195"/>
        <v>85.166324435318273</v>
      </c>
      <c r="D1025" s="37">
        <f>IFERROR(VLOOKUP(A1025,Data!$I$3:$J$1442,2),0)</f>
        <v>7.9333514999999993E-2</v>
      </c>
      <c r="E1025" s="37">
        <f t="shared" si="196"/>
        <v>7.9133514999999988E-2</v>
      </c>
      <c r="F1025" s="37">
        <f t="shared" si="201"/>
        <v>1.1832260713544782E-3</v>
      </c>
      <c r="G1025" s="30">
        <f t="shared" si="202"/>
        <v>1599.7401413470543</v>
      </c>
      <c r="H1025" s="38">
        <f t="shared" si="197"/>
        <v>180</v>
      </c>
      <c r="I1025" s="39">
        <f t="shared" si="198"/>
        <v>180.79123887748116</v>
      </c>
      <c r="J1025" s="40">
        <f t="shared" si="199"/>
        <v>85</v>
      </c>
      <c r="K1025" s="43">
        <f>VLOOKUP(J1025,Data!$Z$3:$AA$122,2)</f>
        <v>0</v>
      </c>
      <c r="L1025" s="41">
        <f t="shared" si="200"/>
        <v>0.79123887748116317</v>
      </c>
      <c r="M1025" s="43">
        <f>VLOOKUP(H1025,Data!$P$3:$X$122,9)</f>
        <v>0</v>
      </c>
      <c r="N1025" s="43">
        <f t="shared" si="203"/>
        <v>0</v>
      </c>
      <c r="O1025" s="43">
        <f t="shared" si="204"/>
        <v>0</v>
      </c>
      <c r="P1025" s="30">
        <f t="shared" si="205"/>
        <v>0</v>
      </c>
      <c r="Q1025" s="31">
        <f t="shared" si="207"/>
        <v>848340.75061972369</v>
      </c>
    </row>
    <row r="1026" spans="1:17" x14ac:dyDescent="0.25">
      <c r="A1026" s="6">
        <f t="shared" si="206"/>
        <v>74418</v>
      </c>
      <c r="B1026" s="30">
        <f>IFERROR(VLOOKUP(A1026, Data!$L$3:$N$123, 3),1)*Pension</f>
        <v>1352015.6291990581</v>
      </c>
      <c r="C1026" s="37">
        <f t="shared" si="195"/>
        <v>85.248459958932244</v>
      </c>
      <c r="D1026" s="37">
        <f>IFERROR(VLOOKUP(A1026,Data!$I$3:$J$1442,2),0)</f>
        <v>7.9324522999999994E-2</v>
      </c>
      <c r="E1026" s="37">
        <f t="shared" si="196"/>
        <v>7.9124522999999988E-2</v>
      </c>
      <c r="F1026" s="37">
        <f t="shared" si="201"/>
        <v>1.1764619044429302E-3</v>
      </c>
      <c r="G1026" s="30">
        <f t="shared" si="202"/>
        <v>1590.5948819641303</v>
      </c>
      <c r="H1026" s="38">
        <f t="shared" si="197"/>
        <v>180</v>
      </c>
      <c r="I1026" s="39">
        <f t="shared" si="198"/>
        <v>180.87337440109513</v>
      </c>
      <c r="J1026" s="40">
        <f t="shared" si="199"/>
        <v>85</v>
      </c>
      <c r="K1026" s="43">
        <f>VLOOKUP(J1026,Data!$Z$3:$AA$122,2)</f>
        <v>0</v>
      </c>
      <c r="L1026" s="41">
        <f t="shared" si="200"/>
        <v>0.87337440109513409</v>
      </c>
      <c r="M1026" s="43">
        <f>VLOOKUP(H1026,Data!$P$3:$X$122,9)</f>
        <v>0</v>
      </c>
      <c r="N1026" s="43">
        <f t="shared" si="203"/>
        <v>0</v>
      </c>
      <c r="O1026" s="43">
        <f t="shared" si="204"/>
        <v>0</v>
      </c>
      <c r="P1026" s="30">
        <f t="shared" si="205"/>
        <v>0</v>
      </c>
      <c r="Q1026" s="31">
        <f t="shared" si="207"/>
        <v>848340.75061972369</v>
      </c>
    </row>
    <row r="1027" spans="1:17" x14ac:dyDescent="0.25">
      <c r="A1027" s="6">
        <f t="shared" si="206"/>
        <v>74449</v>
      </c>
      <c r="B1027" s="30">
        <f>IFERROR(VLOOKUP(A1027, Data!$L$3:$N$123, 3),1)*Pension</f>
        <v>1352015.6291990581</v>
      </c>
      <c r="C1027" s="37">
        <f t="shared" ref="C1027:C1090" si="208">(A1027-EffDate)/365.25</f>
        <v>85.333333333333329</v>
      </c>
      <c r="D1027" s="37">
        <f>IFERROR(VLOOKUP(A1027,Data!$I$3:$J$1442,2),0)</f>
        <v>7.9315249000000004E-2</v>
      </c>
      <c r="E1027" s="37">
        <f t="shared" ref="E1027:E1090" si="209">D1027-Fees</f>
        <v>7.9115248999999999E-2</v>
      </c>
      <c r="F1027" s="37">
        <f t="shared" si="201"/>
        <v>1.1695129315527045E-3</v>
      </c>
      <c r="G1027" s="30">
        <f t="shared" si="202"/>
        <v>1581.1997620096647</v>
      </c>
      <c r="H1027" s="38">
        <f t="shared" ref="H1027:H1090" si="210">IF(OR(A1027 = DATE(YEAR(A1027), MONTH(Date_of_Birth), DAY(Date_of_Birth)),AND(A1027 = DATE(YEAR(A1027), MONTH(Date_of_Birth), DAY(Date_of_Birth)-1), AND(MONTH(Date_of_Birth)=2, DAY(Date_of_Birth) = 29))), ROUND((A1027-Date_of_Birth)/365.25,0),ROUNDDOWN((A1027-Date_of_Birth)/365.25,0))</f>
        <v>180</v>
      </c>
      <c r="I1027" s="39">
        <f t="shared" ref="I1027:I1090" si="211">IF(OR(A1027 = DATE(YEAR(A1027), MONTH(Date_of_Birth), DAY(Date_of_Birth)),AND(A1027 = DATE(YEAR(A1027), MONTH(Date_of_Birth), DAY(Date_of_Birth)-1), AND(MONTH(Date_of_Birth)=2, DAY(Date_of_Birth) = 29))), ROUND((A1027-Date_of_Birth)/365.25,0),(A1027-Date_of_Birth)/365.25)</f>
        <v>180.95824777549623</v>
      </c>
      <c r="J1027" s="40">
        <f t="shared" ref="J1027:J1090" si="212">H1027-StartAge</f>
        <v>85</v>
      </c>
      <c r="K1027" s="43">
        <f>VLOOKUP(J1027,Data!$Z$3:$AA$122,2)</f>
        <v>0</v>
      </c>
      <c r="L1027" s="41">
        <f t="shared" ref="L1027:L1090" si="213">IF(A1027&lt;=NextBirth,(A1027-EffDate)/365.25,(I1027-H1027))</f>
        <v>0.95824777549623263</v>
      </c>
      <c r="M1027" s="43">
        <f>VLOOKUP(H1027,Data!$P$3:$X$122,9)</f>
        <v>0</v>
      </c>
      <c r="N1027" s="43">
        <f t="shared" si="203"/>
        <v>0</v>
      </c>
      <c r="O1027" s="43">
        <f t="shared" si="204"/>
        <v>0</v>
      </c>
      <c r="P1027" s="30">
        <f t="shared" si="205"/>
        <v>0</v>
      </c>
      <c r="Q1027" s="31">
        <f t="shared" si="207"/>
        <v>848340.75061972369</v>
      </c>
    </row>
    <row r="1028" spans="1:17" x14ac:dyDescent="0.25">
      <c r="A1028" s="6">
        <f t="shared" si="206"/>
        <v>74479</v>
      </c>
      <c r="B1028" s="30">
        <f>IFERROR(VLOOKUP(A1028, Data!$L$3:$N$123, 3),1)*Pension</f>
        <v>1352015.6291990581</v>
      </c>
      <c r="C1028" s="37">
        <f t="shared" si="208"/>
        <v>85.4154688569473</v>
      </c>
      <c r="D1028" s="37">
        <f>IFERROR(VLOOKUP(A1028,Data!$I$3:$J$1442,2),0)</f>
        <v>7.9306292E-2</v>
      </c>
      <c r="E1028" s="37">
        <f t="shared" si="209"/>
        <v>7.9106291999999995E-2</v>
      </c>
      <c r="F1028" s="37">
        <f t="shared" ref="F1028:F1091" si="214">EXP(-E1028*C1028)</f>
        <v>1.1628271732848517E-3</v>
      </c>
      <c r="G1028" s="30">
        <f t="shared" ref="G1028:G1091" si="215">B1028*F1028</f>
        <v>1572.1605123384809</v>
      </c>
      <c r="H1028" s="38">
        <f t="shared" si="210"/>
        <v>181</v>
      </c>
      <c r="I1028" s="39">
        <f t="shared" si="211"/>
        <v>181.0403832991102</v>
      </c>
      <c r="J1028" s="40">
        <f t="shared" si="212"/>
        <v>86</v>
      </c>
      <c r="K1028" s="43">
        <f>VLOOKUP(J1028,Data!$Z$3:$AA$122,2)</f>
        <v>0</v>
      </c>
      <c r="L1028" s="41">
        <f t="shared" si="213"/>
        <v>4.0383299110203552E-2</v>
      </c>
      <c r="M1028" s="43">
        <f>VLOOKUP(H1028,Data!$P$3:$X$122,9)</f>
        <v>0</v>
      </c>
      <c r="N1028" s="43">
        <f t="shared" ref="N1028:N1091" si="216">IF(M1028=0, 0, EXP(-L1028*M1028))</f>
        <v>0</v>
      </c>
      <c r="O1028" s="43">
        <f t="shared" ref="O1028:O1091" si="217">K1028*N1028</f>
        <v>0</v>
      </c>
      <c r="P1028" s="30">
        <f t="shared" ref="P1028:P1091" si="218">G1028*O1028</f>
        <v>0</v>
      </c>
      <c r="Q1028" s="31">
        <f t="shared" si="207"/>
        <v>848340.75061972369</v>
      </c>
    </row>
    <row r="1029" spans="1:17" x14ac:dyDescent="0.25">
      <c r="A1029" s="6">
        <f t="shared" ref="A1029:A1092" si="219">EOMONTH(A1028,1)</f>
        <v>74510</v>
      </c>
      <c r="B1029" s="30">
        <f>IFERROR(VLOOKUP(A1029, Data!$L$3:$N$123, 3),1)*Pension</f>
        <v>1419616.4106590108</v>
      </c>
      <c r="C1029" s="37">
        <f t="shared" si="208"/>
        <v>85.500342231348398</v>
      </c>
      <c r="D1029" s="37">
        <f>IFERROR(VLOOKUP(A1029,Data!$I$3:$J$1442,2),0)</f>
        <v>7.9297054000000006E-2</v>
      </c>
      <c r="E1029" s="37">
        <f t="shared" si="209"/>
        <v>7.9097054E-2</v>
      </c>
      <c r="F1029" s="37">
        <f t="shared" si="214"/>
        <v>1.1559587572457545E-3</v>
      </c>
      <c r="G1029" s="30">
        <f t="shared" si="215"/>
        <v>1641.0180218310688</v>
      </c>
      <c r="H1029" s="38">
        <f t="shared" si="210"/>
        <v>181</v>
      </c>
      <c r="I1029" s="39">
        <f t="shared" si="211"/>
        <v>181.1252566735113</v>
      </c>
      <c r="J1029" s="40">
        <f t="shared" si="212"/>
        <v>86</v>
      </c>
      <c r="K1029" s="43">
        <f>VLOOKUP(J1029,Data!$Z$3:$AA$122,2)</f>
        <v>0</v>
      </c>
      <c r="L1029" s="41">
        <f t="shared" si="213"/>
        <v>0.1252566735113021</v>
      </c>
      <c r="M1029" s="43">
        <f>VLOOKUP(H1029,Data!$P$3:$X$122,9)</f>
        <v>0</v>
      </c>
      <c r="N1029" s="43">
        <f t="shared" si="216"/>
        <v>0</v>
      </c>
      <c r="O1029" s="43">
        <f t="shared" si="217"/>
        <v>0</v>
      </c>
      <c r="P1029" s="30">
        <f t="shared" si="218"/>
        <v>0</v>
      </c>
      <c r="Q1029" s="31">
        <f t="shared" ref="Q1029:Q1092" si="220">Q1028+P1029</f>
        <v>848340.75061972369</v>
      </c>
    </row>
    <row r="1030" spans="1:17" x14ac:dyDescent="0.25">
      <c r="A1030" s="6">
        <f t="shared" si="219"/>
        <v>74541</v>
      </c>
      <c r="B1030" s="30">
        <f>IFERROR(VLOOKUP(A1030, Data!$L$3:$N$123, 3),1)*Pension</f>
        <v>1419616.4106590108</v>
      </c>
      <c r="C1030" s="37">
        <f t="shared" si="208"/>
        <v>85.585215605749482</v>
      </c>
      <c r="D1030" s="37">
        <f>IFERROR(VLOOKUP(A1030,Data!$I$3:$J$1442,2),0)</f>
        <v>7.9287834000000001E-2</v>
      </c>
      <c r="E1030" s="37">
        <f t="shared" si="209"/>
        <v>7.9087833999999996E-2</v>
      </c>
      <c r="F1030" s="37">
        <f t="shared" si="214"/>
        <v>1.149130942254079E-3</v>
      </c>
      <c r="G1030" s="30">
        <f t="shared" si="215"/>
        <v>1631.3251436199425</v>
      </c>
      <c r="H1030" s="38">
        <f t="shared" si="210"/>
        <v>181</v>
      </c>
      <c r="I1030" s="39">
        <f t="shared" si="211"/>
        <v>181.2101300479124</v>
      </c>
      <c r="J1030" s="40">
        <f t="shared" si="212"/>
        <v>86</v>
      </c>
      <c r="K1030" s="43">
        <f>VLOOKUP(J1030,Data!$Z$3:$AA$122,2)</f>
        <v>0</v>
      </c>
      <c r="L1030" s="41">
        <f t="shared" si="213"/>
        <v>0.21013004791240064</v>
      </c>
      <c r="M1030" s="43">
        <f>VLOOKUP(H1030,Data!$P$3:$X$122,9)</f>
        <v>0</v>
      </c>
      <c r="N1030" s="43">
        <f t="shared" si="216"/>
        <v>0</v>
      </c>
      <c r="O1030" s="43">
        <f t="shared" si="217"/>
        <v>0</v>
      </c>
      <c r="P1030" s="30">
        <f t="shared" si="218"/>
        <v>0</v>
      </c>
      <c r="Q1030" s="31">
        <f t="shared" si="220"/>
        <v>848340.75061972369</v>
      </c>
    </row>
    <row r="1031" spans="1:17" x14ac:dyDescent="0.25">
      <c r="A1031" s="6">
        <f t="shared" si="219"/>
        <v>74570</v>
      </c>
      <c r="B1031" s="30">
        <f>IFERROR(VLOOKUP(A1031, Data!$L$3:$N$123, 3),1)*Pension</f>
        <v>1419616.4106590108</v>
      </c>
      <c r="C1031" s="37">
        <f t="shared" si="208"/>
        <v>85.664613278576311</v>
      </c>
      <c r="D1031" s="37">
        <f>IFERROR(VLOOKUP(A1031,Data!$I$3:$J$1442,2),0)</f>
        <v>7.9279225999999994E-2</v>
      </c>
      <c r="E1031" s="37">
        <f t="shared" si="209"/>
        <v>7.9079225999999989E-2</v>
      </c>
      <c r="F1031" s="37">
        <f t="shared" si="214"/>
        <v>1.1427800856818834E-3</v>
      </c>
      <c r="G1031" s="30">
        <f t="shared" si="215"/>
        <v>1622.309363408312</v>
      </c>
      <c r="H1031" s="38">
        <f t="shared" si="210"/>
        <v>181</v>
      </c>
      <c r="I1031" s="39">
        <f t="shared" si="211"/>
        <v>181.28952772073922</v>
      </c>
      <c r="J1031" s="40">
        <f t="shared" si="212"/>
        <v>86</v>
      </c>
      <c r="K1031" s="43">
        <f>VLOOKUP(J1031,Data!$Z$3:$AA$122,2)</f>
        <v>0</v>
      </c>
      <c r="L1031" s="41">
        <f t="shared" si="213"/>
        <v>0.28952772073921551</v>
      </c>
      <c r="M1031" s="43">
        <f>VLOOKUP(H1031,Data!$P$3:$X$122,9)</f>
        <v>0</v>
      </c>
      <c r="N1031" s="43">
        <f t="shared" si="216"/>
        <v>0</v>
      </c>
      <c r="O1031" s="43">
        <f t="shared" si="217"/>
        <v>0</v>
      </c>
      <c r="P1031" s="30">
        <f t="shared" si="218"/>
        <v>0</v>
      </c>
      <c r="Q1031" s="31">
        <f t="shared" si="220"/>
        <v>848340.75061972369</v>
      </c>
    </row>
    <row r="1032" spans="1:17" x14ac:dyDescent="0.25">
      <c r="A1032" s="6">
        <f t="shared" si="219"/>
        <v>74601</v>
      </c>
      <c r="B1032" s="30">
        <f>IFERROR(VLOOKUP(A1032, Data!$L$3:$N$123, 3),1)*Pension</f>
        <v>1419616.4106590108</v>
      </c>
      <c r="C1032" s="37">
        <f t="shared" si="208"/>
        <v>85.74948665297741</v>
      </c>
      <c r="D1032" s="37">
        <f>IFERROR(VLOOKUP(A1032,Data!$I$3:$J$1442,2),0)</f>
        <v>7.9270041999999999E-2</v>
      </c>
      <c r="E1032" s="37">
        <f t="shared" si="209"/>
        <v>7.9070041999999993E-2</v>
      </c>
      <c r="F1032" s="37">
        <f t="shared" si="214"/>
        <v>1.1360300448184375E-3</v>
      </c>
      <c r="G1032" s="30">
        <f t="shared" si="215"/>
        <v>1612.7268946259453</v>
      </c>
      <c r="H1032" s="38">
        <f t="shared" si="210"/>
        <v>181</v>
      </c>
      <c r="I1032" s="39">
        <f t="shared" si="211"/>
        <v>181.37440109514031</v>
      </c>
      <c r="J1032" s="40">
        <f t="shared" si="212"/>
        <v>86</v>
      </c>
      <c r="K1032" s="43">
        <f>VLOOKUP(J1032,Data!$Z$3:$AA$122,2)</f>
        <v>0</v>
      </c>
      <c r="L1032" s="41">
        <f t="shared" si="213"/>
        <v>0.37440109514031406</v>
      </c>
      <c r="M1032" s="43">
        <f>VLOOKUP(H1032,Data!$P$3:$X$122,9)</f>
        <v>0</v>
      </c>
      <c r="N1032" s="43">
        <f t="shared" si="216"/>
        <v>0</v>
      </c>
      <c r="O1032" s="43">
        <f t="shared" si="217"/>
        <v>0</v>
      </c>
      <c r="P1032" s="30">
        <f t="shared" si="218"/>
        <v>0</v>
      </c>
      <c r="Q1032" s="31">
        <f t="shared" si="220"/>
        <v>848340.75061972369</v>
      </c>
    </row>
    <row r="1033" spans="1:17" x14ac:dyDescent="0.25">
      <c r="A1033" s="6">
        <f t="shared" si="219"/>
        <v>74631</v>
      </c>
      <c r="B1033" s="30">
        <f>IFERROR(VLOOKUP(A1033, Data!$L$3:$N$123, 3),1)*Pension</f>
        <v>1419616.4106590108</v>
      </c>
      <c r="C1033" s="37">
        <f t="shared" si="208"/>
        <v>85.831622176591381</v>
      </c>
      <c r="D1033" s="37">
        <f>IFERROR(VLOOKUP(A1033,Data!$I$3:$J$1442,2),0)</f>
        <v>7.9261172000000005E-2</v>
      </c>
      <c r="E1033" s="37">
        <f t="shared" si="209"/>
        <v>7.9061171999999999E-2</v>
      </c>
      <c r="F1033" s="37">
        <f t="shared" si="214"/>
        <v>1.1295356680425975E-3</v>
      </c>
      <c r="G1033" s="30">
        <f t="shared" si="215"/>
        <v>1603.50737077796</v>
      </c>
      <c r="H1033" s="38">
        <f t="shared" si="210"/>
        <v>181</v>
      </c>
      <c r="I1033" s="39">
        <f t="shared" si="211"/>
        <v>181.45653661875428</v>
      </c>
      <c r="J1033" s="40">
        <f t="shared" si="212"/>
        <v>86</v>
      </c>
      <c r="K1033" s="43">
        <f>VLOOKUP(J1033,Data!$Z$3:$AA$122,2)</f>
        <v>0</v>
      </c>
      <c r="L1033" s="41">
        <f t="shared" si="213"/>
        <v>0.45653661875428497</v>
      </c>
      <c r="M1033" s="43">
        <f>VLOOKUP(H1033,Data!$P$3:$X$122,9)</f>
        <v>0</v>
      </c>
      <c r="N1033" s="43">
        <f t="shared" si="216"/>
        <v>0</v>
      </c>
      <c r="O1033" s="43">
        <f t="shared" si="217"/>
        <v>0</v>
      </c>
      <c r="P1033" s="30">
        <f t="shared" si="218"/>
        <v>0</v>
      </c>
      <c r="Q1033" s="31">
        <f t="shared" si="220"/>
        <v>848340.75061972369</v>
      </c>
    </row>
    <row r="1034" spans="1:17" x14ac:dyDescent="0.25">
      <c r="A1034" s="6">
        <f t="shared" si="219"/>
        <v>74662</v>
      </c>
      <c r="B1034" s="30">
        <f>IFERROR(VLOOKUP(A1034, Data!$L$3:$N$123, 3),1)*Pension</f>
        <v>1419616.4106590108</v>
      </c>
      <c r="C1034" s="37">
        <f t="shared" si="208"/>
        <v>85.916495550992465</v>
      </c>
      <c r="D1034" s="37">
        <f>IFERROR(VLOOKUP(A1034,Data!$I$3:$J$1442,2),0)</f>
        <v>7.9252023000000005E-2</v>
      </c>
      <c r="E1034" s="37">
        <f t="shared" si="209"/>
        <v>7.9052022999999999E-2</v>
      </c>
      <c r="F1034" s="37">
        <f t="shared" si="214"/>
        <v>1.1228639240588004E-3</v>
      </c>
      <c r="G1034" s="30">
        <f t="shared" si="215"/>
        <v>1594.0360535308462</v>
      </c>
      <c r="H1034" s="38">
        <f t="shared" si="210"/>
        <v>181</v>
      </c>
      <c r="I1034" s="39">
        <f t="shared" si="211"/>
        <v>181.54140999315538</v>
      </c>
      <c r="J1034" s="40">
        <f t="shared" si="212"/>
        <v>86</v>
      </c>
      <c r="K1034" s="43">
        <f>VLOOKUP(J1034,Data!$Z$3:$AA$122,2)</f>
        <v>0</v>
      </c>
      <c r="L1034" s="41">
        <f t="shared" si="213"/>
        <v>0.54140999315538352</v>
      </c>
      <c r="M1034" s="43">
        <f>VLOOKUP(H1034,Data!$P$3:$X$122,9)</f>
        <v>0</v>
      </c>
      <c r="N1034" s="43">
        <f t="shared" si="216"/>
        <v>0</v>
      </c>
      <c r="O1034" s="43">
        <f t="shared" si="217"/>
        <v>0</v>
      </c>
      <c r="P1034" s="30">
        <f t="shared" si="218"/>
        <v>0</v>
      </c>
      <c r="Q1034" s="31">
        <f t="shared" si="220"/>
        <v>848340.75061972369</v>
      </c>
    </row>
    <row r="1035" spans="1:17" x14ac:dyDescent="0.25">
      <c r="A1035" s="6">
        <f t="shared" si="219"/>
        <v>74692</v>
      </c>
      <c r="B1035" s="30">
        <f>IFERROR(VLOOKUP(A1035, Data!$L$3:$N$123, 3),1)*Pension</f>
        <v>1419616.4106590108</v>
      </c>
      <c r="C1035" s="37">
        <f t="shared" si="208"/>
        <v>85.998631074606436</v>
      </c>
      <c r="D1035" s="37">
        <f>IFERROR(VLOOKUP(A1035,Data!$I$3:$J$1442,2),0)</f>
        <v>7.9243187000000007E-2</v>
      </c>
      <c r="E1035" s="37">
        <f t="shared" si="209"/>
        <v>7.9043187000000001E-2</v>
      </c>
      <c r="F1035" s="37">
        <f t="shared" si="214"/>
        <v>1.1164448562097581E-3</v>
      </c>
      <c r="G1035" s="30">
        <f t="shared" si="215"/>
        <v>1584.9234394712121</v>
      </c>
      <c r="H1035" s="38">
        <f t="shared" si="210"/>
        <v>181</v>
      </c>
      <c r="I1035" s="39">
        <f t="shared" si="211"/>
        <v>181.62354551676933</v>
      </c>
      <c r="J1035" s="40">
        <f t="shared" si="212"/>
        <v>86</v>
      </c>
      <c r="K1035" s="43">
        <f>VLOOKUP(J1035,Data!$Z$3:$AA$122,2)</f>
        <v>0</v>
      </c>
      <c r="L1035" s="41">
        <f t="shared" si="213"/>
        <v>0.62354551676932601</v>
      </c>
      <c r="M1035" s="43">
        <f>VLOOKUP(H1035,Data!$P$3:$X$122,9)</f>
        <v>0</v>
      </c>
      <c r="N1035" s="43">
        <f t="shared" si="216"/>
        <v>0</v>
      </c>
      <c r="O1035" s="43">
        <f t="shared" si="217"/>
        <v>0</v>
      </c>
      <c r="P1035" s="30">
        <f t="shared" si="218"/>
        <v>0</v>
      </c>
      <c r="Q1035" s="31">
        <f t="shared" si="220"/>
        <v>848340.75061972369</v>
      </c>
    </row>
    <row r="1036" spans="1:17" x14ac:dyDescent="0.25">
      <c r="A1036" s="6">
        <f t="shared" si="219"/>
        <v>74723</v>
      </c>
      <c r="B1036" s="30">
        <f>IFERROR(VLOOKUP(A1036, Data!$L$3:$N$123, 3),1)*Pension</f>
        <v>1419616.4106590108</v>
      </c>
      <c r="C1036" s="37">
        <f t="shared" si="208"/>
        <v>86.083504449007535</v>
      </c>
      <c r="D1036" s="37">
        <f>IFERROR(VLOOKUP(A1036,Data!$I$3:$J$1442,2),0)</f>
        <v>7.9234074000000002E-2</v>
      </c>
      <c r="E1036" s="37">
        <f t="shared" si="209"/>
        <v>7.9034073999999996E-2</v>
      </c>
      <c r="F1036" s="37">
        <f t="shared" si="214"/>
        <v>1.1098503852538782E-3</v>
      </c>
      <c r="G1036" s="30">
        <f t="shared" si="215"/>
        <v>1575.5618202826308</v>
      </c>
      <c r="H1036" s="38">
        <f t="shared" si="210"/>
        <v>181</v>
      </c>
      <c r="I1036" s="39">
        <f t="shared" si="211"/>
        <v>181.70841889117042</v>
      </c>
      <c r="J1036" s="40">
        <f t="shared" si="212"/>
        <v>86</v>
      </c>
      <c r="K1036" s="43">
        <f>VLOOKUP(J1036,Data!$Z$3:$AA$122,2)</f>
        <v>0</v>
      </c>
      <c r="L1036" s="41">
        <f t="shared" si="213"/>
        <v>0.70841889117042456</v>
      </c>
      <c r="M1036" s="43">
        <f>VLOOKUP(H1036,Data!$P$3:$X$122,9)</f>
        <v>0</v>
      </c>
      <c r="N1036" s="43">
        <f t="shared" si="216"/>
        <v>0</v>
      </c>
      <c r="O1036" s="43">
        <f t="shared" si="217"/>
        <v>0</v>
      </c>
      <c r="P1036" s="30">
        <f t="shared" si="218"/>
        <v>0</v>
      </c>
      <c r="Q1036" s="31">
        <f t="shared" si="220"/>
        <v>848340.75061972369</v>
      </c>
    </row>
    <row r="1037" spans="1:17" x14ac:dyDescent="0.25">
      <c r="A1037" s="6">
        <f t="shared" si="219"/>
        <v>74754</v>
      </c>
      <c r="B1037" s="30">
        <f>IFERROR(VLOOKUP(A1037, Data!$L$3:$N$123, 3),1)*Pension</f>
        <v>1419616.4106590108</v>
      </c>
      <c r="C1037" s="37">
        <f t="shared" si="208"/>
        <v>86.168377823408619</v>
      </c>
      <c r="D1037" s="37">
        <f>IFERROR(VLOOKUP(A1037,Data!$I$3:$J$1442,2),0)</f>
        <v>7.9224979000000001E-2</v>
      </c>
      <c r="E1037" s="37">
        <f t="shared" si="209"/>
        <v>7.9024978999999995E-2</v>
      </c>
      <c r="F1037" s="37">
        <f t="shared" si="214"/>
        <v>1.1032948611043474E-3</v>
      </c>
      <c r="G1037" s="30">
        <f t="shared" si="215"/>
        <v>1566.2554906194855</v>
      </c>
      <c r="H1037" s="38">
        <f t="shared" si="210"/>
        <v>181</v>
      </c>
      <c r="I1037" s="39">
        <f t="shared" si="211"/>
        <v>181.79329226557152</v>
      </c>
      <c r="J1037" s="40">
        <f t="shared" si="212"/>
        <v>86</v>
      </c>
      <c r="K1037" s="43">
        <f>VLOOKUP(J1037,Data!$Z$3:$AA$122,2)</f>
        <v>0</v>
      </c>
      <c r="L1037" s="41">
        <f t="shared" si="213"/>
        <v>0.7932922655715231</v>
      </c>
      <c r="M1037" s="43">
        <f>VLOOKUP(H1037,Data!$P$3:$X$122,9)</f>
        <v>0</v>
      </c>
      <c r="N1037" s="43">
        <f t="shared" si="216"/>
        <v>0</v>
      </c>
      <c r="O1037" s="43">
        <f t="shared" si="217"/>
        <v>0</v>
      </c>
      <c r="P1037" s="30">
        <f t="shared" si="218"/>
        <v>0</v>
      </c>
      <c r="Q1037" s="31">
        <f t="shared" si="220"/>
        <v>848340.75061972369</v>
      </c>
    </row>
    <row r="1038" spans="1:17" x14ac:dyDescent="0.25">
      <c r="A1038" s="6">
        <f t="shared" si="219"/>
        <v>74784</v>
      </c>
      <c r="B1038" s="30">
        <f>IFERROR(VLOOKUP(A1038, Data!$L$3:$N$123, 3),1)*Pension</f>
        <v>1419616.4106590108</v>
      </c>
      <c r="C1038" s="37">
        <f t="shared" si="208"/>
        <v>86.25051334702259</v>
      </c>
      <c r="D1038" s="37">
        <f>IFERROR(VLOOKUP(A1038,Data!$I$3:$J$1442,2),0)</f>
        <v>7.9216194000000004E-2</v>
      </c>
      <c r="E1038" s="37">
        <f t="shared" si="209"/>
        <v>7.9016193999999998E-2</v>
      </c>
      <c r="F1038" s="37">
        <f t="shared" si="214"/>
        <v>1.0969877163686192E-3</v>
      </c>
      <c r="G1038" s="30">
        <f t="shared" si="215"/>
        <v>1557.3017644482441</v>
      </c>
      <c r="H1038" s="38">
        <f t="shared" si="210"/>
        <v>181</v>
      </c>
      <c r="I1038" s="39">
        <f t="shared" si="211"/>
        <v>181.87542778918549</v>
      </c>
      <c r="J1038" s="40">
        <f t="shared" si="212"/>
        <v>86</v>
      </c>
      <c r="K1038" s="43">
        <f>VLOOKUP(J1038,Data!$Z$3:$AA$122,2)</f>
        <v>0</v>
      </c>
      <c r="L1038" s="41">
        <f t="shared" si="213"/>
        <v>0.87542778918549402</v>
      </c>
      <c r="M1038" s="43">
        <f>VLOOKUP(H1038,Data!$P$3:$X$122,9)</f>
        <v>0</v>
      </c>
      <c r="N1038" s="43">
        <f t="shared" si="216"/>
        <v>0</v>
      </c>
      <c r="O1038" s="43">
        <f t="shared" si="217"/>
        <v>0</v>
      </c>
      <c r="P1038" s="30">
        <f t="shared" si="218"/>
        <v>0</v>
      </c>
      <c r="Q1038" s="31">
        <f t="shared" si="220"/>
        <v>848340.75061972369</v>
      </c>
    </row>
    <row r="1039" spans="1:17" x14ac:dyDescent="0.25">
      <c r="A1039" s="6">
        <f t="shared" si="219"/>
        <v>74815</v>
      </c>
      <c r="B1039" s="30">
        <f>IFERROR(VLOOKUP(A1039, Data!$L$3:$N$123, 3),1)*Pension</f>
        <v>1419616.4106590108</v>
      </c>
      <c r="C1039" s="37">
        <f t="shared" si="208"/>
        <v>86.335386721423689</v>
      </c>
      <c r="D1039" s="37">
        <f>IFERROR(VLOOKUP(A1039,Data!$I$3:$J$1442,2),0)</f>
        <v>7.9207134999999998E-2</v>
      </c>
      <c r="E1039" s="37">
        <f t="shared" si="209"/>
        <v>7.9007134999999992E-2</v>
      </c>
      <c r="F1039" s="37">
        <f t="shared" si="214"/>
        <v>1.0905080897361695E-3</v>
      </c>
      <c r="G1039" s="30">
        <f t="shared" si="215"/>
        <v>1548.1031801458753</v>
      </c>
      <c r="H1039" s="38">
        <f t="shared" si="210"/>
        <v>181</v>
      </c>
      <c r="I1039" s="39">
        <f t="shared" si="211"/>
        <v>181.96030116358659</v>
      </c>
      <c r="J1039" s="40">
        <f t="shared" si="212"/>
        <v>86</v>
      </c>
      <c r="K1039" s="43">
        <f>VLOOKUP(J1039,Data!$Z$3:$AA$122,2)</f>
        <v>0</v>
      </c>
      <c r="L1039" s="41">
        <f t="shared" si="213"/>
        <v>0.96030116358659257</v>
      </c>
      <c r="M1039" s="43">
        <f>VLOOKUP(H1039,Data!$P$3:$X$122,9)</f>
        <v>0</v>
      </c>
      <c r="N1039" s="43">
        <f t="shared" si="216"/>
        <v>0</v>
      </c>
      <c r="O1039" s="43">
        <f t="shared" si="217"/>
        <v>0</v>
      </c>
      <c r="P1039" s="30">
        <f t="shared" si="218"/>
        <v>0</v>
      </c>
      <c r="Q1039" s="31">
        <f t="shared" si="220"/>
        <v>848340.75061972369</v>
      </c>
    </row>
    <row r="1040" spans="1:17" x14ac:dyDescent="0.25">
      <c r="A1040" s="6">
        <f t="shared" si="219"/>
        <v>74845</v>
      </c>
      <c r="B1040" s="30">
        <f>IFERROR(VLOOKUP(A1040, Data!$L$3:$N$123, 3),1)*Pension</f>
        <v>1419616.4106590108</v>
      </c>
      <c r="C1040" s="37">
        <f t="shared" si="208"/>
        <v>86.417522245037645</v>
      </c>
      <c r="D1040" s="37">
        <f>IFERROR(VLOOKUP(A1040,Data!$I$3:$J$1442,2),0)</f>
        <v>7.9198383999999997E-2</v>
      </c>
      <c r="E1040" s="37">
        <f t="shared" si="209"/>
        <v>7.8998383999999991E-2</v>
      </c>
      <c r="F1040" s="37">
        <f t="shared" si="214"/>
        <v>1.0842740365783218E-3</v>
      </c>
      <c r="G1040" s="30">
        <f t="shared" si="215"/>
        <v>1539.2532159780742</v>
      </c>
      <c r="H1040" s="38">
        <f t="shared" si="210"/>
        <v>182</v>
      </c>
      <c r="I1040" s="39">
        <f t="shared" si="211"/>
        <v>182.04243668720054</v>
      </c>
      <c r="J1040" s="40">
        <f t="shared" si="212"/>
        <v>87</v>
      </c>
      <c r="K1040" s="43">
        <f>VLOOKUP(J1040,Data!$Z$3:$AA$122,2)</f>
        <v>0</v>
      </c>
      <c r="L1040" s="41">
        <f t="shared" si="213"/>
        <v>4.2436687200535061E-2</v>
      </c>
      <c r="M1040" s="43">
        <f>VLOOKUP(H1040,Data!$P$3:$X$122,9)</f>
        <v>0</v>
      </c>
      <c r="N1040" s="43">
        <f t="shared" si="216"/>
        <v>0</v>
      </c>
      <c r="O1040" s="43">
        <f t="shared" si="217"/>
        <v>0</v>
      </c>
      <c r="P1040" s="30">
        <f t="shared" si="218"/>
        <v>0</v>
      </c>
      <c r="Q1040" s="31">
        <f t="shared" si="220"/>
        <v>848340.75061972369</v>
      </c>
    </row>
    <row r="1041" spans="1:17" x14ac:dyDescent="0.25">
      <c r="A1041" s="6">
        <f t="shared" si="219"/>
        <v>74876</v>
      </c>
      <c r="B1041" s="30">
        <f>IFERROR(VLOOKUP(A1041, Data!$L$3:$N$123, 3),1)*Pension</f>
        <v>1490597.2311919618</v>
      </c>
      <c r="C1041" s="37">
        <f t="shared" si="208"/>
        <v>86.502395619438744</v>
      </c>
      <c r="D1041" s="37">
        <f>IFERROR(VLOOKUP(A1041,Data!$I$3:$J$1442,2),0)</f>
        <v>7.9189359000000001E-2</v>
      </c>
      <c r="E1041" s="37">
        <f t="shared" si="209"/>
        <v>7.8989358999999995E-2</v>
      </c>
      <c r="F1041" s="37">
        <f t="shared" si="214"/>
        <v>1.0778695963544504E-3</v>
      </c>
      <c r="G1041" s="30">
        <f t="shared" si="215"/>
        <v>1606.6694359119413</v>
      </c>
      <c r="H1041" s="38">
        <f t="shared" si="210"/>
        <v>182</v>
      </c>
      <c r="I1041" s="39">
        <f t="shared" si="211"/>
        <v>182.12731006160163</v>
      </c>
      <c r="J1041" s="40">
        <f t="shared" si="212"/>
        <v>87</v>
      </c>
      <c r="K1041" s="43">
        <f>VLOOKUP(J1041,Data!$Z$3:$AA$122,2)</f>
        <v>0</v>
      </c>
      <c r="L1041" s="41">
        <f t="shared" si="213"/>
        <v>0.12731006160163361</v>
      </c>
      <c r="M1041" s="43">
        <f>VLOOKUP(H1041,Data!$P$3:$X$122,9)</f>
        <v>0</v>
      </c>
      <c r="N1041" s="43">
        <f t="shared" si="216"/>
        <v>0</v>
      </c>
      <c r="O1041" s="43">
        <f t="shared" si="217"/>
        <v>0</v>
      </c>
      <c r="P1041" s="30">
        <f t="shared" si="218"/>
        <v>0</v>
      </c>
      <c r="Q1041" s="31">
        <f t="shared" si="220"/>
        <v>848340.75061972369</v>
      </c>
    </row>
    <row r="1042" spans="1:17" x14ac:dyDescent="0.25">
      <c r="A1042" s="6">
        <f t="shared" si="219"/>
        <v>74907</v>
      </c>
      <c r="B1042" s="30">
        <f>IFERROR(VLOOKUP(A1042, Data!$L$3:$N$123, 3),1)*Pension</f>
        <v>1490597.2311919618</v>
      </c>
      <c r="C1042" s="37">
        <f t="shared" si="208"/>
        <v>86.587268993839842</v>
      </c>
      <c r="D1042" s="37">
        <f>IFERROR(VLOOKUP(A1042,Data!$I$3:$J$1442,2),0)</f>
        <v>7.9180351999999996E-2</v>
      </c>
      <c r="E1042" s="37">
        <f t="shared" si="209"/>
        <v>7.898035199999999E-2</v>
      </c>
      <c r="F1042" s="37">
        <f t="shared" si="214"/>
        <v>1.0715029564852578E-3</v>
      </c>
      <c r="G1042" s="30">
        <f t="shared" si="215"/>
        <v>1597.1793401509262</v>
      </c>
      <c r="H1042" s="38">
        <f t="shared" si="210"/>
        <v>182</v>
      </c>
      <c r="I1042" s="39">
        <f t="shared" si="211"/>
        <v>182.21218343600273</v>
      </c>
      <c r="J1042" s="40">
        <f t="shared" si="212"/>
        <v>87</v>
      </c>
      <c r="K1042" s="43">
        <f>VLOOKUP(J1042,Data!$Z$3:$AA$122,2)</f>
        <v>0</v>
      </c>
      <c r="L1042" s="41">
        <f t="shared" si="213"/>
        <v>0.21218343600273215</v>
      </c>
      <c r="M1042" s="43">
        <f>VLOOKUP(H1042,Data!$P$3:$X$122,9)</f>
        <v>0</v>
      </c>
      <c r="N1042" s="43">
        <f t="shared" si="216"/>
        <v>0</v>
      </c>
      <c r="O1042" s="43">
        <f t="shared" si="217"/>
        <v>0</v>
      </c>
      <c r="P1042" s="30">
        <f t="shared" si="218"/>
        <v>0</v>
      </c>
      <c r="Q1042" s="31">
        <f t="shared" si="220"/>
        <v>848340.75061972369</v>
      </c>
    </row>
    <row r="1043" spans="1:17" x14ac:dyDescent="0.25">
      <c r="A1043" s="6">
        <f t="shared" si="219"/>
        <v>74935</v>
      </c>
      <c r="B1043" s="30">
        <f>IFERROR(VLOOKUP(A1043, Data!$L$3:$N$123, 3),1)*Pension</f>
        <v>1490597.2311919618</v>
      </c>
      <c r="C1043" s="37">
        <f t="shared" si="208"/>
        <v>86.66392881587953</v>
      </c>
      <c r="D1043" s="37">
        <f>IFERROR(VLOOKUP(A1043,Data!$I$3:$J$1442,2),0)</f>
        <v>7.9172231999999995E-2</v>
      </c>
      <c r="E1043" s="37">
        <f t="shared" si="209"/>
        <v>7.8972231999999989E-2</v>
      </c>
      <c r="F1043" s="37">
        <f t="shared" si="214"/>
        <v>1.065784754503467E-3</v>
      </c>
      <c r="G1043" s="30">
        <f t="shared" si="215"/>
        <v>1588.6558041094727</v>
      </c>
      <c r="H1043" s="38">
        <f t="shared" si="210"/>
        <v>182</v>
      </c>
      <c r="I1043" s="39">
        <f t="shared" si="211"/>
        <v>182.28884325804245</v>
      </c>
      <c r="J1043" s="40">
        <f t="shared" si="212"/>
        <v>87</v>
      </c>
      <c r="K1043" s="43">
        <f>VLOOKUP(J1043,Data!$Z$3:$AA$122,2)</f>
        <v>0</v>
      </c>
      <c r="L1043" s="41">
        <f t="shared" si="213"/>
        <v>0.28884325804244781</v>
      </c>
      <c r="M1043" s="43">
        <f>VLOOKUP(H1043,Data!$P$3:$X$122,9)</f>
        <v>0</v>
      </c>
      <c r="N1043" s="43">
        <f t="shared" si="216"/>
        <v>0</v>
      </c>
      <c r="O1043" s="43">
        <f t="shared" si="217"/>
        <v>0</v>
      </c>
      <c r="P1043" s="30">
        <f t="shared" si="218"/>
        <v>0</v>
      </c>
      <c r="Q1043" s="31">
        <f t="shared" si="220"/>
        <v>848340.75061972369</v>
      </c>
    </row>
    <row r="1044" spans="1:17" x14ac:dyDescent="0.25">
      <c r="A1044" s="6">
        <f t="shared" si="219"/>
        <v>74966</v>
      </c>
      <c r="B1044" s="30">
        <f>IFERROR(VLOOKUP(A1044, Data!$L$3:$N$123, 3),1)*Pension</f>
        <v>1490597.2311919618</v>
      </c>
      <c r="C1044" s="37">
        <f t="shared" si="208"/>
        <v>86.748802190280628</v>
      </c>
      <c r="D1044" s="37">
        <f>IFERROR(VLOOKUP(A1044,Data!$I$3:$J$1442,2),0)</f>
        <v>7.9163258E-2</v>
      </c>
      <c r="E1044" s="37">
        <f t="shared" si="209"/>
        <v>7.8963257999999995E-2</v>
      </c>
      <c r="F1044" s="37">
        <f t="shared" si="214"/>
        <v>1.059489544602388E-3</v>
      </c>
      <c r="G1044" s="30">
        <f t="shared" si="215"/>
        <v>1579.272181661152</v>
      </c>
      <c r="H1044" s="38">
        <f t="shared" si="210"/>
        <v>182</v>
      </c>
      <c r="I1044" s="39">
        <f t="shared" si="211"/>
        <v>182.37371663244352</v>
      </c>
      <c r="J1044" s="40">
        <f t="shared" si="212"/>
        <v>87</v>
      </c>
      <c r="K1044" s="43">
        <f>VLOOKUP(J1044,Data!$Z$3:$AA$122,2)</f>
        <v>0</v>
      </c>
      <c r="L1044" s="41">
        <f t="shared" si="213"/>
        <v>0.37371663244351794</v>
      </c>
      <c r="M1044" s="43">
        <f>VLOOKUP(H1044,Data!$P$3:$X$122,9)</f>
        <v>0</v>
      </c>
      <c r="N1044" s="43">
        <f t="shared" si="216"/>
        <v>0</v>
      </c>
      <c r="O1044" s="43">
        <f t="shared" si="217"/>
        <v>0</v>
      </c>
      <c r="P1044" s="30">
        <f t="shared" si="218"/>
        <v>0</v>
      </c>
      <c r="Q1044" s="31">
        <f t="shared" si="220"/>
        <v>848340.75061972369</v>
      </c>
    </row>
    <row r="1045" spans="1:17" x14ac:dyDescent="0.25">
      <c r="A1045" s="6">
        <f t="shared" si="219"/>
        <v>74996</v>
      </c>
      <c r="B1045" s="30">
        <f>IFERROR(VLOOKUP(A1045, Data!$L$3:$N$123, 3),1)*Pension</f>
        <v>1490597.2311919618</v>
      </c>
      <c r="C1045" s="37">
        <f t="shared" si="208"/>
        <v>86.830937713894599</v>
      </c>
      <c r="D1045" s="37">
        <f>IFERROR(VLOOKUP(A1045,Data!$I$3:$J$1442,2),0)</f>
        <v>7.9154589999999997E-2</v>
      </c>
      <c r="E1045" s="37">
        <f t="shared" si="209"/>
        <v>7.8954589999999991E-2</v>
      </c>
      <c r="F1045" s="37">
        <f t="shared" si="214"/>
        <v>1.0534328290893484E-3</v>
      </c>
      <c r="G1045" s="30">
        <f t="shared" si="215"/>
        <v>1570.2440582872978</v>
      </c>
      <c r="H1045" s="38">
        <f t="shared" si="210"/>
        <v>182</v>
      </c>
      <c r="I1045" s="39">
        <f t="shared" si="211"/>
        <v>182.45585215605749</v>
      </c>
      <c r="J1045" s="40">
        <f t="shared" si="212"/>
        <v>87</v>
      </c>
      <c r="K1045" s="43">
        <f>VLOOKUP(J1045,Data!$Z$3:$AA$122,2)</f>
        <v>0</v>
      </c>
      <c r="L1045" s="41">
        <f t="shared" si="213"/>
        <v>0.45585215605748886</v>
      </c>
      <c r="M1045" s="43">
        <f>VLOOKUP(H1045,Data!$P$3:$X$122,9)</f>
        <v>0</v>
      </c>
      <c r="N1045" s="43">
        <f t="shared" si="216"/>
        <v>0</v>
      </c>
      <c r="O1045" s="43">
        <f t="shared" si="217"/>
        <v>0</v>
      </c>
      <c r="P1045" s="30">
        <f t="shared" si="218"/>
        <v>0</v>
      </c>
      <c r="Q1045" s="31">
        <f t="shared" si="220"/>
        <v>848340.75061972369</v>
      </c>
    </row>
    <row r="1046" spans="1:17" x14ac:dyDescent="0.25">
      <c r="A1046" s="6">
        <f t="shared" si="219"/>
        <v>75027</v>
      </c>
      <c r="B1046" s="30">
        <f>IFERROR(VLOOKUP(A1046, Data!$L$3:$N$123, 3),1)*Pension</f>
        <v>1490597.2311919618</v>
      </c>
      <c r="C1046" s="37">
        <f t="shared" si="208"/>
        <v>86.915811088295683</v>
      </c>
      <c r="D1046" s="37">
        <f>IFERROR(VLOOKUP(A1046,Data!$I$3:$J$1442,2),0)</f>
        <v>7.9145650999999997E-2</v>
      </c>
      <c r="E1046" s="37">
        <f t="shared" si="209"/>
        <v>7.8945650999999992E-2</v>
      </c>
      <c r="F1046" s="37">
        <f t="shared" si="214"/>
        <v>1.0472105294500344E-3</v>
      </c>
      <c r="G1046" s="30">
        <f t="shared" si="215"/>
        <v>1560.9691156732897</v>
      </c>
      <c r="H1046" s="38">
        <f t="shared" si="210"/>
        <v>182</v>
      </c>
      <c r="I1046" s="39">
        <f t="shared" si="211"/>
        <v>182.54072553045859</v>
      </c>
      <c r="J1046" s="40">
        <f t="shared" si="212"/>
        <v>87</v>
      </c>
      <c r="K1046" s="43">
        <f>VLOOKUP(J1046,Data!$Z$3:$AA$122,2)</f>
        <v>0</v>
      </c>
      <c r="L1046" s="41">
        <f t="shared" si="213"/>
        <v>0.5407255304585874</v>
      </c>
      <c r="M1046" s="43">
        <f>VLOOKUP(H1046,Data!$P$3:$X$122,9)</f>
        <v>0</v>
      </c>
      <c r="N1046" s="43">
        <f t="shared" si="216"/>
        <v>0</v>
      </c>
      <c r="O1046" s="43">
        <f t="shared" si="217"/>
        <v>0</v>
      </c>
      <c r="P1046" s="30">
        <f t="shared" si="218"/>
        <v>0</v>
      </c>
      <c r="Q1046" s="31">
        <f t="shared" si="220"/>
        <v>848340.75061972369</v>
      </c>
    </row>
    <row r="1047" spans="1:17" x14ac:dyDescent="0.25">
      <c r="A1047" s="6">
        <f t="shared" si="219"/>
        <v>75057</v>
      </c>
      <c r="B1047" s="30">
        <f>IFERROR(VLOOKUP(A1047, Data!$L$3:$N$123, 3),1)*Pension</f>
        <v>1490597.2311919618</v>
      </c>
      <c r="C1047" s="37">
        <f t="shared" si="208"/>
        <v>86.997946611909654</v>
      </c>
      <c r="D1047" s="37">
        <f>IFERROR(VLOOKUP(A1047,Data!$I$3:$J$1442,2),0)</f>
        <v>7.9137017000000004E-2</v>
      </c>
      <c r="E1047" s="37">
        <f t="shared" si="209"/>
        <v>7.8937016999999998E-2</v>
      </c>
      <c r="F1047" s="37">
        <f t="shared" si="214"/>
        <v>1.0412239418097068E-3</v>
      </c>
      <c r="G1047" s="30">
        <f t="shared" si="215"/>
        <v>1552.0455247123293</v>
      </c>
      <c r="H1047" s="38">
        <f t="shared" si="210"/>
        <v>182</v>
      </c>
      <c r="I1047" s="39">
        <f t="shared" si="211"/>
        <v>182.62286105407256</v>
      </c>
      <c r="J1047" s="40">
        <f t="shared" si="212"/>
        <v>87</v>
      </c>
      <c r="K1047" s="43">
        <f>VLOOKUP(J1047,Data!$Z$3:$AA$122,2)</f>
        <v>0</v>
      </c>
      <c r="L1047" s="41">
        <f t="shared" si="213"/>
        <v>0.62286105407255832</v>
      </c>
      <c r="M1047" s="43">
        <f>VLOOKUP(H1047,Data!$P$3:$X$122,9)</f>
        <v>0</v>
      </c>
      <c r="N1047" s="43">
        <f t="shared" si="216"/>
        <v>0</v>
      </c>
      <c r="O1047" s="43">
        <f t="shared" si="217"/>
        <v>0</v>
      </c>
      <c r="P1047" s="30">
        <f t="shared" si="218"/>
        <v>0</v>
      </c>
      <c r="Q1047" s="31">
        <f t="shared" si="220"/>
        <v>848340.75061972369</v>
      </c>
    </row>
    <row r="1048" spans="1:17" x14ac:dyDescent="0.25">
      <c r="A1048" s="6">
        <f t="shared" si="219"/>
        <v>75088</v>
      </c>
      <c r="B1048" s="30">
        <f>IFERROR(VLOOKUP(A1048, Data!$L$3:$N$123, 3),1)*Pension</f>
        <v>1490597.2311919618</v>
      </c>
      <c r="C1048" s="37">
        <f t="shared" si="208"/>
        <v>87.082819986310753</v>
      </c>
      <c r="D1048" s="37">
        <f>IFERROR(VLOOKUP(A1048,Data!$I$3:$J$1442,2),0)</f>
        <v>7.9128112E-2</v>
      </c>
      <c r="E1048" s="37">
        <f t="shared" si="209"/>
        <v>7.8928111999999995E-2</v>
      </c>
      <c r="F1048" s="37">
        <f t="shared" si="214"/>
        <v>1.0350737806478873E-3</v>
      </c>
      <c r="G1048" s="30">
        <f t="shared" si="215"/>
        <v>1542.8781115131369</v>
      </c>
      <c r="H1048" s="38">
        <f t="shared" si="210"/>
        <v>182</v>
      </c>
      <c r="I1048" s="39">
        <f t="shared" si="211"/>
        <v>182.70773442847366</v>
      </c>
      <c r="J1048" s="40">
        <f t="shared" si="212"/>
        <v>87</v>
      </c>
      <c r="K1048" s="43">
        <f>VLOOKUP(J1048,Data!$Z$3:$AA$122,2)</f>
        <v>0</v>
      </c>
      <c r="L1048" s="41">
        <f t="shared" si="213"/>
        <v>0.70773442847365686</v>
      </c>
      <c r="M1048" s="43">
        <f>VLOOKUP(H1048,Data!$P$3:$X$122,9)</f>
        <v>0</v>
      </c>
      <c r="N1048" s="43">
        <f t="shared" si="216"/>
        <v>0</v>
      </c>
      <c r="O1048" s="43">
        <f t="shared" si="217"/>
        <v>0</v>
      </c>
      <c r="P1048" s="30">
        <f t="shared" si="218"/>
        <v>0</v>
      </c>
      <c r="Q1048" s="31">
        <f t="shared" si="220"/>
        <v>848340.75061972369</v>
      </c>
    </row>
    <row r="1049" spans="1:17" x14ac:dyDescent="0.25">
      <c r="A1049" s="6">
        <f t="shared" si="219"/>
        <v>75119</v>
      </c>
      <c r="B1049" s="30">
        <f>IFERROR(VLOOKUP(A1049, Data!$L$3:$N$123, 3),1)*Pension</f>
        <v>1490597.2311919618</v>
      </c>
      <c r="C1049" s="37">
        <f t="shared" si="208"/>
        <v>87.167693360711837</v>
      </c>
      <c r="D1049" s="37">
        <f>IFERROR(VLOOKUP(A1049,Data!$I$3:$J$1442,2),0)</f>
        <v>7.9119225000000001E-2</v>
      </c>
      <c r="E1049" s="37">
        <f t="shared" si="209"/>
        <v>7.8919224999999996E-2</v>
      </c>
      <c r="F1049" s="37">
        <f t="shared" si="214"/>
        <v>1.0289598873419515E-3</v>
      </c>
      <c r="G1049" s="30">
        <f t="shared" si="215"/>
        <v>1533.7647590795059</v>
      </c>
      <c r="H1049" s="38">
        <f t="shared" si="210"/>
        <v>182</v>
      </c>
      <c r="I1049" s="39">
        <f t="shared" si="211"/>
        <v>182.79260780287476</v>
      </c>
      <c r="J1049" s="40">
        <f t="shared" si="212"/>
        <v>87</v>
      </c>
      <c r="K1049" s="43">
        <f>VLOOKUP(J1049,Data!$Z$3:$AA$122,2)</f>
        <v>0</v>
      </c>
      <c r="L1049" s="41">
        <f t="shared" si="213"/>
        <v>0.79260780287475541</v>
      </c>
      <c r="M1049" s="43">
        <f>VLOOKUP(H1049,Data!$P$3:$X$122,9)</f>
        <v>0</v>
      </c>
      <c r="N1049" s="43">
        <f t="shared" si="216"/>
        <v>0</v>
      </c>
      <c r="O1049" s="43">
        <f t="shared" si="217"/>
        <v>0</v>
      </c>
      <c r="P1049" s="30">
        <f t="shared" si="218"/>
        <v>0</v>
      </c>
      <c r="Q1049" s="31">
        <f t="shared" si="220"/>
        <v>848340.75061972369</v>
      </c>
    </row>
    <row r="1050" spans="1:17" x14ac:dyDescent="0.25">
      <c r="A1050" s="6">
        <f t="shared" si="219"/>
        <v>75149</v>
      </c>
      <c r="B1050" s="30">
        <f>IFERROR(VLOOKUP(A1050, Data!$L$3:$N$123, 3),1)*Pension</f>
        <v>1490597.2311919618</v>
      </c>
      <c r="C1050" s="37">
        <f t="shared" si="208"/>
        <v>87.249828884325808</v>
      </c>
      <c r="D1050" s="37">
        <f>IFERROR(VLOOKUP(A1050,Data!$I$3:$J$1442,2),0)</f>
        <v>7.9110639999999996E-2</v>
      </c>
      <c r="E1050" s="37">
        <f t="shared" si="209"/>
        <v>7.891063999999999E-2</v>
      </c>
      <c r="F1050" s="37">
        <f t="shared" si="214"/>
        <v>1.0230777047727836E-3</v>
      </c>
      <c r="G1050" s="30">
        <f t="shared" si="215"/>
        <v>1524.9967940285385</v>
      </c>
      <c r="H1050" s="38">
        <f t="shared" si="210"/>
        <v>182</v>
      </c>
      <c r="I1050" s="39">
        <f t="shared" si="211"/>
        <v>182.8747433264887</v>
      </c>
      <c r="J1050" s="40">
        <f t="shared" si="212"/>
        <v>87</v>
      </c>
      <c r="K1050" s="43">
        <f>VLOOKUP(J1050,Data!$Z$3:$AA$122,2)</f>
        <v>0</v>
      </c>
      <c r="L1050" s="41">
        <f t="shared" si="213"/>
        <v>0.8747433264886979</v>
      </c>
      <c r="M1050" s="43">
        <f>VLOOKUP(H1050,Data!$P$3:$X$122,9)</f>
        <v>0</v>
      </c>
      <c r="N1050" s="43">
        <f t="shared" si="216"/>
        <v>0</v>
      </c>
      <c r="O1050" s="43">
        <f t="shared" si="217"/>
        <v>0</v>
      </c>
      <c r="P1050" s="30">
        <f t="shared" si="218"/>
        <v>0</v>
      </c>
      <c r="Q1050" s="31">
        <f t="shared" si="220"/>
        <v>848340.75061972369</v>
      </c>
    </row>
    <row r="1051" spans="1:17" x14ac:dyDescent="0.25">
      <c r="A1051" s="6">
        <f t="shared" si="219"/>
        <v>75180</v>
      </c>
      <c r="B1051" s="30">
        <f>IFERROR(VLOOKUP(A1051, Data!$L$3:$N$123, 3),1)*Pension</f>
        <v>1490597.2311919618</v>
      </c>
      <c r="C1051" s="37">
        <f t="shared" si="208"/>
        <v>87.334702258726892</v>
      </c>
      <c r="D1051" s="37">
        <f>IFERROR(VLOOKUP(A1051,Data!$I$3:$J$1442,2),0)</f>
        <v>7.9101785999999993E-2</v>
      </c>
      <c r="E1051" s="37">
        <f t="shared" si="209"/>
        <v>7.8901785999999988E-2</v>
      </c>
      <c r="F1051" s="37">
        <f t="shared" si="214"/>
        <v>1.0170347554744983E-3</v>
      </c>
      <c r="G1051" s="30">
        <f t="shared" si="215"/>
        <v>1515.9891905362811</v>
      </c>
      <c r="H1051" s="38">
        <f t="shared" si="210"/>
        <v>182</v>
      </c>
      <c r="I1051" s="39">
        <f t="shared" si="211"/>
        <v>182.9596167008898</v>
      </c>
      <c r="J1051" s="40">
        <f t="shared" si="212"/>
        <v>87</v>
      </c>
      <c r="K1051" s="43">
        <f>VLOOKUP(J1051,Data!$Z$3:$AA$122,2)</f>
        <v>0</v>
      </c>
      <c r="L1051" s="41">
        <f t="shared" si="213"/>
        <v>0.95961670088979645</v>
      </c>
      <c r="M1051" s="43">
        <f>VLOOKUP(H1051,Data!$P$3:$X$122,9)</f>
        <v>0</v>
      </c>
      <c r="N1051" s="43">
        <f t="shared" si="216"/>
        <v>0</v>
      </c>
      <c r="O1051" s="43">
        <f t="shared" si="217"/>
        <v>0</v>
      </c>
      <c r="P1051" s="30">
        <f t="shared" si="218"/>
        <v>0</v>
      </c>
      <c r="Q1051" s="31">
        <f t="shared" si="220"/>
        <v>848340.75061972369</v>
      </c>
    </row>
    <row r="1052" spans="1:17" x14ac:dyDescent="0.25">
      <c r="A1052" s="6">
        <f t="shared" si="219"/>
        <v>75210</v>
      </c>
      <c r="B1052" s="30">
        <f>IFERROR(VLOOKUP(A1052, Data!$L$3:$N$123, 3),1)*Pension</f>
        <v>1490597.2311919618</v>
      </c>
      <c r="C1052" s="37">
        <f t="shared" si="208"/>
        <v>87.416837782340863</v>
      </c>
      <c r="D1052" s="37">
        <f>IFERROR(VLOOKUP(A1052,Data!$I$3:$J$1442,2),0)</f>
        <v>7.9093234999999998E-2</v>
      </c>
      <c r="E1052" s="37">
        <f t="shared" si="209"/>
        <v>7.8893234999999992E-2</v>
      </c>
      <c r="F1052" s="37">
        <f t="shared" si="214"/>
        <v>1.011220637237841E-3</v>
      </c>
      <c r="G1052" s="30">
        <f t="shared" si="215"/>
        <v>1507.3226819908971</v>
      </c>
      <c r="H1052" s="38">
        <f t="shared" si="210"/>
        <v>183</v>
      </c>
      <c r="I1052" s="39">
        <f t="shared" si="211"/>
        <v>183.04175222450377</v>
      </c>
      <c r="J1052" s="40">
        <f t="shared" si="212"/>
        <v>88</v>
      </c>
      <c r="K1052" s="43">
        <f>VLOOKUP(J1052,Data!$Z$3:$AA$122,2)</f>
        <v>0</v>
      </c>
      <c r="L1052" s="41">
        <f t="shared" si="213"/>
        <v>4.1752224503767366E-2</v>
      </c>
      <c r="M1052" s="43">
        <f>VLOOKUP(H1052,Data!$P$3:$X$122,9)</f>
        <v>0</v>
      </c>
      <c r="N1052" s="43">
        <f t="shared" si="216"/>
        <v>0</v>
      </c>
      <c r="O1052" s="43">
        <f t="shared" si="217"/>
        <v>0</v>
      </c>
      <c r="P1052" s="30">
        <f t="shared" si="218"/>
        <v>0</v>
      </c>
      <c r="Q1052" s="31">
        <f t="shared" si="220"/>
        <v>848340.75061972369</v>
      </c>
    </row>
    <row r="1053" spans="1:17" x14ac:dyDescent="0.25">
      <c r="A1053" s="6">
        <f t="shared" si="219"/>
        <v>75241</v>
      </c>
      <c r="B1053" s="30">
        <f>IFERROR(VLOOKUP(A1053, Data!$L$3:$N$123, 3),1)*Pension</f>
        <v>1565127.0927515596</v>
      </c>
      <c r="C1053" s="37">
        <f t="shared" si="208"/>
        <v>87.501711156741962</v>
      </c>
      <c r="D1053" s="37">
        <f>IFERROR(VLOOKUP(A1053,Data!$I$3:$J$1442,2),0)</f>
        <v>7.9084415000000005E-2</v>
      </c>
      <c r="E1053" s="37">
        <f t="shared" si="209"/>
        <v>7.8884414999999999E-2</v>
      </c>
      <c r="F1053" s="37">
        <f t="shared" si="214"/>
        <v>1.0052477041004135E-3</v>
      </c>
      <c r="G1053" s="30">
        <f t="shared" si="215"/>
        <v>1573.3404166138603</v>
      </c>
      <c r="H1053" s="38">
        <f t="shared" si="210"/>
        <v>183</v>
      </c>
      <c r="I1053" s="39">
        <f t="shared" si="211"/>
        <v>183.12662559890487</v>
      </c>
      <c r="J1053" s="40">
        <f t="shared" si="212"/>
        <v>88</v>
      </c>
      <c r="K1053" s="43">
        <f>VLOOKUP(J1053,Data!$Z$3:$AA$122,2)</f>
        <v>0</v>
      </c>
      <c r="L1053" s="41">
        <f t="shared" si="213"/>
        <v>0.12662559890486591</v>
      </c>
      <c r="M1053" s="43">
        <f>VLOOKUP(H1053,Data!$P$3:$X$122,9)</f>
        <v>0</v>
      </c>
      <c r="N1053" s="43">
        <f t="shared" si="216"/>
        <v>0</v>
      </c>
      <c r="O1053" s="43">
        <f t="shared" si="217"/>
        <v>0</v>
      </c>
      <c r="P1053" s="30">
        <f t="shared" si="218"/>
        <v>0</v>
      </c>
      <c r="Q1053" s="31">
        <f t="shared" si="220"/>
        <v>848340.75061972369</v>
      </c>
    </row>
    <row r="1054" spans="1:17" x14ac:dyDescent="0.25">
      <c r="A1054" s="6">
        <f t="shared" si="219"/>
        <v>75272</v>
      </c>
      <c r="B1054" s="30">
        <f>IFERROR(VLOOKUP(A1054, Data!$L$3:$N$123, 3),1)*Pension</f>
        <v>1565127.0927515596</v>
      </c>
      <c r="C1054" s="37">
        <f t="shared" si="208"/>
        <v>87.586584531143046</v>
      </c>
      <c r="D1054" s="37">
        <f>IFERROR(VLOOKUP(A1054,Data!$I$3:$J$1442,2),0)</f>
        <v>7.9075612000000003E-2</v>
      </c>
      <c r="E1054" s="37">
        <f t="shared" si="209"/>
        <v>7.8875611999999998E-2</v>
      </c>
      <c r="F1054" s="37">
        <f t="shared" si="214"/>
        <v>9.9931005921716979E-4</v>
      </c>
      <c r="G1054" s="30">
        <f t="shared" si="215"/>
        <v>1564.0472477399578</v>
      </c>
      <c r="H1054" s="38">
        <f t="shared" si="210"/>
        <v>183</v>
      </c>
      <c r="I1054" s="39">
        <f t="shared" si="211"/>
        <v>183.21149897330596</v>
      </c>
      <c r="J1054" s="40">
        <f t="shared" si="212"/>
        <v>88</v>
      </c>
      <c r="K1054" s="43">
        <f>VLOOKUP(J1054,Data!$Z$3:$AA$122,2)</f>
        <v>0</v>
      </c>
      <c r="L1054" s="41">
        <f t="shared" si="213"/>
        <v>0.21149897330596445</v>
      </c>
      <c r="M1054" s="43">
        <f>VLOOKUP(H1054,Data!$P$3:$X$122,9)</f>
        <v>0</v>
      </c>
      <c r="N1054" s="43">
        <f t="shared" si="216"/>
        <v>0</v>
      </c>
      <c r="O1054" s="43">
        <f t="shared" si="217"/>
        <v>0</v>
      </c>
      <c r="P1054" s="30">
        <f t="shared" si="218"/>
        <v>0</v>
      </c>
      <c r="Q1054" s="31">
        <f t="shared" si="220"/>
        <v>848340.75061972369</v>
      </c>
    </row>
    <row r="1055" spans="1:17" x14ac:dyDescent="0.25">
      <c r="A1055" s="6">
        <f t="shared" si="219"/>
        <v>75300</v>
      </c>
      <c r="B1055" s="30">
        <f>IFERROR(VLOOKUP(A1055, Data!$L$3:$N$123, 3),1)*Pension</f>
        <v>1565127.0927515596</v>
      </c>
      <c r="C1055" s="37">
        <f t="shared" si="208"/>
        <v>87.663244353182748</v>
      </c>
      <c r="D1055" s="37">
        <f>IFERROR(VLOOKUP(A1055,Data!$I$3:$J$1442,2),0)</f>
        <v>7.9067676000000003E-2</v>
      </c>
      <c r="E1055" s="37">
        <f t="shared" si="209"/>
        <v>7.8867675999999998E-2</v>
      </c>
      <c r="F1055" s="37">
        <f t="shared" si="214"/>
        <v>9.9397713682368525E-4</v>
      </c>
      <c r="G1055" s="30">
        <f t="shared" si="215"/>
        <v>1555.7005464183737</v>
      </c>
      <c r="H1055" s="38">
        <f t="shared" si="210"/>
        <v>183</v>
      </c>
      <c r="I1055" s="39">
        <f t="shared" si="211"/>
        <v>183.28815879534565</v>
      </c>
      <c r="J1055" s="40">
        <f t="shared" si="212"/>
        <v>88</v>
      </c>
      <c r="K1055" s="43">
        <f>VLOOKUP(J1055,Data!$Z$3:$AA$122,2)</f>
        <v>0</v>
      </c>
      <c r="L1055" s="41">
        <f t="shared" si="213"/>
        <v>0.2881587953456517</v>
      </c>
      <c r="M1055" s="43">
        <f>VLOOKUP(H1055,Data!$P$3:$X$122,9)</f>
        <v>0</v>
      </c>
      <c r="N1055" s="43">
        <f t="shared" si="216"/>
        <v>0</v>
      </c>
      <c r="O1055" s="43">
        <f t="shared" si="217"/>
        <v>0</v>
      </c>
      <c r="P1055" s="30">
        <f t="shared" si="218"/>
        <v>0</v>
      </c>
      <c r="Q1055" s="31">
        <f t="shared" si="220"/>
        <v>848340.75061972369</v>
      </c>
    </row>
    <row r="1056" spans="1:17" x14ac:dyDescent="0.25">
      <c r="A1056" s="6">
        <f t="shared" si="219"/>
        <v>75331</v>
      </c>
      <c r="B1056" s="30">
        <f>IFERROR(VLOOKUP(A1056, Data!$L$3:$N$123, 3),1)*Pension</f>
        <v>1565127.0927515596</v>
      </c>
      <c r="C1056" s="37">
        <f t="shared" si="208"/>
        <v>87.748117727583846</v>
      </c>
      <c r="D1056" s="37">
        <f>IFERROR(VLOOKUP(A1056,Data!$I$3:$J$1442,2),0)</f>
        <v>7.9058905999999998E-2</v>
      </c>
      <c r="E1056" s="37">
        <f t="shared" si="209"/>
        <v>7.8858905999999993E-2</v>
      </c>
      <c r="F1056" s="37">
        <f t="shared" si="214"/>
        <v>9.8810601083501007E-4</v>
      </c>
      <c r="G1056" s="30">
        <f t="shared" si="215"/>
        <v>1546.5114880685403</v>
      </c>
      <c r="H1056" s="38">
        <f t="shared" si="210"/>
        <v>183</v>
      </c>
      <c r="I1056" s="39">
        <f t="shared" si="211"/>
        <v>183.37303216974675</v>
      </c>
      <c r="J1056" s="40">
        <f t="shared" si="212"/>
        <v>88</v>
      </c>
      <c r="K1056" s="43">
        <f>VLOOKUP(J1056,Data!$Z$3:$AA$122,2)</f>
        <v>0</v>
      </c>
      <c r="L1056" s="41">
        <f t="shared" si="213"/>
        <v>0.37303216974675024</v>
      </c>
      <c r="M1056" s="43">
        <f>VLOOKUP(H1056,Data!$P$3:$X$122,9)</f>
        <v>0</v>
      </c>
      <c r="N1056" s="43">
        <f t="shared" si="216"/>
        <v>0</v>
      </c>
      <c r="O1056" s="43">
        <f t="shared" si="217"/>
        <v>0</v>
      </c>
      <c r="P1056" s="30">
        <f t="shared" si="218"/>
        <v>0</v>
      </c>
      <c r="Q1056" s="31">
        <f t="shared" si="220"/>
        <v>848340.75061972369</v>
      </c>
    </row>
    <row r="1057" spans="1:17" x14ac:dyDescent="0.25">
      <c r="A1057" s="6">
        <f t="shared" si="219"/>
        <v>75361</v>
      </c>
      <c r="B1057" s="30">
        <f>IFERROR(VLOOKUP(A1057, Data!$L$3:$N$123, 3),1)*Pension</f>
        <v>1565127.0927515596</v>
      </c>
      <c r="C1057" s="37">
        <f t="shared" si="208"/>
        <v>87.830253251197803</v>
      </c>
      <c r="D1057" s="37">
        <f>IFERROR(VLOOKUP(A1057,Data!$I$3:$J$1442,2),0)</f>
        <v>7.9050434000000003E-2</v>
      </c>
      <c r="E1057" s="37">
        <f t="shared" si="209"/>
        <v>7.8850433999999997E-2</v>
      </c>
      <c r="F1057" s="37">
        <f t="shared" si="214"/>
        <v>9.8245738698503836E-4</v>
      </c>
      <c r="G1057" s="30">
        <f t="shared" si="215"/>
        <v>1537.6706738441869</v>
      </c>
      <c r="H1057" s="38">
        <f t="shared" si="210"/>
        <v>183</v>
      </c>
      <c r="I1057" s="39">
        <f t="shared" si="211"/>
        <v>183.45516769336072</v>
      </c>
      <c r="J1057" s="40">
        <f t="shared" si="212"/>
        <v>88</v>
      </c>
      <c r="K1057" s="43">
        <f>VLOOKUP(J1057,Data!$Z$3:$AA$122,2)</f>
        <v>0</v>
      </c>
      <c r="L1057" s="41">
        <f t="shared" si="213"/>
        <v>0.45516769336072116</v>
      </c>
      <c r="M1057" s="43">
        <f>VLOOKUP(H1057,Data!$P$3:$X$122,9)</f>
        <v>0</v>
      </c>
      <c r="N1057" s="43">
        <f t="shared" si="216"/>
        <v>0</v>
      </c>
      <c r="O1057" s="43">
        <f t="shared" si="217"/>
        <v>0</v>
      </c>
      <c r="P1057" s="30">
        <f t="shared" si="218"/>
        <v>0</v>
      </c>
      <c r="Q1057" s="31">
        <f t="shared" si="220"/>
        <v>848340.75061972369</v>
      </c>
    </row>
    <row r="1058" spans="1:17" x14ac:dyDescent="0.25">
      <c r="A1058" s="6">
        <f t="shared" si="219"/>
        <v>75392</v>
      </c>
      <c r="B1058" s="30">
        <f>IFERROR(VLOOKUP(A1058, Data!$L$3:$N$123, 3),1)*Pension</f>
        <v>1565127.0927515596</v>
      </c>
      <c r="C1058" s="37">
        <f t="shared" si="208"/>
        <v>87.915126625598901</v>
      </c>
      <c r="D1058" s="37">
        <f>IFERROR(VLOOKUP(A1058,Data!$I$3:$J$1442,2),0)</f>
        <v>7.9041696999999994E-2</v>
      </c>
      <c r="E1058" s="37">
        <f t="shared" si="209"/>
        <v>7.8841696999999988E-2</v>
      </c>
      <c r="F1058" s="37">
        <f t="shared" si="214"/>
        <v>9.7665433094565996E-4</v>
      </c>
      <c r="G1058" s="30">
        <f t="shared" si="215"/>
        <v>1528.5881536162003</v>
      </c>
      <c r="H1058" s="38">
        <f t="shared" si="210"/>
        <v>183</v>
      </c>
      <c r="I1058" s="39">
        <f t="shared" si="211"/>
        <v>183.54004106776182</v>
      </c>
      <c r="J1058" s="40">
        <f t="shared" si="212"/>
        <v>88</v>
      </c>
      <c r="K1058" s="43">
        <f>VLOOKUP(J1058,Data!$Z$3:$AA$122,2)</f>
        <v>0</v>
      </c>
      <c r="L1058" s="41">
        <f t="shared" si="213"/>
        <v>0.5400410677618197</v>
      </c>
      <c r="M1058" s="43">
        <f>VLOOKUP(H1058,Data!$P$3:$X$122,9)</f>
        <v>0</v>
      </c>
      <c r="N1058" s="43">
        <f t="shared" si="216"/>
        <v>0</v>
      </c>
      <c r="O1058" s="43">
        <f t="shared" si="217"/>
        <v>0</v>
      </c>
      <c r="P1058" s="30">
        <f t="shared" si="218"/>
        <v>0</v>
      </c>
      <c r="Q1058" s="31">
        <f t="shared" si="220"/>
        <v>848340.75061972369</v>
      </c>
    </row>
    <row r="1059" spans="1:17" x14ac:dyDescent="0.25">
      <c r="A1059" s="6">
        <f t="shared" si="219"/>
        <v>75422</v>
      </c>
      <c r="B1059" s="30">
        <f>IFERROR(VLOOKUP(A1059, Data!$L$3:$N$123, 3),1)*Pension</f>
        <v>1565127.0927515596</v>
      </c>
      <c r="C1059" s="37">
        <f t="shared" si="208"/>
        <v>87.997262149212872</v>
      </c>
      <c r="D1059" s="37">
        <f>IFERROR(VLOOKUP(A1059,Data!$I$3:$J$1442,2),0)</f>
        <v>7.9033257999999995E-2</v>
      </c>
      <c r="E1059" s="37">
        <f t="shared" si="209"/>
        <v>7.8833257999999989E-2</v>
      </c>
      <c r="F1059" s="37">
        <f t="shared" si="214"/>
        <v>9.7107109861154113E-4</v>
      </c>
      <c r="G1059" s="30">
        <f t="shared" si="215"/>
        <v>1519.8496854249445</v>
      </c>
      <c r="H1059" s="38">
        <f t="shared" si="210"/>
        <v>183</v>
      </c>
      <c r="I1059" s="39">
        <f t="shared" si="211"/>
        <v>183.62217659137576</v>
      </c>
      <c r="J1059" s="40">
        <f t="shared" si="212"/>
        <v>88</v>
      </c>
      <c r="K1059" s="43">
        <f>VLOOKUP(J1059,Data!$Z$3:$AA$122,2)</f>
        <v>0</v>
      </c>
      <c r="L1059" s="41">
        <f t="shared" si="213"/>
        <v>0.6221765913757622</v>
      </c>
      <c r="M1059" s="43">
        <f>VLOOKUP(H1059,Data!$P$3:$X$122,9)</f>
        <v>0</v>
      </c>
      <c r="N1059" s="43">
        <f t="shared" si="216"/>
        <v>0</v>
      </c>
      <c r="O1059" s="43">
        <f t="shared" si="217"/>
        <v>0</v>
      </c>
      <c r="P1059" s="30">
        <f t="shared" si="218"/>
        <v>0</v>
      </c>
      <c r="Q1059" s="31">
        <f t="shared" si="220"/>
        <v>848340.75061972369</v>
      </c>
    </row>
    <row r="1060" spans="1:17" x14ac:dyDescent="0.25">
      <c r="A1060" s="6">
        <f t="shared" si="219"/>
        <v>75453</v>
      </c>
      <c r="B1060" s="30">
        <f>IFERROR(VLOOKUP(A1060, Data!$L$3:$N$123, 3),1)*Pension</f>
        <v>1565127.0927515596</v>
      </c>
      <c r="C1060" s="37">
        <f t="shared" si="208"/>
        <v>88.082135523613957</v>
      </c>
      <c r="D1060" s="37">
        <f>IFERROR(VLOOKUP(A1060,Data!$I$3:$J$1442,2),0)</f>
        <v>7.9024553999999997E-2</v>
      </c>
      <c r="E1060" s="37">
        <f t="shared" si="209"/>
        <v>7.8824553999999991E-2</v>
      </c>
      <c r="F1060" s="37">
        <f t="shared" si="214"/>
        <v>9.6533530754854447E-4</v>
      </c>
      <c r="G1060" s="30">
        <f t="shared" si="215"/>
        <v>1510.872443433886</v>
      </c>
      <c r="H1060" s="38">
        <f t="shared" si="210"/>
        <v>183</v>
      </c>
      <c r="I1060" s="39">
        <f t="shared" si="211"/>
        <v>183.70704996577686</v>
      </c>
      <c r="J1060" s="40">
        <f t="shared" si="212"/>
        <v>88</v>
      </c>
      <c r="K1060" s="43">
        <f>VLOOKUP(J1060,Data!$Z$3:$AA$122,2)</f>
        <v>0</v>
      </c>
      <c r="L1060" s="41">
        <f t="shared" si="213"/>
        <v>0.70704996577686074</v>
      </c>
      <c r="M1060" s="43">
        <f>VLOOKUP(H1060,Data!$P$3:$X$122,9)</f>
        <v>0</v>
      </c>
      <c r="N1060" s="43">
        <f t="shared" si="216"/>
        <v>0</v>
      </c>
      <c r="O1060" s="43">
        <f t="shared" si="217"/>
        <v>0</v>
      </c>
      <c r="P1060" s="30">
        <f t="shared" si="218"/>
        <v>0</v>
      </c>
      <c r="Q1060" s="31">
        <f t="shared" si="220"/>
        <v>848340.75061972369</v>
      </c>
    </row>
    <row r="1061" spans="1:17" x14ac:dyDescent="0.25">
      <c r="A1061" s="6">
        <f t="shared" si="219"/>
        <v>75484</v>
      </c>
      <c r="B1061" s="30">
        <f>IFERROR(VLOOKUP(A1061, Data!$L$3:$N$123, 3),1)*Pension</f>
        <v>1565127.0927515596</v>
      </c>
      <c r="C1061" s="37">
        <f t="shared" si="208"/>
        <v>88.167008898015055</v>
      </c>
      <c r="D1061" s="37">
        <f>IFERROR(VLOOKUP(A1061,Data!$I$3:$J$1442,2),0)</f>
        <v>7.9015867000000004E-2</v>
      </c>
      <c r="E1061" s="37">
        <f t="shared" si="209"/>
        <v>7.8815866999999998E-2</v>
      </c>
      <c r="F1061" s="37">
        <f t="shared" si="214"/>
        <v>9.5963337537719622E-4</v>
      </c>
      <c r="G1061" s="30">
        <f t="shared" si="215"/>
        <v>1501.9481949114772</v>
      </c>
      <c r="H1061" s="38">
        <f t="shared" si="210"/>
        <v>183</v>
      </c>
      <c r="I1061" s="39">
        <f t="shared" si="211"/>
        <v>183.79192334017796</v>
      </c>
      <c r="J1061" s="40">
        <f t="shared" si="212"/>
        <v>88</v>
      </c>
      <c r="K1061" s="43">
        <f>VLOOKUP(J1061,Data!$Z$3:$AA$122,2)</f>
        <v>0</v>
      </c>
      <c r="L1061" s="41">
        <f t="shared" si="213"/>
        <v>0.79192334017795929</v>
      </c>
      <c r="M1061" s="43">
        <f>VLOOKUP(H1061,Data!$P$3:$X$122,9)</f>
        <v>0</v>
      </c>
      <c r="N1061" s="43">
        <f t="shared" si="216"/>
        <v>0</v>
      </c>
      <c r="O1061" s="43">
        <f t="shared" si="217"/>
        <v>0</v>
      </c>
      <c r="P1061" s="30">
        <f t="shared" si="218"/>
        <v>0</v>
      </c>
      <c r="Q1061" s="31">
        <f t="shared" si="220"/>
        <v>848340.75061972369</v>
      </c>
    </row>
    <row r="1062" spans="1:17" x14ac:dyDescent="0.25">
      <c r="A1062" s="6">
        <f t="shared" si="219"/>
        <v>75514</v>
      </c>
      <c r="B1062" s="30">
        <f>IFERROR(VLOOKUP(A1062, Data!$L$3:$N$123, 3),1)*Pension</f>
        <v>1565127.0927515596</v>
      </c>
      <c r="C1062" s="37">
        <f t="shared" si="208"/>
        <v>88.249144421629026</v>
      </c>
      <c r="D1062" s="37">
        <f>IFERROR(VLOOKUP(A1062,Data!$I$3:$J$1442,2),0)</f>
        <v>7.9007475999999993E-2</v>
      </c>
      <c r="E1062" s="37">
        <f t="shared" si="209"/>
        <v>7.8807475999999987E-2</v>
      </c>
      <c r="F1062" s="37">
        <f t="shared" si="214"/>
        <v>9.5414745733035688E-4</v>
      </c>
      <c r="G1062" s="30">
        <f t="shared" si="215"/>
        <v>1493.3620359477543</v>
      </c>
      <c r="H1062" s="38">
        <f t="shared" si="210"/>
        <v>183</v>
      </c>
      <c r="I1062" s="39">
        <f t="shared" si="211"/>
        <v>183.87405886379193</v>
      </c>
      <c r="J1062" s="40">
        <f t="shared" si="212"/>
        <v>88</v>
      </c>
      <c r="K1062" s="43">
        <f>VLOOKUP(J1062,Data!$Z$3:$AA$122,2)</f>
        <v>0</v>
      </c>
      <c r="L1062" s="41">
        <f t="shared" si="213"/>
        <v>0.87405886379193021</v>
      </c>
      <c r="M1062" s="43">
        <f>VLOOKUP(H1062,Data!$P$3:$X$122,9)</f>
        <v>0</v>
      </c>
      <c r="N1062" s="43">
        <f t="shared" si="216"/>
        <v>0</v>
      </c>
      <c r="O1062" s="43">
        <f t="shared" si="217"/>
        <v>0</v>
      </c>
      <c r="P1062" s="30">
        <f t="shared" si="218"/>
        <v>0</v>
      </c>
      <c r="Q1062" s="31">
        <f t="shared" si="220"/>
        <v>848340.75061972369</v>
      </c>
    </row>
    <row r="1063" spans="1:17" x14ac:dyDescent="0.25">
      <c r="A1063" s="6">
        <f t="shared" si="219"/>
        <v>75545</v>
      </c>
      <c r="B1063" s="30">
        <f>IFERROR(VLOOKUP(A1063, Data!$L$3:$N$123, 3),1)*Pension</f>
        <v>1565127.0927515596</v>
      </c>
      <c r="C1063" s="37">
        <f t="shared" si="208"/>
        <v>88.334017796030111</v>
      </c>
      <c r="D1063" s="37">
        <f>IFERROR(VLOOKUP(A1063,Data!$I$3:$J$1442,2),0)</f>
        <v>7.8998821999999996E-2</v>
      </c>
      <c r="E1063" s="37">
        <f t="shared" si="209"/>
        <v>7.8798821999999991E-2</v>
      </c>
      <c r="F1063" s="37">
        <f t="shared" si="214"/>
        <v>9.4851159428350758E-4</v>
      </c>
      <c r="G1063" s="30">
        <f t="shared" si="215"/>
        <v>1484.5411940020931</v>
      </c>
      <c r="H1063" s="38">
        <f t="shared" si="210"/>
        <v>183</v>
      </c>
      <c r="I1063" s="39">
        <f t="shared" si="211"/>
        <v>183.95893223819303</v>
      </c>
      <c r="J1063" s="40">
        <f t="shared" si="212"/>
        <v>88</v>
      </c>
      <c r="K1063" s="43">
        <f>VLOOKUP(J1063,Data!$Z$3:$AA$122,2)</f>
        <v>0</v>
      </c>
      <c r="L1063" s="41">
        <f t="shared" si="213"/>
        <v>0.95893223819302875</v>
      </c>
      <c r="M1063" s="43">
        <f>VLOOKUP(H1063,Data!$P$3:$X$122,9)</f>
        <v>0</v>
      </c>
      <c r="N1063" s="43">
        <f t="shared" si="216"/>
        <v>0</v>
      </c>
      <c r="O1063" s="43">
        <f t="shared" si="217"/>
        <v>0</v>
      </c>
      <c r="P1063" s="30">
        <f t="shared" si="218"/>
        <v>0</v>
      </c>
      <c r="Q1063" s="31">
        <f t="shared" si="220"/>
        <v>848340.75061972369</v>
      </c>
    </row>
    <row r="1064" spans="1:17" x14ac:dyDescent="0.25">
      <c r="A1064" s="6">
        <f t="shared" si="219"/>
        <v>75575</v>
      </c>
      <c r="B1064" s="30">
        <f>IFERROR(VLOOKUP(A1064, Data!$L$3:$N$123, 3),1)*Pension</f>
        <v>1565127.0927515596</v>
      </c>
      <c r="C1064" s="37">
        <f t="shared" si="208"/>
        <v>88.416153319644081</v>
      </c>
      <c r="D1064" s="37">
        <f>IFERROR(VLOOKUP(A1064,Data!$I$3:$J$1442,2),0)</f>
        <v>7.8990462999999997E-2</v>
      </c>
      <c r="E1064" s="37">
        <f t="shared" si="209"/>
        <v>7.8790462999999991E-2</v>
      </c>
      <c r="F1064" s="37">
        <f t="shared" si="214"/>
        <v>9.4308922955836161E-4</v>
      </c>
      <c r="G1064" s="30">
        <f t="shared" si="215"/>
        <v>1476.0545040639868</v>
      </c>
      <c r="H1064" s="38">
        <f t="shared" si="210"/>
        <v>184</v>
      </c>
      <c r="I1064" s="39">
        <f t="shared" si="211"/>
        <v>184.04106776180697</v>
      </c>
      <c r="J1064" s="40">
        <f t="shared" si="212"/>
        <v>89</v>
      </c>
      <c r="K1064" s="43">
        <f>VLOOKUP(J1064,Data!$Z$3:$AA$122,2)</f>
        <v>0</v>
      </c>
      <c r="L1064" s="41">
        <f t="shared" si="213"/>
        <v>4.1067761806971248E-2</v>
      </c>
      <c r="M1064" s="43">
        <f>VLOOKUP(H1064,Data!$P$3:$X$122,9)</f>
        <v>0</v>
      </c>
      <c r="N1064" s="43">
        <f t="shared" si="216"/>
        <v>0</v>
      </c>
      <c r="O1064" s="43">
        <f t="shared" si="217"/>
        <v>0</v>
      </c>
      <c r="P1064" s="30">
        <f t="shared" si="218"/>
        <v>0</v>
      </c>
      <c r="Q1064" s="31">
        <f t="shared" si="220"/>
        <v>848340.75061972369</v>
      </c>
    </row>
    <row r="1065" spans="1:17" x14ac:dyDescent="0.25">
      <c r="A1065" s="6">
        <f t="shared" si="219"/>
        <v>75606</v>
      </c>
      <c r="B1065" s="30">
        <f>IFERROR(VLOOKUP(A1065, Data!$L$3:$N$123, 3),1)*Pension</f>
        <v>1643383.4473891377</v>
      </c>
      <c r="C1065" s="37">
        <f t="shared" si="208"/>
        <v>88.50102669404518</v>
      </c>
      <c r="D1065" s="37">
        <f>IFERROR(VLOOKUP(A1065,Data!$I$3:$J$1442,2),0)</f>
        <v>7.8981840999999997E-2</v>
      </c>
      <c r="E1065" s="37">
        <f t="shared" si="209"/>
        <v>7.8781840999999991E-2</v>
      </c>
      <c r="F1065" s="37">
        <f t="shared" si="214"/>
        <v>9.3751873778664659E-4</v>
      </c>
      <c r="G1065" s="30">
        <f t="shared" si="215"/>
        <v>1540.7027752957324</v>
      </c>
      <c r="H1065" s="38">
        <f t="shared" si="210"/>
        <v>184</v>
      </c>
      <c r="I1065" s="39">
        <f t="shared" si="211"/>
        <v>184.12594113620807</v>
      </c>
      <c r="J1065" s="40">
        <f t="shared" si="212"/>
        <v>89</v>
      </c>
      <c r="K1065" s="43">
        <f>VLOOKUP(J1065,Data!$Z$3:$AA$122,2)</f>
        <v>0</v>
      </c>
      <c r="L1065" s="41">
        <f t="shared" si="213"/>
        <v>0.12594113620806979</v>
      </c>
      <c r="M1065" s="43">
        <f>VLOOKUP(H1065,Data!$P$3:$X$122,9)</f>
        <v>0</v>
      </c>
      <c r="N1065" s="43">
        <f t="shared" si="216"/>
        <v>0</v>
      </c>
      <c r="O1065" s="43">
        <f t="shared" si="217"/>
        <v>0</v>
      </c>
      <c r="P1065" s="30">
        <f t="shared" si="218"/>
        <v>0</v>
      </c>
      <c r="Q1065" s="31">
        <f t="shared" si="220"/>
        <v>848340.75061972369</v>
      </c>
    </row>
    <row r="1066" spans="1:17" x14ac:dyDescent="0.25">
      <c r="A1066" s="6">
        <f t="shared" si="219"/>
        <v>75637</v>
      </c>
      <c r="B1066" s="30">
        <f>IFERROR(VLOOKUP(A1066, Data!$L$3:$N$123, 3),1)*Pension</f>
        <v>1643383.4473891377</v>
      </c>
      <c r="C1066" s="37">
        <f t="shared" si="208"/>
        <v>88.585900068446264</v>
      </c>
      <c r="D1066" s="37">
        <f>IFERROR(VLOOKUP(A1066,Data!$I$3:$J$1442,2),0)</f>
        <v>7.8973236000000002E-2</v>
      </c>
      <c r="E1066" s="37">
        <f t="shared" si="209"/>
        <v>7.8773235999999996E-2</v>
      </c>
      <c r="F1066" s="37">
        <f t="shared" si="214"/>
        <v>9.3198110940380819E-4</v>
      </c>
      <c r="G1066" s="30">
        <f t="shared" si="215"/>
        <v>1531.6023284735834</v>
      </c>
      <c r="H1066" s="38">
        <f t="shared" si="210"/>
        <v>184</v>
      </c>
      <c r="I1066" s="39">
        <f t="shared" si="211"/>
        <v>184.21081451060917</v>
      </c>
      <c r="J1066" s="40">
        <f t="shared" si="212"/>
        <v>89</v>
      </c>
      <c r="K1066" s="43">
        <f>VLOOKUP(J1066,Data!$Z$3:$AA$122,2)</f>
        <v>0</v>
      </c>
      <c r="L1066" s="41">
        <f t="shared" si="213"/>
        <v>0.21081451060916834</v>
      </c>
      <c r="M1066" s="43">
        <f>VLOOKUP(H1066,Data!$P$3:$X$122,9)</f>
        <v>0</v>
      </c>
      <c r="N1066" s="43">
        <f t="shared" si="216"/>
        <v>0</v>
      </c>
      <c r="O1066" s="43">
        <f t="shared" si="217"/>
        <v>0</v>
      </c>
      <c r="P1066" s="30">
        <f t="shared" si="218"/>
        <v>0</v>
      </c>
      <c r="Q1066" s="31">
        <f t="shared" si="220"/>
        <v>848340.75061972369</v>
      </c>
    </row>
    <row r="1067" spans="1:17" x14ac:dyDescent="0.25">
      <c r="A1067" s="6">
        <f t="shared" si="219"/>
        <v>75665</v>
      </c>
      <c r="B1067" s="30">
        <f>IFERROR(VLOOKUP(A1067, Data!$L$3:$N$123, 3),1)*Pension</f>
        <v>1643383.4473891377</v>
      </c>
      <c r="C1067" s="37">
        <f t="shared" si="208"/>
        <v>88.662559890485966</v>
      </c>
      <c r="D1067" s="37">
        <f>IFERROR(VLOOKUP(A1067,Data!$I$3:$J$1442,2),0)</f>
        <v>7.8965478000000006E-2</v>
      </c>
      <c r="E1067" s="37">
        <f t="shared" si="209"/>
        <v>7.8765478E-2</v>
      </c>
      <c r="F1067" s="37">
        <f t="shared" si="214"/>
        <v>9.2700749197073074E-4</v>
      </c>
      <c r="G1067" s="30">
        <f t="shared" si="215"/>
        <v>1523.4287679104179</v>
      </c>
      <c r="H1067" s="38">
        <f t="shared" si="210"/>
        <v>184</v>
      </c>
      <c r="I1067" s="39">
        <f t="shared" si="211"/>
        <v>184.28747433264888</v>
      </c>
      <c r="J1067" s="40">
        <f t="shared" si="212"/>
        <v>89</v>
      </c>
      <c r="K1067" s="43">
        <f>VLOOKUP(J1067,Data!$Z$3:$AA$122,2)</f>
        <v>0</v>
      </c>
      <c r="L1067" s="41">
        <f t="shared" si="213"/>
        <v>0.287474332648884</v>
      </c>
      <c r="M1067" s="43">
        <f>VLOOKUP(H1067,Data!$P$3:$X$122,9)</f>
        <v>0</v>
      </c>
      <c r="N1067" s="43">
        <f t="shared" si="216"/>
        <v>0</v>
      </c>
      <c r="O1067" s="43">
        <f t="shared" si="217"/>
        <v>0</v>
      </c>
      <c r="P1067" s="30">
        <f t="shared" si="218"/>
        <v>0</v>
      </c>
      <c r="Q1067" s="31">
        <f t="shared" si="220"/>
        <v>848340.75061972369</v>
      </c>
    </row>
    <row r="1068" spans="1:17" x14ac:dyDescent="0.25">
      <c r="A1068" s="6">
        <f t="shared" si="219"/>
        <v>75696</v>
      </c>
      <c r="B1068" s="30">
        <f>IFERROR(VLOOKUP(A1068, Data!$L$3:$N$123, 3),1)*Pension</f>
        <v>1643383.4473891377</v>
      </c>
      <c r="C1068" s="37">
        <f t="shared" si="208"/>
        <v>88.747433264887064</v>
      </c>
      <c r="D1068" s="37">
        <f>IFERROR(VLOOKUP(A1068,Data!$I$3:$J$1442,2),0)</f>
        <v>7.8956903999999994E-2</v>
      </c>
      <c r="E1068" s="37">
        <f t="shared" si="209"/>
        <v>7.8756903999999989E-2</v>
      </c>
      <c r="F1068" s="37">
        <f t="shared" si="214"/>
        <v>9.2153197565126329E-4</v>
      </c>
      <c r="G1068" s="30">
        <f t="shared" si="215"/>
        <v>1514.430395025096</v>
      </c>
      <c r="H1068" s="38">
        <f t="shared" si="210"/>
        <v>184</v>
      </c>
      <c r="I1068" s="39">
        <f t="shared" si="211"/>
        <v>184.37234770704995</v>
      </c>
      <c r="J1068" s="40">
        <f t="shared" si="212"/>
        <v>89</v>
      </c>
      <c r="K1068" s="43">
        <f>VLOOKUP(J1068,Data!$Z$3:$AA$122,2)</f>
        <v>0</v>
      </c>
      <c r="L1068" s="41">
        <f t="shared" si="213"/>
        <v>0.37234770704995412</v>
      </c>
      <c r="M1068" s="43">
        <f>VLOOKUP(H1068,Data!$P$3:$X$122,9)</f>
        <v>0</v>
      </c>
      <c r="N1068" s="43">
        <f t="shared" si="216"/>
        <v>0</v>
      </c>
      <c r="O1068" s="43">
        <f t="shared" si="217"/>
        <v>0</v>
      </c>
      <c r="P1068" s="30">
        <f t="shared" si="218"/>
        <v>0</v>
      </c>
      <c r="Q1068" s="31">
        <f t="shared" si="220"/>
        <v>848340.75061972369</v>
      </c>
    </row>
    <row r="1069" spans="1:17" x14ac:dyDescent="0.25">
      <c r="A1069" s="6">
        <f t="shared" si="219"/>
        <v>75726</v>
      </c>
      <c r="B1069" s="30">
        <f>IFERROR(VLOOKUP(A1069, Data!$L$3:$N$123, 3),1)*Pension</f>
        <v>1643383.4473891377</v>
      </c>
      <c r="C1069" s="37">
        <f t="shared" si="208"/>
        <v>88.829568788501021</v>
      </c>
      <c r="D1069" s="37">
        <f>IFERROR(VLOOKUP(A1069,Data!$I$3:$J$1442,2),0)</f>
        <v>7.8948621999999996E-2</v>
      </c>
      <c r="E1069" s="37">
        <f t="shared" si="209"/>
        <v>7.874862199999999E-2</v>
      </c>
      <c r="F1069" s="37">
        <f t="shared" si="214"/>
        <v>9.1626389944818917E-4</v>
      </c>
      <c r="G1069" s="30">
        <f t="shared" si="215"/>
        <v>1505.7729257933793</v>
      </c>
      <c r="H1069" s="38">
        <f t="shared" si="210"/>
        <v>184</v>
      </c>
      <c r="I1069" s="39">
        <f t="shared" si="211"/>
        <v>184.45448323066393</v>
      </c>
      <c r="J1069" s="40">
        <f t="shared" si="212"/>
        <v>89</v>
      </c>
      <c r="K1069" s="43">
        <f>VLOOKUP(J1069,Data!$Z$3:$AA$122,2)</f>
        <v>0</v>
      </c>
      <c r="L1069" s="41">
        <f t="shared" si="213"/>
        <v>0.45448323066392504</v>
      </c>
      <c r="M1069" s="43">
        <f>VLOOKUP(H1069,Data!$P$3:$X$122,9)</f>
        <v>0</v>
      </c>
      <c r="N1069" s="43">
        <f t="shared" si="216"/>
        <v>0</v>
      </c>
      <c r="O1069" s="43">
        <f t="shared" si="217"/>
        <v>0</v>
      </c>
      <c r="P1069" s="30">
        <f t="shared" si="218"/>
        <v>0</v>
      </c>
      <c r="Q1069" s="31">
        <f t="shared" si="220"/>
        <v>848340.75061972369</v>
      </c>
    </row>
    <row r="1070" spans="1:17" x14ac:dyDescent="0.25">
      <c r="A1070" s="6">
        <f t="shared" si="219"/>
        <v>75757</v>
      </c>
      <c r="B1070" s="30">
        <f>IFERROR(VLOOKUP(A1070, Data!$L$3:$N$123, 3),1)*Pension</f>
        <v>1643383.4473891377</v>
      </c>
      <c r="C1070" s="37">
        <f t="shared" si="208"/>
        <v>88.91444216290212</v>
      </c>
      <c r="D1070" s="37">
        <f>IFERROR(VLOOKUP(A1070,Data!$I$3:$J$1442,2),0)</f>
        <v>7.8940079999999996E-2</v>
      </c>
      <c r="E1070" s="37">
        <f t="shared" si="209"/>
        <v>7.874007999999999E-2</v>
      </c>
      <c r="F1070" s="37">
        <f t="shared" si="214"/>
        <v>9.108518576122931E-4</v>
      </c>
      <c r="G1070" s="30">
        <f t="shared" si="215"/>
        <v>1496.8788658236901</v>
      </c>
      <c r="H1070" s="38">
        <f t="shared" si="210"/>
        <v>184</v>
      </c>
      <c r="I1070" s="39">
        <f t="shared" si="211"/>
        <v>184.53935660506502</v>
      </c>
      <c r="J1070" s="40">
        <f t="shared" si="212"/>
        <v>89</v>
      </c>
      <c r="K1070" s="43">
        <f>VLOOKUP(J1070,Data!$Z$3:$AA$122,2)</f>
        <v>0</v>
      </c>
      <c r="L1070" s="41">
        <f t="shared" si="213"/>
        <v>0.53935660506502359</v>
      </c>
      <c r="M1070" s="43">
        <f>VLOOKUP(H1070,Data!$P$3:$X$122,9)</f>
        <v>0</v>
      </c>
      <c r="N1070" s="43">
        <f t="shared" si="216"/>
        <v>0</v>
      </c>
      <c r="O1070" s="43">
        <f t="shared" si="217"/>
        <v>0</v>
      </c>
      <c r="P1070" s="30">
        <f t="shared" si="218"/>
        <v>0</v>
      </c>
      <c r="Q1070" s="31">
        <f t="shared" si="220"/>
        <v>848340.75061972369</v>
      </c>
    </row>
    <row r="1071" spans="1:17" x14ac:dyDescent="0.25">
      <c r="A1071" s="6">
        <f t="shared" si="219"/>
        <v>75787</v>
      </c>
      <c r="B1071" s="30">
        <f>IFERROR(VLOOKUP(A1071, Data!$L$3:$N$123, 3),1)*Pension</f>
        <v>1643383.4473891377</v>
      </c>
      <c r="C1071" s="37">
        <f t="shared" si="208"/>
        <v>88.99657768651609</v>
      </c>
      <c r="D1071" s="37">
        <f>IFERROR(VLOOKUP(A1071,Data!$I$3:$J$1442,2),0)</f>
        <v>7.8931829999999994E-2</v>
      </c>
      <c r="E1071" s="37">
        <f t="shared" si="209"/>
        <v>7.8731829999999989E-2</v>
      </c>
      <c r="F1071" s="37">
        <f t="shared" si="214"/>
        <v>9.0564476085596053E-4</v>
      </c>
      <c r="G1071" s="30">
        <f t="shared" si="215"/>
        <v>1488.3216092053797</v>
      </c>
      <c r="H1071" s="38">
        <f t="shared" si="210"/>
        <v>184</v>
      </c>
      <c r="I1071" s="39">
        <f t="shared" si="211"/>
        <v>184.62149212867899</v>
      </c>
      <c r="J1071" s="40">
        <f t="shared" si="212"/>
        <v>89</v>
      </c>
      <c r="K1071" s="43">
        <f>VLOOKUP(J1071,Data!$Z$3:$AA$122,2)</f>
        <v>0</v>
      </c>
      <c r="L1071" s="41">
        <f t="shared" si="213"/>
        <v>0.6214921286789945</v>
      </c>
      <c r="M1071" s="43">
        <f>VLOOKUP(H1071,Data!$P$3:$X$122,9)</f>
        <v>0</v>
      </c>
      <c r="N1071" s="43">
        <f t="shared" si="216"/>
        <v>0</v>
      </c>
      <c r="O1071" s="43">
        <f t="shared" si="217"/>
        <v>0</v>
      </c>
      <c r="P1071" s="30">
        <f t="shared" si="218"/>
        <v>0</v>
      </c>
      <c r="Q1071" s="31">
        <f t="shared" si="220"/>
        <v>848340.75061972369</v>
      </c>
    </row>
    <row r="1072" spans="1:17" x14ac:dyDescent="0.25">
      <c r="A1072" s="6">
        <f t="shared" si="219"/>
        <v>75818</v>
      </c>
      <c r="B1072" s="30">
        <f>IFERROR(VLOOKUP(A1072, Data!$L$3:$N$123, 3),1)*Pension</f>
        <v>1643383.4473891377</v>
      </c>
      <c r="C1072" s="37">
        <f t="shared" si="208"/>
        <v>89.081451060917175</v>
      </c>
      <c r="D1072" s="37">
        <f>IFERROR(VLOOKUP(A1072,Data!$I$3:$J$1442,2),0)</f>
        <v>7.8923320000000005E-2</v>
      </c>
      <c r="E1072" s="37">
        <f t="shared" si="209"/>
        <v>7.8723319999999999E-2</v>
      </c>
      <c r="F1072" s="37">
        <f t="shared" si="214"/>
        <v>9.0029544351843407E-4</v>
      </c>
      <c r="G1072" s="30">
        <f t="shared" si="215"/>
        <v>1479.5306296380568</v>
      </c>
      <c r="H1072" s="38">
        <f t="shared" si="210"/>
        <v>184</v>
      </c>
      <c r="I1072" s="39">
        <f t="shared" si="211"/>
        <v>184.70636550308009</v>
      </c>
      <c r="J1072" s="40">
        <f t="shared" si="212"/>
        <v>89</v>
      </c>
      <c r="K1072" s="43">
        <f>VLOOKUP(J1072,Data!$Z$3:$AA$122,2)</f>
        <v>0</v>
      </c>
      <c r="L1072" s="41">
        <f t="shared" si="213"/>
        <v>0.70636550308009305</v>
      </c>
      <c r="M1072" s="43">
        <f>VLOOKUP(H1072,Data!$P$3:$X$122,9)</f>
        <v>0</v>
      </c>
      <c r="N1072" s="43">
        <f t="shared" si="216"/>
        <v>0</v>
      </c>
      <c r="O1072" s="43">
        <f t="shared" si="217"/>
        <v>0</v>
      </c>
      <c r="P1072" s="30">
        <f t="shared" si="218"/>
        <v>0</v>
      </c>
      <c r="Q1072" s="31">
        <f t="shared" si="220"/>
        <v>848340.75061972369</v>
      </c>
    </row>
    <row r="1073" spans="1:17" x14ac:dyDescent="0.25">
      <c r="A1073" s="6">
        <f t="shared" si="219"/>
        <v>75849</v>
      </c>
      <c r="B1073" s="30">
        <f>IFERROR(VLOOKUP(A1073, Data!$L$3:$N$123, 3),1)*Pension</f>
        <v>1643383.4473891377</v>
      </c>
      <c r="C1073" s="37">
        <f t="shared" si="208"/>
        <v>89.166324435318273</v>
      </c>
      <c r="D1073" s="37">
        <f>IFERROR(VLOOKUP(A1073,Data!$I$3:$J$1442,2),0)</f>
        <v>7.8914827000000007E-2</v>
      </c>
      <c r="E1073" s="37">
        <f t="shared" si="209"/>
        <v>7.8714827000000001E-2</v>
      </c>
      <c r="F1073" s="37">
        <f t="shared" si="214"/>
        <v>8.9497765887487971E-4</v>
      </c>
      <c r="G1073" s="30">
        <f t="shared" si="215"/>
        <v>1470.7914703780596</v>
      </c>
      <c r="H1073" s="38">
        <f t="shared" si="210"/>
        <v>184</v>
      </c>
      <c r="I1073" s="39">
        <f t="shared" si="211"/>
        <v>184.79123887748116</v>
      </c>
      <c r="J1073" s="40">
        <f t="shared" si="212"/>
        <v>89</v>
      </c>
      <c r="K1073" s="43">
        <f>VLOOKUP(J1073,Data!$Z$3:$AA$122,2)</f>
        <v>0</v>
      </c>
      <c r="L1073" s="41">
        <f t="shared" si="213"/>
        <v>0.79123887748116317</v>
      </c>
      <c r="M1073" s="43">
        <f>VLOOKUP(H1073,Data!$P$3:$X$122,9)</f>
        <v>0</v>
      </c>
      <c r="N1073" s="43">
        <f t="shared" si="216"/>
        <v>0</v>
      </c>
      <c r="O1073" s="43">
        <f t="shared" si="217"/>
        <v>0</v>
      </c>
      <c r="P1073" s="30">
        <f t="shared" si="218"/>
        <v>0</v>
      </c>
      <c r="Q1073" s="31">
        <f t="shared" si="220"/>
        <v>848340.75061972369</v>
      </c>
    </row>
    <row r="1074" spans="1:17" x14ac:dyDescent="0.25">
      <c r="A1074" s="6">
        <f t="shared" si="219"/>
        <v>75879</v>
      </c>
      <c r="B1074" s="30">
        <f>IFERROR(VLOOKUP(A1074, Data!$L$3:$N$123, 3),1)*Pension</f>
        <v>1643383.4473891377</v>
      </c>
      <c r="C1074" s="37">
        <f t="shared" si="208"/>
        <v>89.248459958932244</v>
      </c>
      <c r="D1074" s="37">
        <f>IFERROR(VLOOKUP(A1074,Data!$I$3:$J$1442,2),0)</f>
        <v>7.8906622999999995E-2</v>
      </c>
      <c r="E1074" s="37">
        <f t="shared" si="209"/>
        <v>7.8706622999999989E-2</v>
      </c>
      <c r="F1074" s="37">
        <f t="shared" si="214"/>
        <v>8.8986135228929933E-4</v>
      </c>
      <c r="G1074" s="30">
        <f t="shared" si="215"/>
        <v>1462.3834168235487</v>
      </c>
      <c r="H1074" s="38">
        <f t="shared" si="210"/>
        <v>184</v>
      </c>
      <c r="I1074" s="39">
        <f t="shared" si="211"/>
        <v>184.87337440109513</v>
      </c>
      <c r="J1074" s="40">
        <f t="shared" si="212"/>
        <v>89</v>
      </c>
      <c r="K1074" s="43">
        <f>VLOOKUP(J1074,Data!$Z$3:$AA$122,2)</f>
        <v>0</v>
      </c>
      <c r="L1074" s="41">
        <f t="shared" si="213"/>
        <v>0.87337440109513409</v>
      </c>
      <c r="M1074" s="43">
        <f>VLOOKUP(H1074,Data!$P$3:$X$122,9)</f>
        <v>0</v>
      </c>
      <c r="N1074" s="43">
        <f t="shared" si="216"/>
        <v>0</v>
      </c>
      <c r="O1074" s="43">
        <f t="shared" si="217"/>
        <v>0</v>
      </c>
      <c r="P1074" s="30">
        <f t="shared" si="218"/>
        <v>0</v>
      </c>
      <c r="Q1074" s="31">
        <f t="shared" si="220"/>
        <v>848340.75061972369</v>
      </c>
    </row>
    <row r="1075" spans="1:17" x14ac:dyDescent="0.25">
      <c r="A1075" s="6">
        <f t="shared" si="219"/>
        <v>75910</v>
      </c>
      <c r="B1075" s="30">
        <f>IFERROR(VLOOKUP(A1075, Data!$L$3:$N$123, 3),1)*Pension</f>
        <v>1643383.4473891377</v>
      </c>
      <c r="C1075" s="37">
        <f t="shared" si="208"/>
        <v>89.333333333333329</v>
      </c>
      <c r="D1075" s="37">
        <f>IFERROR(VLOOKUP(A1075,Data!$I$3:$J$1442,2),0)</f>
        <v>7.8898160999999994E-2</v>
      </c>
      <c r="E1075" s="37">
        <f t="shared" si="209"/>
        <v>7.8698160999999989E-2</v>
      </c>
      <c r="F1075" s="37">
        <f t="shared" si="214"/>
        <v>8.8460525736743791E-4</v>
      </c>
      <c r="G1075" s="30">
        <f t="shared" si="215"/>
        <v>1453.7456374310555</v>
      </c>
      <c r="H1075" s="38">
        <f t="shared" si="210"/>
        <v>184</v>
      </c>
      <c r="I1075" s="39">
        <f t="shared" si="211"/>
        <v>184.95824777549623</v>
      </c>
      <c r="J1075" s="40">
        <f t="shared" si="212"/>
        <v>89</v>
      </c>
      <c r="K1075" s="43">
        <f>VLOOKUP(J1075,Data!$Z$3:$AA$122,2)</f>
        <v>0</v>
      </c>
      <c r="L1075" s="41">
        <f t="shared" si="213"/>
        <v>0.95824777549623263</v>
      </c>
      <c r="M1075" s="43">
        <f>VLOOKUP(H1075,Data!$P$3:$X$122,9)</f>
        <v>0</v>
      </c>
      <c r="N1075" s="43">
        <f t="shared" si="216"/>
        <v>0</v>
      </c>
      <c r="O1075" s="43">
        <f t="shared" si="217"/>
        <v>0</v>
      </c>
      <c r="P1075" s="30">
        <f t="shared" si="218"/>
        <v>0</v>
      </c>
      <c r="Q1075" s="31">
        <f t="shared" si="220"/>
        <v>848340.75061972369</v>
      </c>
    </row>
    <row r="1076" spans="1:17" x14ac:dyDescent="0.25">
      <c r="A1076" s="6">
        <f t="shared" si="219"/>
        <v>75940</v>
      </c>
      <c r="B1076" s="30">
        <f>IFERROR(VLOOKUP(A1076, Data!$L$3:$N$123, 3),1)*Pension</f>
        <v>1643383.4473891377</v>
      </c>
      <c r="C1076" s="37">
        <f t="shared" si="208"/>
        <v>89.4154688569473</v>
      </c>
      <c r="D1076" s="37">
        <f>IFERROR(VLOOKUP(A1076,Data!$I$3:$J$1442,2),0)</f>
        <v>7.8889986999999995E-2</v>
      </c>
      <c r="E1076" s="37">
        <f t="shared" si="209"/>
        <v>7.8689986999999989E-2</v>
      </c>
      <c r="F1076" s="37">
        <f t="shared" si="214"/>
        <v>8.7954829628451511E-4</v>
      </c>
      <c r="G1076" s="30">
        <f t="shared" si="215"/>
        <v>1445.4351112932891</v>
      </c>
      <c r="H1076" s="38">
        <f t="shared" si="210"/>
        <v>185</v>
      </c>
      <c r="I1076" s="39">
        <f t="shared" si="211"/>
        <v>185.0403832991102</v>
      </c>
      <c r="J1076" s="40">
        <f t="shared" si="212"/>
        <v>90</v>
      </c>
      <c r="K1076" s="43">
        <f>VLOOKUP(J1076,Data!$Z$3:$AA$122,2)</f>
        <v>0</v>
      </c>
      <c r="L1076" s="41">
        <f t="shared" si="213"/>
        <v>4.0383299110203552E-2</v>
      </c>
      <c r="M1076" s="43">
        <f>VLOOKUP(H1076,Data!$P$3:$X$122,9)</f>
        <v>0</v>
      </c>
      <c r="N1076" s="43">
        <f t="shared" si="216"/>
        <v>0</v>
      </c>
      <c r="O1076" s="43">
        <f t="shared" si="217"/>
        <v>0</v>
      </c>
      <c r="P1076" s="30">
        <f t="shared" si="218"/>
        <v>0</v>
      </c>
      <c r="Q1076" s="31">
        <f t="shared" si="220"/>
        <v>848340.75061972369</v>
      </c>
    </row>
    <row r="1077" spans="1:17" x14ac:dyDescent="0.25">
      <c r="A1077" s="6">
        <f t="shared" si="219"/>
        <v>75971</v>
      </c>
      <c r="B1077" s="30">
        <f>IFERROR(VLOOKUP(A1077, Data!$L$3:$N$123, 3),1)*Pension</f>
        <v>1725552.6197585943</v>
      </c>
      <c r="C1077" s="37">
        <f t="shared" si="208"/>
        <v>89.500342231348398</v>
      </c>
      <c r="D1077" s="37">
        <f>IFERROR(VLOOKUP(A1077,Data!$I$3:$J$1442,2),0)</f>
        <v>7.8881557000000005E-2</v>
      </c>
      <c r="E1077" s="37">
        <f t="shared" si="209"/>
        <v>7.8681556999999999E-2</v>
      </c>
      <c r="F1077" s="37">
        <f t="shared" si="214"/>
        <v>8.7435308297163165E-4</v>
      </c>
      <c r="G1077" s="30">
        <f t="shared" si="215"/>
        <v>1508.7422529157025</v>
      </c>
      <c r="H1077" s="38">
        <f t="shared" si="210"/>
        <v>185</v>
      </c>
      <c r="I1077" s="39">
        <f t="shared" si="211"/>
        <v>185.1252566735113</v>
      </c>
      <c r="J1077" s="40">
        <f t="shared" si="212"/>
        <v>90</v>
      </c>
      <c r="K1077" s="43">
        <f>VLOOKUP(J1077,Data!$Z$3:$AA$122,2)</f>
        <v>0</v>
      </c>
      <c r="L1077" s="41">
        <f t="shared" si="213"/>
        <v>0.1252566735113021</v>
      </c>
      <c r="M1077" s="43">
        <f>VLOOKUP(H1077,Data!$P$3:$X$122,9)</f>
        <v>0</v>
      </c>
      <c r="N1077" s="43">
        <f t="shared" si="216"/>
        <v>0</v>
      </c>
      <c r="O1077" s="43">
        <f t="shared" si="217"/>
        <v>0</v>
      </c>
      <c r="P1077" s="30">
        <f t="shared" si="218"/>
        <v>0</v>
      </c>
      <c r="Q1077" s="31">
        <f t="shared" si="220"/>
        <v>848340.75061972369</v>
      </c>
    </row>
    <row r="1078" spans="1:17" x14ac:dyDescent="0.25">
      <c r="A1078" s="6">
        <f t="shared" si="219"/>
        <v>76002</v>
      </c>
      <c r="B1078" s="30">
        <f>IFERROR(VLOOKUP(A1078, Data!$L$3:$N$123, 3),1)*Pension</f>
        <v>1725552.6197585943</v>
      </c>
      <c r="C1078" s="37">
        <f t="shared" si="208"/>
        <v>89.585215605749482</v>
      </c>
      <c r="D1078" s="37">
        <f>IFERROR(VLOOKUP(A1078,Data!$I$3:$J$1442,2),0)</f>
        <v>7.8873143000000007E-2</v>
      </c>
      <c r="E1078" s="37">
        <f t="shared" si="209"/>
        <v>7.8673143000000001E-2</v>
      </c>
      <c r="F1078" s="37">
        <f t="shared" si="214"/>
        <v>8.6918855405431091E-4</v>
      </c>
      <c r="G1078" s="30">
        <f t="shared" si="215"/>
        <v>1499.8305865126008</v>
      </c>
      <c r="H1078" s="38">
        <f t="shared" si="210"/>
        <v>185</v>
      </c>
      <c r="I1078" s="39">
        <f t="shared" si="211"/>
        <v>185.2101300479124</v>
      </c>
      <c r="J1078" s="40">
        <f t="shared" si="212"/>
        <v>90</v>
      </c>
      <c r="K1078" s="43">
        <f>VLOOKUP(J1078,Data!$Z$3:$AA$122,2)</f>
        <v>0</v>
      </c>
      <c r="L1078" s="41">
        <f t="shared" si="213"/>
        <v>0.21013004791240064</v>
      </c>
      <c r="M1078" s="43">
        <f>VLOOKUP(H1078,Data!$P$3:$X$122,9)</f>
        <v>0</v>
      </c>
      <c r="N1078" s="43">
        <f t="shared" si="216"/>
        <v>0</v>
      </c>
      <c r="O1078" s="43">
        <f t="shared" si="217"/>
        <v>0</v>
      </c>
      <c r="P1078" s="30">
        <f t="shared" si="218"/>
        <v>0</v>
      </c>
      <c r="Q1078" s="31">
        <f t="shared" si="220"/>
        <v>848340.75061972369</v>
      </c>
    </row>
    <row r="1079" spans="1:17" x14ac:dyDescent="0.25">
      <c r="A1079" s="6">
        <f t="shared" si="219"/>
        <v>76031</v>
      </c>
      <c r="B1079" s="30">
        <f>IFERROR(VLOOKUP(A1079, Data!$L$3:$N$123, 3),1)*Pension</f>
        <v>1725552.6197585943</v>
      </c>
      <c r="C1079" s="37">
        <f t="shared" si="208"/>
        <v>89.664613278576311</v>
      </c>
      <c r="D1079" s="37">
        <f>IFERROR(VLOOKUP(A1079,Data!$I$3:$J$1442,2),0)</f>
        <v>7.8865286000000007E-2</v>
      </c>
      <c r="E1079" s="37">
        <f t="shared" si="209"/>
        <v>7.8665286000000001E-2</v>
      </c>
      <c r="F1079" s="37">
        <f t="shared" si="214"/>
        <v>8.6438486076555459E-4</v>
      </c>
      <c r="G1079" s="30">
        <f t="shared" si="215"/>
        <v>1491.5415609736706</v>
      </c>
      <c r="H1079" s="38">
        <f t="shared" si="210"/>
        <v>185</v>
      </c>
      <c r="I1079" s="39">
        <f t="shared" si="211"/>
        <v>185.28952772073922</v>
      </c>
      <c r="J1079" s="40">
        <f t="shared" si="212"/>
        <v>90</v>
      </c>
      <c r="K1079" s="43">
        <f>VLOOKUP(J1079,Data!$Z$3:$AA$122,2)</f>
        <v>0</v>
      </c>
      <c r="L1079" s="41">
        <f t="shared" si="213"/>
        <v>0.28952772073921551</v>
      </c>
      <c r="M1079" s="43">
        <f>VLOOKUP(H1079,Data!$P$3:$X$122,9)</f>
        <v>0</v>
      </c>
      <c r="N1079" s="43">
        <f t="shared" si="216"/>
        <v>0</v>
      </c>
      <c r="O1079" s="43">
        <f t="shared" si="217"/>
        <v>0</v>
      </c>
      <c r="P1079" s="30">
        <f t="shared" si="218"/>
        <v>0</v>
      </c>
      <c r="Q1079" s="31">
        <f t="shared" si="220"/>
        <v>848340.75061972369</v>
      </c>
    </row>
    <row r="1080" spans="1:17" x14ac:dyDescent="0.25">
      <c r="A1080" s="6">
        <f t="shared" si="219"/>
        <v>76062</v>
      </c>
      <c r="B1080" s="30">
        <f>IFERROR(VLOOKUP(A1080, Data!$L$3:$N$123, 3),1)*Pension</f>
        <v>1725552.6197585943</v>
      </c>
      <c r="C1080" s="37">
        <f t="shared" si="208"/>
        <v>89.74948665297741</v>
      </c>
      <c r="D1080" s="37">
        <f>IFERROR(VLOOKUP(A1080,Data!$I$3:$J$1442,2),0)</f>
        <v>7.8856903000000006E-2</v>
      </c>
      <c r="E1080" s="37">
        <f t="shared" si="209"/>
        <v>7.8656903E-2</v>
      </c>
      <c r="F1080" s="37">
        <f t="shared" si="214"/>
        <v>8.5927919460706658E-4</v>
      </c>
      <c r="G1080" s="30">
        <f t="shared" si="215"/>
        <v>1482.7314653582787</v>
      </c>
      <c r="H1080" s="38">
        <f t="shared" si="210"/>
        <v>185</v>
      </c>
      <c r="I1080" s="39">
        <f t="shared" si="211"/>
        <v>185.37440109514031</v>
      </c>
      <c r="J1080" s="40">
        <f t="shared" si="212"/>
        <v>90</v>
      </c>
      <c r="K1080" s="43">
        <f>VLOOKUP(J1080,Data!$Z$3:$AA$122,2)</f>
        <v>0</v>
      </c>
      <c r="L1080" s="41">
        <f t="shared" si="213"/>
        <v>0.37440109514031406</v>
      </c>
      <c r="M1080" s="43">
        <f>VLOOKUP(H1080,Data!$P$3:$X$122,9)</f>
        <v>0</v>
      </c>
      <c r="N1080" s="43">
        <f t="shared" si="216"/>
        <v>0</v>
      </c>
      <c r="O1080" s="43">
        <f t="shared" si="217"/>
        <v>0</v>
      </c>
      <c r="P1080" s="30">
        <f t="shared" si="218"/>
        <v>0</v>
      </c>
      <c r="Q1080" s="31">
        <f t="shared" si="220"/>
        <v>848340.75061972369</v>
      </c>
    </row>
    <row r="1081" spans="1:17" x14ac:dyDescent="0.25">
      <c r="A1081" s="6">
        <f t="shared" si="219"/>
        <v>76092</v>
      </c>
      <c r="B1081" s="30">
        <f>IFERROR(VLOOKUP(A1081, Data!$L$3:$N$123, 3),1)*Pension</f>
        <v>1725552.6197585943</v>
      </c>
      <c r="C1081" s="37">
        <f t="shared" si="208"/>
        <v>89.831622176591381</v>
      </c>
      <c r="D1081" s="37">
        <f>IFERROR(VLOOKUP(A1081,Data!$I$3:$J$1442,2),0)</f>
        <v>7.8848804999999994E-2</v>
      </c>
      <c r="E1081" s="37">
        <f t="shared" si="209"/>
        <v>7.8648804999999988E-2</v>
      </c>
      <c r="F1081" s="37">
        <f t="shared" si="214"/>
        <v>8.5436698180142755E-4</v>
      </c>
      <c r="G1081" s="30">
        <f t="shared" si="215"/>
        <v>1474.2551836826965</v>
      </c>
      <c r="H1081" s="38">
        <f t="shared" si="210"/>
        <v>185</v>
      </c>
      <c r="I1081" s="39">
        <f t="shared" si="211"/>
        <v>185.45653661875428</v>
      </c>
      <c r="J1081" s="40">
        <f t="shared" si="212"/>
        <v>90</v>
      </c>
      <c r="K1081" s="43">
        <f>VLOOKUP(J1081,Data!$Z$3:$AA$122,2)</f>
        <v>0</v>
      </c>
      <c r="L1081" s="41">
        <f t="shared" si="213"/>
        <v>0.45653661875428497</v>
      </c>
      <c r="M1081" s="43">
        <f>VLOOKUP(H1081,Data!$P$3:$X$122,9)</f>
        <v>0</v>
      </c>
      <c r="N1081" s="43">
        <f t="shared" si="216"/>
        <v>0</v>
      </c>
      <c r="O1081" s="43">
        <f t="shared" si="217"/>
        <v>0</v>
      </c>
      <c r="P1081" s="30">
        <f t="shared" si="218"/>
        <v>0</v>
      </c>
      <c r="Q1081" s="31">
        <f t="shared" si="220"/>
        <v>848340.75061972369</v>
      </c>
    </row>
    <row r="1082" spans="1:17" x14ac:dyDescent="0.25">
      <c r="A1082" s="6">
        <f t="shared" si="219"/>
        <v>76123</v>
      </c>
      <c r="B1082" s="30">
        <f>IFERROR(VLOOKUP(A1082, Data!$L$3:$N$123, 3),1)*Pension</f>
        <v>1725552.6197585943</v>
      </c>
      <c r="C1082" s="37">
        <f t="shared" si="208"/>
        <v>89.916495550992465</v>
      </c>
      <c r="D1082" s="37">
        <f>IFERROR(VLOOKUP(A1082,Data!$I$3:$J$1442,2),0)</f>
        <v>7.8840453000000005E-2</v>
      </c>
      <c r="E1082" s="37">
        <f t="shared" si="209"/>
        <v>7.8640452999999999E-2</v>
      </c>
      <c r="F1082" s="37">
        <f t="shared" si="214"/>
        <v>8.493204979973559E-4</v>
      </c>
      <c r="G1082" s="30">
        <f t="shared" si="215"/>
        <v>1465.5472103340114</v>
      </c>
      <c r="H1082" s="38">
        <f t="shared" si="210"/>
        <v>185</v>
      </c>
      <c r="I1082" s="39">
        <f t="shared" si="211"/>
        <v>185.54140999315538</v>
      </c>
      <c r="J1082" s="40">
        <f t="shared" si="212"/>
        <v>90</v>
      </c>
      <c r="K1082" s="43">
        <f>VLOOKUP(J1082,Data!$Z$3:$AA$122,2)</f>
        <v>0</v>
      </c>
      <c r="L1082" s="41">
        <f t="shared" si="213"/>
        <v>0.54140999315538352</v>
      </c>
      <c r="M1082" s="43">
        <f>VLOOKUP(H1082,Data!$P$3:$X$122,9)</f>
        <v>0</v>
      </c>
      <c r="N1082" s="43">
        <f t="shared" si="216"/>
        <v>0</v>
      </c>
      <c r="O1082" s="43">
        <f t="shared" si="217"/>
        <v>0</v>
      </c>
      <c r="P1082" s="30">
        <f t="shared" si="218"/>
        <v>0</v>
      </c>
      <c r="Q1082" s="31">
        <f t="shared" si="220"/>
        <v>848340.75061972369</v>
      </c>
    </row>
    <row r="1083" spans="1:17" x14ac:dyDescent="0.25">
      <c r="A1083" s="6">
        <f t="shared" si="219"/>
        <v>76153</v>
      </c>
      <c r="B1083" s="30">
        <f>IFERROR(VLOOKUP(A1083, Data!$L$3:$N$123, 3),1)*Pension</f>
        <v>1725552.6197585943</v>
      </c>
      <c r="C1083" s="37">
        <f t="shared" si="208"/>
        <v>89.998631074606436</v>
      </c>
      <c r="D1083" s="37">
        <f>IFERROR(VLOOKUP(A1083,Data!$I$3:$J$1442,2),0)</f>
        <v>7.8832385000000005E-2</v>
      </c>
      <c r="E1083" s="37">
        <f t="shared" si="209"/>
        <v>7.8632384999999999E-2</v>
      </c>
      <c r="F1083" s="37">
        <f t="shared" si="214"/>
        <v>8.4446521878879619E-4</v>
      </c>
      <c r="G1083" s="30">
        <f t="shared" si="215"/>
        <v>1457.1691705760218</v>
      </c>
      <c r="H1083" s="38">
        <f t="shared" si="210"/>
        <v>185</v>
      </c>
      <c r="I1083" s="39">
        <f t="shared" si="211"/>
        <v>185.62354551676933</v>
      </c>
      <c r="J1083" s="40">
        <f t="shared" si="212"/>
        <v>90</v>
      </c>
      <c r="K1083" s="43">
        <f>VLOOKUP(J1083,Data!$Z$3:$AA$122,2)</f>
        <v>0</v>
      </c>
      <c r="L1083" s="41">
        <f t="shared" si="213"/>
        <v>0.62354551676932601</v>
      </c>
      <c r="M1083" s="43">
        <f>VLOOKUP(H1083,Data!$P$3:$X$122,9)</f>
        <v>0</v>
      </c>
      <c r="N1083" s="43">
        <f t="shared" si="216"/>
        <v>0</v>
      </c>
      <c r="O1083" s="43">
        <f t="shared" si="217"/>
        <v>0</v>
      </c>
      <c r="P1083" s="30">
        <f t="shared" si="218"/>
        <v>0</v>
      </c>
      <c r="Q1083" s="31">
        <f t="shared" si="220"/>
        <v>848340.75061972369</v>
      </c>
    </row>
    <row r="1084" spans="1:17" x14ac:dyDescent="0.25">
      <c r="A1084" s="6">
        <f t="shared" si="219"/>
        <v>76184</v>
      </c>
      <c r="B1084" s="30">
        <f>IFERROR(VLOOKUP(A1084, Data!$L$3:$N$123, 3),1)*Pension</f>
        <v>1725552.6197585943</v>
      </c>
      <c r="C1084" s="37">
        <f t="shared" si="208"/>
        <v>90.083504449007535</v>
      </c>
      <c r="D1084" s="37">
        <f>IFERROR(VLOOKUP(A1084,Data!$I$3:$J$1442,2),0)</f>
        <v>7.8824063999999999E-2</v>
      </c>
      <c r="E1084" s="37">
        <f t="shared" si="209"/>
        <v>7.8624063999999994E-2</v>
      </c>
      <c r="F1084" s="37">
        <f t="shared" si="214"/>
        <v>8.3947721821301779E-4</v>
      </c>
      <c r="G1084" s="30">
        <f t="shared" si="215"/>
        <v>1448.5621131151299</v>
      </c>
      <c r="H1084" s="38">
        <f t="shared" si="210"/>
        <v>185</v>
      </c>
      <c r="I1084" s="39">
        <f t="shared" si="211"/>
        <v>185.70841889117042</v>
      </c>
      <c r="J1084" s="40">
        <f t="shared" si="212"/>
        <v>90</v>
      </c>
      <c r="K1084" s="43">
        <f>VLOOKUP(J1084,Data!$Z$3:$AA$122,2)</f>
        <v>0</v>
      </c>
      <c r="L1084" s="41">
        <f t="shared" si="213"/>
        <v>0.70841889117042456</v>
      </c>
      <c r="M1084" s="43">
        <f>VLOOKUP(H1084,Data!$P$3:$X$122,9)</f>
        <v>0</v>
      </c>
      <c r="N1084" s="43">
        <f t="shared" si="216"/>
        <v>0</v>
      </c>
      <c r="O1084" s="43">
        <f t="shared" si="217"/>
        <v>0</v>
      </c>
      <c r="P1084" s="30">
        <f t="shared" si="218"/>
        <v>0</v>
      </c>
      <c r="Q1084" s="31">
        <f t="shared" si="220"/>
        <v>848340.75061972369</v>
      </c>
    </row>
    <row r="1085" spans="1:17" x14ac:dyDescent="0.25">
      <c r="A1085" s="6">
        <f t="shared" si="219"/>
        <v>76215</v>
      </c>
      <c r="B1085" s="30">
        <f>IFERROR(VLOOKUP(A1085, Data!$L$3:$N$123, 3),1)*Pension</f>
        <v>1725552.6197585943</v>
      </c>
      <c r="C1085" s="37">
        <f t="shared" si="208"/>
        <v>90.168377823408619</v>
      </c>
      <c r="D1085" s="37">
        <f>IFERROR(VLOOKUP(A1085,Data!$I$3:$J$1442,2),0)</f>
        <v>7.8815758E-2</v>
      </c>
      <c r="E1085" s="37">
        <f t="shared" si="209"/>
        <v>7.8615757999999994E-2</v>
      </c>
      <c r="F1085" s="37">
        <f t="shared" si="214"/>
        <v>8.3451873026622002E-4</v>
      </c>
      <c r="G1085" s="30">
        <f t="shared" si="215"/>
        <v>1440.0059812484917</v>
      </c>
      <c r="H1085" s="38">
        <f t="shared" si="210"/>
        <v>185</v>
      </c>
      <c r="I1085" s="39">
        <f t="shared" si="211"/>
        <v>185.79329226557152</v>
      </c>
      <c r="J1085" s="40">
        <f t="shared" si="212"/>
        <v>90</v>
      </c>
      <c r="K1085" s="43">
        <f>VLOOKUP(J1085,Data!$Z$3:$AA$122,2)</f>
        <v>0</v>
      </c>
      <c r="L1085" s="41">
        <f t="shared" si="213"/>
        <v>0.7932922655715231</v>
      </c>
      <c r="M1085" s="43">
        <f>VLOOKUP(H1085,Data!$P$3:$X$122,9)</f>
        <v>0</v>
      </c>
      <c r="N1085" s="43">
        <f t="shared" si="216"/>
        <v>0</v>
      </c>
      <c r="O1085" s="43">
        <f t="shared" si="217"/>
        <v>0</v>
      </c>
      <c r="P1085" s="30">
        <f t="shared" si="218"/>
        <v>0</v>
      </c>
      <c r="Q1085" s="31">
        <f t="shared" si="220"/>
        <v>848340.75061972369</v>
      </c>
    </row>
    <row r="1086" spans="1:17" x14ac:dyDescent="0.25">
      <c r="A1086" s="6">
        <f t="shared" si="219"/>
        <v>76245</v>
      </c>
      <c r="B1086" s="30">
        <f>IFERROR(VLOOKUP(A1086, Data!$L$3:$N$123, 3),1)*Pension</f>
        <v>1725552.6197585943</v>
      </c>
      <c r="C1086" s="37">
        <f t="shared" si="208"/>
        <v>90.25051334702259</v>
      </c>
      <c r="D1086" s="37">
        <f>IFERROR(VLOOKUP(A1086,Data!$I$3:$J$1442,2),0)</f>
        <v>7.8807735000000004E-2</v>
      </c>
      <c r="E1086" s="37">
        <f t="shared" si="209"/>
        <v>7.8607734999999998E-2</v>
      </c>
      <c r="F1086" s="37">
        <f t="shared" si="214"/>
        <v>8.2974806715561391E-4</v>
      </c>
      <c r="G1086" s="30">
        <f t="shared" si="215"/>
        <v>1431.7739510199997</v>
      </c>
      <c r="H1086" s="38">
        <f t="shared" si="210"/>
        <v>185</v>
      </c>
      <c r="I1086" s="39">
        <f t="shared" si="211"/>
        <v>185.87542778918549</v>
      </c>
      <c r="J1086" s="40">
        <f t="shared" si="212"/>
        <v>90</v>
      </c>
      <c r="K1086" s="43">
        <f>VLOOKUP(J1086,Data!$Z$3:$AA$122,2)</f>
        <v>0</v>
      </c>
      <c r="L1086" s="41">
        <f t="shared" si="213"/>
        <v>0.87542778918549402</v>
      </c>
      <c r="M1086" s="43">
        <f>VLOOKUP(H1086,Data!$P$3:$X$122,9)</f>
        <v>0</v>
      </c>
      <c r="N1086" s="43">
        <f t="shared" si="216"/>
        <v>0</v>
      </c>
      <c r="O1086" s="43">
        <f t="shared" si="217"/>
        <v>0</v>
      </c>
      <c r="P1086" s="30">
        <f t="shared" si="218"/>
        <v>0</v>
      </c>
      <c r="Q1086" s="31">
        <f t="shared" si="220"/>
        <v>848340.75061972369</v>
      </c>
    </row>
    <row r="1087" spans="1:17" x14ac:dyDescent="0.25">
      <c r="A1087" s="6">
        <f t="shared" si="219"/>
        <v>76276</v>
      </c>
      <c r="B1087" s="30">
        <f>IFERROR(VLOOKUP(A1087, Data!$L$3:$N$123, 3),1)*Pension</f>
        <v>1725552.6197585943</v>
      </c>
      <c r="C1087" s="37">
        <f t="shared" si="208"/>
        <v>90.335386721423689</v>
      </c>
      <c r="D1087" s="37">
        <f>IFERROR(VLOOKUP(A1087,Data!$I$3:$J$1442,2),0)</f>
        <v>7.8799460000000002E-2</v>
      </c>
      <c r="E1087" s="37">
        <f t="shared" si="209"/>
        <v>7.8599459999999996E-2</v>
      </c>
      <c r="F1087" s="37">
        <f t="shared" si="214"/>
        <v>8.2484702324319564E-4</v>
      </c>
      <c r="G1087" s="30">
        <f t="shared" si="215"/>
        <v>1423.3169418573743</v>
      </c>
      <c r="H1087" s="38">
        <f t="shared" si="210"/>
        <v>185</v>
      </c>
      <c r="I1087" s="39">
        <f t="shared" si="211"/>
        <v>185.96030116358659</v>
      </c>
      <c r="J1087" s="40">
        <f t="shared" si="212"/>
        <v>90</v>
      </c>
      <c r="K1087" s="43">
        <f>VLOOKUP(J1087,Data!$Z$3:$AA$122,2)</f>
        <v>0</v>
      </c>
      <c r="L1087" s="41">
        <f t="shared" si="213"/>
        <v>0.96030116358659257</v>
      </c>
      <c r="M1087" s="43">
        <f>VLOOKUP(H1087,Data!$P$3:$X$122,9)</f>
        <v>0</v>
      </c>
      <c r="N1087" s="43">
        <f t="shared" si="216"/>
        <v>0</v>
      </c>
      <c r="O1087" s="43">
        <f t="shared" si="217"/>
        <v>0</v>
      </c>
      <c r="P1087" s="30">
        <f t="shared" si="218"/>
        <v>0</v>
      </c>
      <c r="Q1087" s="31">
        <f t="shared" si="220"/>
        <v>848340.75061972369</v>
      </c>
    </row>
    <row r="1088" spans="1:17" x14ac:dyDescent="0.25">
      <c r="A1088" s="6">
        <f t="shared" si="219"/>
        <v>76306</v>
      </c>
      <c r="B1088" s="30">
        <f>IFERROR(VLOOKUP(A1088, Data!$L$3:$N$123, 3),1)*Pension</f>
        <v>1725552.6197585943</v>
      </c>
      <c r="C1088" s="37">
        <f t="shared" si="208"/>
        <v>90.417522245037645</v>
      </c>
      <c r="D1088" s="37">
        <f>IFERROR(VLOOKUP(A1088,Data!$I$3:$J$1442,2),0)</f>
        <v>7.8791467000000004E-2</v>
      </c>
      <c r="E1088" s="37">
        <f t="shared" si="209"/>
        <v>7.8591466999999998E-2</v>
      </c>
      <c r="F1088" s="37">
        <f t="shared" si="214"/>
        <v>8.2013162217245926E-4</v>
      </c>
      <c r="G1088" s="30">
        <f t="shared" si="215"/>
        <v>1415.1802691865528</v>
      </c>
      <c r="H1088" s="38">
        <f t="shared" si="210"/>
        <v>186</v>
      </c>
      <c r="I1088" s="39">
        <f t="shared" si="211"/>
        <v>186.04243668720054</v>
      </c>
      <c r="J1088" s="40">
        <f t="shared" si="212"/>
        <v>91</v>
      </c>
      <c r="K1088" s="43">
        <f>VLOOKUP(J1088,Data!$Z$3:$AA$122,2)</f>
        <v>0</v>
      </c>
      <c r="L1088" s="41">
        <f t="shared" si="213"/>
        <v>4.2436687200535061E-2</v>
      </c>
      <c r="M1088" s="43">
        <f>VLOOKUP(H1088,Data!$P$3:$X$122,9)</f>
        <v>0</v>
      </c>
      <c r="N1088" s="43">
        <f t="shared" si="216"/>
        <v>0</v>
      </c>
      <c r="O1088" s="43">
        <f t="shared" si="217"/>
        <v>0</v>
      </c>
      <c r="P1088" s="30">
        <f t="shared" si="218"/>
        <v>0</v>
      </c>
      <c r="Q1088" s="31">
        <f t="shared" si="220"/>
        <v>848340.75061972369</v>
      </c>
    </row>
    <row r="1089" spans="1:17" x14ac:dyDescent="0.25">
      <c r="A1089" s="6">
        <f t="shared" si="219"/>
        <v>76337</v>
      </c>
      <c r="B1089" s="30">
        <f>IFERROR(VLOOKUP(A1089, Data!$L$3:$N$123, 3),1)*Pension</f>
        <v>1811830.2507465244</v>
      </c>
      <c r="C1089" s="37">
        <f t="shared" si="208"/>
        <v>90.502395619438744</v>
      </c>
      <c r="D1089" s="37">
        <f>IFERROR(VLOOKUP(A1089,Data!$I$3:$J$1442,2),0)</f>
        <v>7.8783222999999999E-2</v>
      </c>
      <c r="E1089" s="37">
        <f t="shared" si="209"/>
        <v>7.8583222999999994E-2</v>
      </c>
      <c r="F1089" s="37">
        <f t="shared" si="214"/>
        <v>8.1528734443996184E-4</v>
      </c>
      <c r="G1089" s="30">
        <f t="shared" si="215"/>
        <v>1477.1622737071241</v>
      </c>
      <c r="H1089" s="38">
        <f t="shared" si="210"/>
        <v>186</v>
      </c>
      <c r="I1089" s="39">
        <f t="shared" si="211"/>
        <v>186.12731006160163</v>
      </c>
      <c r="J1089" s="40">
        <f t="shared" si="212"/>
        <v>91</v>
      </c>
      <c r="K1089" s="43">
        <f>VLOOKUP(J1089,Data!$Z$3:$AA$122,2)</f>
        <v>0</v>
      </c>
      <c r="L1089" s="41">
        <f t="shared" si="213"/>
        <v>0.12731006160163361</v>
      </c>
      <c r="M1089" s="43">
        <f>VLOOKUP(H1089,Data!$P$3:$X$122,9)</f>
        <v>0</v>
      </c>
      <c r="N1089" s="43">
        <f t="shared" si="216"/>
        <v>0</v>
      </c>
      <c r="O1089" s="43">
        <f t="shared" si="217"/>
        <v>0</v>
      </c>
      <c r="P1089" s="30">
        <f t="shared" si="218"/>
        <v>0</v>
      </c>
      <c r="Q1089" s="31">
        <f t="shared" si="220"/>
        <v>848340.75061972369</v>
      </c>
    </row>
    <row r="1090" spans="1:17" x14ac:dyDescent="0.25">
      <c r="A1090" s="6">
        <f t="shared" si="219"/>
        <v>76368</v>
      </c>
      <c r="B1090" s="30">
        <f>IFERROR(VLOOKUP(A1090, Data!$L$3:$N$123, 3),1)*Pension</f>
        <v>1811830.2507465244</v>
      </c>
      <c r="C1090" s="37">
        <f t="shared" si="208"/>
        <v>90.587268993839842</v>
      </c>
      <c r="D1090" s="37">
        <f>IFERROR(VLOOKUP(A1090,Data!$I$3:$J$1442,2),0)</f>
        <v>7.8774994000000001E-2</v>
      </c>
      <c r="E1090" s="37">
        <f t="shared" si="209"/>
        <v>7.8574993999999995E-2</v>
      </c>
      <c r="F1090" s="37">
        <f t="shared" si="214"/>
        <v>8.1047171333134397E-4</v>
      </c>
      <c r="G1090" s="30">
        <f t="shared" si="215"/>
        <v>1468.4371675880941</v>
      </c>
      <c r="H1090" s="38">
        <f t="shared" si="210"/>
        <v>186</v>
      </c>
      <c r="I1090" s="39">
        <f t="shared" si="211"/>
        <v>186.21218343600273</v>
      </c>
      <c r="J1090" s="40">
        <f t="shared" si="212"/>
        <v>91</v>
      </c>
      <c r="K1090" s="43">
        <f>VLOOKUP(J1090,Data!$Z$3:$AA$122,2)</f>
        <v>0</v>
      </c>
      <c r="L1090" s="41">
        <f t="shared" si="213"/>
        <v>0.21218343600273215</v>
      </c>
      <c r="M1090" s="43">
        <f>VLOOKUP(H1090,Data!$P$3:$X$122,9)</f>
        <v>0</v>
      </c>
      <c r="N1090" s="43">
        <f t="shared" si="216"/>
        <v>0</v>
      </c>
      <c r="O1090" s="43">
        <f t="shared" si="217"/>
        <v>0</v>
      </c>
      <c r="P1090" s="30">
        <f t="shared" si="218"/>
        <v>0</v>
      </c>
      <c r="Q1090" s="31">
        <f t="shared" si="220"/>
        <v>848340.75061972369</v>
      </c>
    </row>
    <row r="1091" spans="1:17" x14ac:dyDescent="0.25">
      <c r="A1091" s="6">
        <f t="shared" si="219"/>
        <v>76396</v>
      </c>
      <c r="B1091" s="30">
        <f>IFERROR(VLOOKUP(A1091, Data!$L$3:$N$123, 3),1)*Pension</f>
        <v>1811830.2507465244</v>
      </c>
      <c r="C1091" s="37">
        <f t="shared" ref="C1091:C1154" si="221">(A1091-EffDate)/365.25</f>
        <v>90.66392881587953</v>
      </c>
      <c r="D1091" s="37">
        <f>IFERROR(VLOOKUP(A1091,Data!$I$3:$J$1442,2),0)</f>
        <v>7.8767574000000007E-2</v>
      </c>
      <c r="E1091" s="37">
        <f t="shared" ref="E1091:E1154" si="222">D1091-Fees</f>
        <v>7.8567574000000001E-2</v>
      </c>
      <c r="F1091" s="37">
        <f t="shared" si="214"/>
        <v>8.0614660787479953E-4</v>
      </c>
      <c r="G1091" s="30">
        <f t="shared" si="215"/>
        <v>1460.6008106842582</v>
      </c>
      <c r="H1091" s="38">
        <f t="shared" ref="H1091:H1154" si="223">IF(OR(A1091 = DATE(YEAR(A1091), MONTH(Date_of_Birth), DAY(Date_of_Birth)),AND(A1091 = DATE(YEAR(A1091), MONTH(Date_of_Birth), DAY(Date_of_Birth)-1), AND(MONTH(Date_of_Birth)=2, DAY(Date_of_Birth) = 29))), ROUND((A1091-Date_of_Birth)/365.25,0),ROUNDDOWN((A1091-Date_of_Birth)/365.25,0))</f>
        <v>186</v>
      </c>
      <c r="I1091" s="39">
        <f t="shared" ref="I1091:I1154" si="224">IF(OR(A1091 = DATE(YEAR(A1091), MONTH(Date_of_Birth), DAY(Date_of_Birth)),AND(A1091 = DATE(YEAR(A1091), MONTH(Date_of_Birth), DAY(Date_of_Birth)-1), AND(MONTH(Date_of_Birth)=2, DAY(Date_of_Birth) = 29))), ROUND((A1091-Date_of_Birth)/365.25,0),(A1091-Date_of_Birth)/365.25)</f>
        <v>186.28884325804245</v>
      </c>
      <c r="J1091" s="40">
        <f t="shared" ref="J1091:J1154" si="225">H1091-StartAge</f>
        <v>91</v>
      </c>
      <c r="K1091" s="43">
        <f>VLOOKUP(J1091,Data!$Z$3:$AA$122,2)</f>
        <v>0</v>
      </c>
      <c r="L1091" s="41">
        <f t="shared" ref="L1091:L1154" si="226">IF(A1091&lt;=NextBirth,(A1091-EffDate)/365.25,(I1091-H1091))</f>
        <v>0.28884325804244781</v>
      </c>
      <c r="M1091" s="43">
        <f>VLOOKUP(H1091,Data!$P$3:$X$122,9)</f>
        <v>0</v>
      </c>
      <c r="N1091" s="43">
        <f t="shared" si="216"/>
        <v>0</v>
      </c>
      <c r="O1091" s="43">
        <f t="shared" si="217"/>
        <v>0</v>
      </c>
      <c r="P1091" s="30">
        <f t="shared" si="218"/>
        <v>0</v>
      </c>
      <c r="Q1091" s="31">
        <f t="shared" si="220"/>
        <v>848340.75061972369</v>
      </c>
    </row>
    <row r="1092" spans="1:17" x14ac:dyDescent="0.25">
      <c r="A1092" s="6">
        <f t="shared" si="219"/>
        <v>76427</v>
      </c>
      <c r="B1092" s="30">
        <f>IFERROR(VLOOKUP(A1092, Data!$L$3:$N$123, 3),1)*Pension</f>
        <v>1811830.2507465244</v>
      </c>
      <c r="C1092" s="37">
        <f t="shared" si="221"/>
        <v>90.748802190280628</v>
      </c>
      <c r="D1092" s="37">
        <f>IFERROR(VLOOKUP(A1092,Data!$I$3:$J$1442,2),0)</f>
        <v>7.8759375000000006E-2</v>
      </c>
      <c r="E1092" s="37">
        <f t="shared" si="222"/>
        <v>7.8559375000000001E-2</v>
      </c>
      <c r="F1092" s="37">
        <f t="shared" ref="F1092:F1155" si="227">EXP(-E1092*C1092)</f>
        <v>8.0138491594685432E-4</v>
      </c>
      <c r="G1092" s="30">
        <f t="shared" ref="G1092:G1155" si="228">B1092*F1092</f>
        <v>1451.9734332044713</v>
      </c>
      <c r="H1092" s="38">
        <f t="shared" si="223"/>
        <v>186</v>
      </c>
      <c r="I1092" s="39">
        <f t="shared" si="224"/>
        <v>186.37371663244352</v>
      </c>
      <c r="J1092" s="40">
        <f t="shared" si="225"/>
        <v>91</v>
      </c>
      <c r="K1092" s="43">
        <f>VLOOKUP(J1092,Data!$Z$3:$AA$122,2)</f>
        <v>0</v>
      </c>
      <c r="L1092" s="41">
        <f t="shared" si="226"/>
        <v>0.37371663244351794</v>
      </c>
      <c r="M1092" s="43">
        <f>VLOOKUP(H1092,Data!$P$3:$X$122,9)</f>
        <v>0</v>
      </c>
      <c r="N1092" s="43">
        <f t="shared" ref="N1092:N1155" si="229">IF(M1092=0, 0, EXP(-L1092*M1092))</f>
        <v>0</v>
      </c>
      <c r="O1092" s="43">
        <f t="shared" ref="O1092:O1155" si="230">K1092*N1092</f>
        <v>0</v>
      </c>
      <c r="P1092" s="30">
        <f t="shared" ref="P1092:P1155" si="231">G1092*O1092</f>
        <v>0</v>
      </c>
      <c r="Q1092" s="31">
        <f t="shared" si="220"/>
        <v>848340.75061972369</v>
      </c>
    </row>
    <row r="1093" spans="1:17" x14ac:dyDescent="0.25">
      <c r="A1093" s="6">
        <f t="shared" ref="A1093:A1156" si="232">EOMONTH(A1092,1)</f>
        <v>76457</v>
      </c>
      <c r="B1093" s="30">
        <f>IFERROR(VLOOKUP(A1093, Data!$L$3:$N$123, 3),1)*Pension</f>
        <v>1811830.2507465244</v>
      </c>
      <c r="C1093" s="37">
        <f t="shared" si="221"/>
        <v>90.830937713894599</v>
      </c>
      <c r="D1093" s="37">
        <f>IFERROR(VLOOKUP(A1093,Data!$I$3:$J$1442,2),0)</f>
        <v>7.8751453999999999E-2</v>
      </c>
      <c r="E1093" s="37">
        <f t="shared" si="222"/>
        <v>7.8551453999999993E-2</v>
      </c>
      <c r="F1093" s="37">
        <f t="shared" si="227"/>
        <v>7.9680368607228048E-4</v>
      </c>
      <c r="G1093" s="30">
        <f t="shared" si="228"/>
        <v>1443.6730223320949</v>
      </c>
      <c r="H1093" s="38">
        <f t="shared" si="223"/>
        <v>186</v>
      </c>
      <c r="I1093" s="39">
        <f t="shared" si="224"/>
        <v>186.45585215605749</v>
      </c>
      <c r="J1093" s="40">
        <f t="shared" si="225"/>
        <v>91</v>
      </c>
      <c r="K1093" s="43">
        <f>VLOOKUP(J1093,Data!$Z$3:$AA$122,2)</f>
        <v>0</v>
      </c>
      <c r="L1093" s="41">
        <f t="shared" si="226"/>
        <v>0.45585215605748886</v>
      </c>
      <c r="M1093" s="43">
        <f>VLOOKUP(H1093,Data!$P$3:$X$122,9)</f>
        <v>0</v>
      </c>
      <c r="N1093" s="43">
        <f t="shared" si="229"/>
        <v>0</v>
      </c>
      <c r="O1093" s="43">
        <f t="shared" si="230"/>
        <v>0</v>
      </c>
      <c r="P1093" s="30">
        <f t="shared" si="231"/>
        <v>0</v>
      </c>
      <c r="Q1093" s="31">
        <f t="shared" ref="Q1093:Q1156" si="233">Q1092+P1093</f>
        <v>848340.75061972369</v>
      </c>
    </row>
    <row r="1094" spans="1:17" x14ac:dyDescent="0.25">
      <c r="A1094" s="6">
        <f t="shared" si="232"/>
        <v>76488</v>
      </c>
      <c r="B1094" s="30">
        <f>IFERROR(VLOOKUP(A1094, Data!$L$3:$N$123, 3),1)*Pension</f>
        <v>1811830.2507465244</v>
      </c>
      <c r="C1094" s="37">
        <f t="shared" si="221"/>
        <v>90.915811088295683</v>
      </c>
      <c r="D1094" s="37">
        <f>IFERROR(VLOOKUP(A1094,Data!$I$3:$J$1442,2),0)</f>
        <v>7.8743283999999997E-2</v>
      </c>
      <c r="E1094" s="37">
        <f t="shared" si="222"/>
        <v>7.8543283999999991E-2</v>
      </c>
      <c r="F1094" s="37">
        <f t="shared" si="227"/>
        <v>7.9209726020662964E-4</v>
      </c>
      <c r="G1094" s="30">
        <f t="shared" si="228"/>
        <v>1435.1457775758129</v>
      </c>
      <c r="H1094" s="38">
        <f t="shared" si="223"/>
        <v>186</v>
      </c>
      <c r="I1094" s="39">
        <f t="shared" si="224"/>
        <v>186.54072553045859</v>
      </c>
      <c r="J1094" s="40">
        <f t="shared" si="225"/>
        <v>91</v>
      </c>
      <c r="K1094" s="43">
        <f>VLOOKUP(J1094,Data!$Z$3:$AA$122,2)</f>
        <v>0</v>
      </c>
      <c r="L1094" s="41">
        <f t="shared" si="226"/>
        <v>0.5407255304585874</v>
      </c>
      <c r="M1094" s="43">
        <f>VLOOKUP(H1094,Data!$P$3:$X$122,9)</f>
        <v>0</v>
      </c>
      <c r="N1094" s="43">
        <f t="shared" si="229"/>
        <v>0</v>
      </c>
      <c r="O1094" s="43">
        <f t="shared" si="230"/>
        <v>0</v>
      </c>
      <c r="P1094" s="30">
        <f t="shared" si="231"/>
        <v>0</v>
      </c>
      <c r="Q1094" s="31">
        <f t="shared" si="233"/>
        <v>848340.75061972369</v>
      </c>
    </row>
    <row r="1095" spans="1:17" x14ac:dyDescent="0.25">
      <c r="A1095" s="6">
        <f t="shared" si="232"/>
        <v>76518</v>
      </c>
      <c r="B1095" s="30">
        <f>IFERROR(VLOOKUP(A1095, Data!$L$3:$N$123, 3),1)*Pension</f>
        <v>1811830.2507465244</v>
      </c>
      <c r="C1095" s="37">
        <f t="shared" si="221"/>
        <v>90.997946611909654</v>
      </c>
      <c r="D1095" s="37">
        <f>IFERROR(VLOOKUP(A1095,Data!$I$3:$J$1442,2),0)</f>
        <v>7.8735393000000001E-2</v>
      </c>
      <c r="E1095" s="37">
        <f t="shared" si="222"/>
        <v>7.8535392999999995E-2</v>
      </c>
      <c r="F1095" s="37">
        <f t="shared" si="227"/>
        <v>7.8756905725299868E-4</v>
      </c>
      <c r="G1095" s="30">
        <f t="shared" si="228"/>
        <v>1426.9414424829044</v>
      </c>
      <c r="H1095" s="38">
        <f t="shared" si="223"/>
        <v>186</v>
      </c>
      <c r="I1095" s="39">
        <f t="shared" si="224"/>
        <v>186.62286105407256</v>
      </c>
      <c r="J1095" s="40">
        <f t="shared" si="225"/>
        <v>91</v>
      </c>
      <c r="K1095" s="43">
        <f>VLOOKUP(J1095,Data!$Z$3:$AA$122,2)</f>
        <v>0</v>
      </c>
      <c r="L1095" s="41">
        <f t="shared" si="226"/>
        <v>0.62286105407255832</v>
      </c>
      <c r="M1095" s="43">
        <f>VLOOKUP(H1095,Data!$P$3:$X$122,9)</f>
        <v>0</v>
      </c>
      <c r="N1095" s="43">
        <f t="shared" si="229"/>
        <v>0</v>
      </c>
      <c r="O1095" s="43">
        <f t="shared" si="230"/>
        <v>0</v>
      </c>
      <c r="P1095" s="30">
        <f t="shared" si="231"/>
        <v>0</v>
      </c>
      <c r="Q1095" s="31">
        <f t="shared" si="233"/>
        <v>848340.75061972369</v>
      </c>
    </row>
    <row r="1096" spans="1:17" x14ac:dyDescent="0.25">
      <c r="A1096" s="6">
        <f t="shared" si="232"/>
        <v>76549</v>
      </c>
      <c r="B1096" s="30">
        <f>IFERROR(VLOOKUP(A1096, Data!$L$3:$N$123, 3),1)*Pension</f>
        <v>1811830.2507465244</v>
      </c>
      <c r="C1096" s="37">
        <f t="shared" si="221"/>
        <v>91.082819986310753</v>
      </c>
      <c r="D1096" s="37">
        <f>IFERROR(VLOOKUP(A1096,Data!$I$3:$J$1442,2),0)</f>
        <v>7.8727252999999997E-2</v>
      </c>
      <c r="E1096" s="37">
        <f t="shared" si="222"/>
        <v>7.8527252999999991E-2</v>
      </c>
      <c r="F1096" s="37">
        <f t="shared" si="227"/>
        <v>7.8291717312484036E-4</v>
      </c>
      <c r="G1096" s="30">
        <f t="shared" si="228"/>
        <v>1418.5130180965396</v>
      </c>
      <c r="H1096" s="38">
        <f t="shared" si="223"/>
        <v>186</v>
      </c>
      <c r="I1096" s="39">
        <f t="shared" si="224"/>
        <v>186.70773442847366</v>
      </c>
      <c r="J1096" s="40">
        <f t="shared" si="225"/>
        <v>91</v>
      </c>
      <c r="K1096" s="43">
        <f>VLOOKUP(J1096,Data!$Z$3:$AA$122,2)</f>
        <v>0</v>
      </c>
      <c r="L1096" s="41">
        <f t="shared" si="226"/>
        <v>0.70773442847365686</v>
      </c>
      <c r="M1096" s="43">
        <f>VLOOKUP(H1096,Data!$P$3:$X$122,9)</f>
        <v>0</v>
      </c>
      <c r="N1096" s="43">
        <f t="shared" si="229"/>
        <v>0</v>
      </c>
      <c r="O1096" s="43">
        <f t="shared" si="230"/>
        <v>0</v>
      </c>
      <c r="P1096" s="30">
        <f t="shared" si="231"/>
        <v>0</v>
      </c>
      <c r="Q1096" s="31">
        <f t="shared" si="233"/>
        <v>848340.75061972369</v>
      </c>
    </row>
    <row r="1097" spans="1:17" x14ac:dyDescent="0.25">
      <c r="A1097" s="6">
        <f t="shared" si="232"/>
        <v>76580</v>
      </c>
      <c r="B1097" s="30">
        <f>IFERROR(VLOOKUP(A1097, Data!$L$3:$N$123, 3),1)*Pension</f>
        <v>1811830.2507465244</v>
      </c>
      <c r="C1097" s="37">
        <f t="shared" si="221"/>
        <v>91.167693360711837</v>
      </c>
      <c r="D1097" s="37">
        <f>IFERROR(VLOOKUP(A1097,Data!$I$3:$J$1442,2),0)</f>
        <v>7.8719128999999999E-2</v>
      </c>
      <c r="E1097" s="37">
        <f t="shared" si="222"/>
        <v>7.8519128999999993E-2</v>
      </c>
      <c r="F1097" s="37">
        <f t="shared" si="227"/>
        <v>7.7829270609980675E-4</v>
      </c>
      <c r="G1097" s="30">
        <f t="shared" si="228"/>
        <v>1410.134268847004</v>
      </c>
      <c r="H1097" s="38">
        <f t="shared" si="223"/>
        <v>186</v>
      </c>
      <c r="I1097" s="39">
        <f t="shared" si="224"/>
        <v>186.79260780287476</v>
      </c>
      <c r="J1097" s="40">
        <f t="shared" si="225"/>
        <v>91</v>
      </c>
      <c r="K1097" s="43">
        <f>VLOOKUP(J1097,Data!$Z$3:$AA$122,2)</f>
        <v>0</v>
      </c>
      <c r="L1097" s="41">
        <f t="shared" si="226"/>
        <v>0.79260780287475541</v>
      </c>
      <c r="M1097" s="43">
        <f>VLOOKUP(H1097,Data!$P$3:$X$122,9)</f>
        <v>0</v>
      </c>
      <c r="N1097" s="43">
        <f t="shared" si="229"/>
        <v>0</v>
      </c>
      <c r="O1097" s="43">
        <f t="shared" si="230"/>
        <v>0</v>
      </c>
      <c r="P1097" s="30">
        <f t="shared" si="231"/>
        <v>0</v>
      </c>
      <c r="Q1097" s="31">
        <f t="shared" si="233"/>
        <v>848340.75061972369</v>
      </c>
    </row>
    <row r="1098" spans="1:17" x14ac:dyDescent="0.25">
      <c r="A1098" s="6">
        <f t="shared" si="232"/>
        <v>76610</v>
      </c>
      <c r="B1098" s="30">
        <f>IFERROR(VLOOKUP(A1098, Data!$L$3:$N$123, 3),1)*Pension</f>
        <v>1811830.2507465244</v>
      </c>
      <c r="C1098" s="37">
        <f t="shared" si="221"/>
        <v>91.249828884325808</v>
      </c>
      <c r="D1098" s="37">
        <f>IFERROR(VLOOKUP(A1098,Data!$I$3:$J$1442,2),0)</f>
        <v>7.8711280999999994E-2</v>
      </c>
      <c r="E1098" s="37">
        <f t="shared" si="222"/>
        <v>7.8511280999999988E-2</v>
      </c>
      <c r="F1098" s="37">
        <f t="shared" si="227"/>
        <v>7.7384345702243658E-4</v>
      </c>
      <c r="G1098" s="30">
        <f t="shared" si="228"/>
        <v>1402.0729847755185</v>
      </c>
      <c r="H1098" s="38">
        <f t="shared" si="223"/>
        <v>186</v>
      </c>
      <c r="I1098" s="39">
        <f t="shared" si="224"/>
        <v>186.8747433264887</v>
      </c>
      <c r="J1098" s="40">
        <f t="shared" si="225"/>
        <v>91</v>
      </c>
      <c r="K1098" s="43">
        <f>VLOOKUP(J1098,Data!$Z$3:$AA$122,2)</f>
        <v>0</v>
      </c>
      <c r="L1098" s="41">
        <f t="shared" si="226"/>
        <v>0.8747433264886979</v>
      </c>
      <c r="M1098" s="43">
        <f>VLOOKUP(H1098,Data!$P$3:$X$122,9)</f>
        <v>0</v>
      </c>
      <c r="N1098" s="43">
        <f t="shared" si="229"/>
        <v>0</v>
      </c>
      <c r="O1098" s="43">
        <f t="shared" si="230"/>
        <v>0</v>
      </c>
      <c r="P1098" s="30">
        <f t="shared" si="231"/>
        <v>0</v>
      </c>
      <c r="Q1098" s="31">
        <f t="shared" si="233"/>
        <v>848340.75061972369</v>
      </c>
    </row>
    <row r="1099" spans="1:17" x14ac:dyDescent="0.25">
      <c r="A1099" s="6">
        <f t="shared" si="232"/>
        <v>76641</v>
      </c>
      <c r="B1099" s="30">
        <f>IFERROR(VLOOKUP(A1099, Data!$L$3:$N$123, 3),1)*Pension</f>
        <v>1811830.2507465244</v>
      </c>
      <c r="C1099" s="37">
        <f t="shared" si="221"/>
        <v>91.334702258726892</v>
      </c>
      <c r="D1099" s="37">
        <f>IFERROR(VLOOKUP(A1099,Data!$I$3:$J$1442,2),0)</f>
        <v>7.8703185999999994E-2</v>
      </c>
      <c r="E1099" s="37">
        <f t="shared" si="222"/>
        <v>7.8503185999999989E-2</v>
      </c>
      <c r="F1099" s="37">
        <f t="shared" si="227"/>
        <v>7.6927263481474828E-4</v>
      </c>
      <c r="G1099" s="30">
        <f t="shared" si="228"/>
        <v>1393.7914308288448</v>
      </c>
      <c r="H1099" s="38">
        <f t="shared" si="223"/>
        <v>186</v>
      </c>
      <c r="I1099" s="39">
        <f t="shared" si="224"/>
        <v>186.9596167008898</v>
      </c>
      <c r="J1099" s="40">
        <f t="shared" si="225"/>
        <v>91</v>
      </c>
      <c r="K1099" s="43">
        <f>VLOOKUP(J1099,Data!$Z$3:$AA$122,2)</f>
        <v>0</v>
      </c>
      <c r="L1099" s="41">
        <f t="shared" si="226"/>
        <v>0.95961670088979645</v>
      </c>
      <c r="M1099" s="43">
        <f>VLOOKUP(H1099,Data!$P$3:$X$122,9)</f>
        <v>0</v>
      </c>
      <c r="N1099" s="43">
        <f t="shared" si="229"/>
        <v>0</v>
      </c>
      <c r="O1099" s="43">
        <f t="shared" si="230"/>
        <v>0</v>
      </c>
      <c r="P1099" s="30">
        <f t="shared" si="231"/>
        <v>0</v>
      </c>
      <c r="Q1099" s="31">
        <f t="shared" si="233"/>
        <v>848340.75061972369</v>
      </c>
    </row>
    <row r="1100" spans="1:17" x14ac:dyDescent="0.25">
      <c r="A1100" s="6">
        <f t="shared" si="232"/>
        <v>76671</v>
      </c>
      <c r="B1100" s="30">
        <f>IFERROR(VLOOKUP(A1100, Data!$L$3:$N$123, 3),1)*Pension</f>
        <v>1811830.2507465244</v>
      </c>
      <c r="C1100" s="37">
        <f t="shared" si="221"/>
        <v>91.416837782340863</v>
      </c>
      <c r="D1100" s="37">
        <f>IFERROR(VLOOKUP(A1100,Data!$I$3:$J$1442,2),0)</f>
        <v>7.8695367000000002E-2</v>
      </c>
      <c r="E1100" s="37">
        <f t="shared" si="222"/>
        <v>7.8495366999999996E-2</v>
      </c>
      <c r="F1100" s="37">
        <f t="shared" si="227"/>
        <v>7.6487492693704581E-4</v>
      </c>
      <c r="G1100" s="30">
        <f t="shared" si="228"/>
        <v>1385.8235306620772</v>
      </c>
      <c r="H1100" s="38">
        <f t="shared" si="223"/>
        <v>187</v>
      </c>
      <c r="I1100" s="39">
        <f t="shared" si="224"/>
        <v>187.04175222450377</v>
      </c>
      <c r="J1100" s="40">
        <f t="shared" si="225"/>
        <v>92</v>
      </c>
      <c r="K1100" s="43">
        <f>VLOOKUP(J1100,Data!$Z$3:$AA$122,2)</f>
        <v>0</v>
      </c>
      <c r="L1100" s="41">
        <f t="shared" si="226"/>
        <v>4.1752224503767366E-2</v>
      </c>
      <c r="M1100" s="43">
        <f>VLOOKUP(H1100,Data!$P$3:$X$122,9)</f>
        <v>0</v>
      </c>
      <c r="N1100" s="43">
        <f t="shared" si="229"/>
        <v>0</v>
      </c>
      <c r="O1100" s="43">
        <f t="shared" si="230"/>
        <v>0</v>
      </c>
      <c r="P1100" s="30">
        <f t="shared" si="231"/>
        <v>0</v>
      </c>
      <c r="Q1100" s="31">
        <f t="shared" si="233"/>
        <v>848340.75061972369</v>
      </c>
    </row>
    <row r="1101" spans="1:17" x14ac:dyDescent="0.25">
      <c r="A1101" s="6">
        <f t="shared" si="232"/>
        <v>76702</v>
      </c>
      <c r="B1101" s="30">
        <f>IFERROR(VLOOKUP(A1101, Data!$L$3:$N$123, 3),1)*Pension</f>
        <v>1902421.7632838504</v>
      </c>
      <c r="C1101" s="37">
        <f t="shared" si="221"/>
        <v>91.501711156741962</v>
      </c>
      <c r="D1101" s="37">
        <f>IFERROR(VLOOKUP(A1101,Data!$I$3:$J$1442,2),0)</f>
        <v>7.8687301000000001E-2</v>
      </c>
      <c r="E1101" s="37">
        <f t="shared" si="222"/>
        <v>7.8487300999999995E-2</v>
      </c>
      <c r="F1101" s="37">
        <f t="shared" si="227"/>
        <v>7.6035711599957174E-4</v>
      </c>
      <c r="G1101" s="30">
        <f t="shared" si="228"/>
        <v>1446.5199253453284</v>
      </c>
      <c r="H1101" s="38">
        <f t="shared" si="223"/>
        <v>187</v>
      </c>
      <c r="I1101" s="39">
        <f t="shared" si="224"/>
        <v>187.12662559890487</v>
      </c>
      <c r="J1101" s="40">
        <f t="shared" si="225"/>
        <v>92</v>
      </c>
      <c r="K1101" s="43">
        <f>VLOOKUP(J1101,Data!$Z$3:$AA$122,2)</f>
        <v>0</v>
      </c>
      <c r="L1101" s="41">
        <f t="shared" si="226"/>
        <v>0.12662559890486591</v>
      </c>
      <c r="M1101" s="43">
        <f>VLOOKUP(H1101,Data!$P$3:$X$122,9)</f>
        <v>0</v>
      </c>
      <c r="N1101" s="43">
        <f t="shared" si="229"/>
        <v>0</v>
      </c>
      <c r="O1101" s="43">
        <f t="shared" si="230"/>
        <v>0</v>
      </c>
      <c r="P1101" s="30">
        <f t="shared" si="231"/>
        <v>0</v>
      </c>
      <c r="Q1101" s="31">
        <f t="shared" si="233"/>
        <v>848340.75061972369</v>
      </c>
    </row>
    <row r="1102" spans="1:17" x14ac:dyDescent="0.25">
      <c r="A1102" s="6">
        <f t="shared" si="232"/>
        <v>76733</v>
      </c>
      <c r="B1102" s="30">
        <f>IFERROR(VLOOKUP(A1102, Data!$L$3:$N$123, 3),1)*Pension</f>
        <v>1902421.7632838504</v>
      </c>
      <c r="C1102" s="37">
        <f t="shared" si="221"/>
        <v>91.586584531143046</v>
      </c>
      <c r="D1102" s="37">
        <f>IFERROR(VLOOKUP(A1102,Data!$I$3:$J$1442,2),0)</f>
        <v>7.8679251000000006E-2</v>
      </c>
      <c r="E1102" s="37">
        <f t="shared" si="222"/>
        <v>7.8479251E-2</v>
      </c>
      <c r="F1102" s="37">
        <f t="shared" si="227"/>
        <v>7.5586591724787107E-4</v>
      </c>
      <c r="G1102" s="30">
        <f t="shared" si="228"/>
        <v>1437.9757710968597</v>
      </c>
      <c r="H1102" s="38">
        <f t="shared" si="223"/>
        <v>187</v>
      </c>
      <c r="I1102" s="39">
        <f t="shared" si="224"/>
        <v>187.21149897330596</v>
      </c>
      <c r="J1102" s="40">
        <f t="shared" si="225"/>
        <v>92</v>
      </c>
      <c r="K1102" s="43">
        <f>VLOOKUP(J1102,Data!$Z$3:$AA$122,2)</f>
        <v>0</v>
      </c>
      <c r="L1102" s="41">
        <f t="shared" si="226"/>
        <v>0.21149897330596445</v>
      </c>
      <c r="M1102" s="43">
        <f>VLOOKUP(H1102,Data!$P$3:$X$122,9)</f>
        <v>0</v>
      </c>
      <c r="N1102" s="43">
        <f t="shared" si="229"/>
        <v>0</v>
      </c>
      <c r="O1102" s="43">
        <f t="shared" si="230"/>
        <v>0</v>
      </c>
      <c r="P1102" s="30">
        <f t="shared" si="231"/>
        <v>0</v>
      </c>
      <c r="Q1102" s="31">
        <f t="shared" si="233"/>
        <v>848340.75061972369</v>
      </c>
    </row>
    <row r="1103" spans="1:17" x14ac:dyDescent="0.25">
      <c r="A1103" s="6">
        <f t="shared" si="232"/>
        <v>76761</v>
      </c>
      <c r="B1103" s="30">
        <f>IFERROR(VLOOKUP(A1103, Data!$L$3:$N$123, 3),1)*Pension</f>
        <v>1902421.7632838504</v>
      </c>
      <c r="C1103" s="37">
        <f t="shared" si="221"/>
        <v>91.663244353182748</v>
      </c>
      <c r="D1103" s="37">
        <f>IFERROR(VLOOKUP(A1103,Data!$I$3:$J$1442,2),0)</f>
        <v>7.8671992999999996E-2</v>
      </c>
      <c r="E1103" s="37">
        <f t="shared" si="222"/>
        <v>7.847199299999999E-2</v>
      </c>
      <c r="F1103" s="37">
        <f t="shared" si="227"/>
        <v>7.5183214584636734E-4</v>
      </c>
      <c r="G1103" s="30">
        <f t="shared" si="228"/>
        <v>1430.3018365945272</v>
      </c>
      <c r="H1103" s="38">
        <f t="shared" si="223"/>
        <v>187</v>
      </c>
      <c r="I1103" s="39">
        <f t="shared" si="224"/>
        <v>187.28815879534565</v>
      </c>
      <c r="J1103" s="40">
        <f t="shared" si="225"/>
        <v>92</v>
      </c>
      <c r="K1103" s="43">
        <f>VLOOKUP(J1103,Data!$Z$3:$AA$122,2)</f>
        <v>0</v>
      </c>
      <c r="L1103" s="41">
        <f t="shared" si="226"/>
        <v>0.2881587953456517</v>
      </c>
      <c r="M1103" s="43">
        <f>VLOOKUP(H1103,Data!$P$3:$X$122,9)</f>
        <v>0</v>
      </c>
      <c r="N1103" s="43">
        <f t="shared" si="229"/>
        <v>0</v>
      </c>
      <c r="O1103" s="43">
        <f t="shared" si="230"/>
        <v>0</v>
      </c>
      <c r="P1103" s="30">
        <f t="shared" si="231"/>
        <v>0</v>
      </c>
      <c r="Q1103" s="31">
        <f t="shared" si="233"/>
        <v>848340.75061972369</v>
      </c>
    </row>
    <row r="1104" spans="1:17" x14ac:dyDescent="0.25">
      <c r="A1104" s="6">
        <f t="shared" si="232"/>
        <v>76792</v>
      </c>
      <c r="B1104" s="30">
        <f>IFERROR(VLOOKUP(A1104, Data!$L$3:$N$123, 3),1)*Pension</f>
        <v>1902421.7632838504</v>
      </c>
      <c r="C1104" s="37">
        <f t="shared" si="221"/>
        <v>91.748117727583846</v>
      </c>
      <c r="D1104" s="37">
        <f>IFERROR(VLOOKUP(A1104,Data!$I$3:$J$1442,2),0)</f>
        <v>7.8663970999999999E-2</v>
      </c>
      <c r="E1104" s="37">
        <f t="shared" si="222"/>
        <v>7.8463970999999993E-2</v>
      </c>
      <c r="F1104" s="37">
        <f t="shared" si="227"/>
        <v>7.4739132440392628E-4</v>
      </c>
      <c r="G1104" s="30">
        <f t="shared" si="228"/>
        <v>1421.8535212355696</v>
      </c>
      <c r="H1104" s="38">
        <f t="shared" si="223"/>
        <v>187</v>
      </c>
      <c r="I1104" s="39">
        <f t="shared" si="224"/>
        <v>187.37303216974675</v>
      </c>
      <c r="J1104" s="40">
        <f t="shared" si="225"/>
        <v>92</v>
      </c>
      <c r="K1104" s="43">
        <f>VLOOKUP(J1104,Data!$Z$3:$AA$122,2)</f>
        <v>0</v>
      </c>
      <c r="L1104" s="41">
        <f t="shared" si="226"/>
        <v>0.37303216974675024</v>
      </c>
      <c r="M1104" s="43">
        <f>VLOOKUP(H1104,Data!$P$3:$X$122,9)</f>
        <v>0</v>
      </c>
      <c r="N1104" s="43">
        <f t="shared" si="229"/>
        <v>0</v>
      </c>
      <c r="O1104" s="43">
        <f t="shared" si="230"/>
        <v>0</v>
      </c>
      <c r="P1104" s="30">
        <f t="shared" si="231"/>
        <v>0</v>
      </c>
      <c r="Q1104" s="31">
        <f t="shared" si="233"/>
        <v>848340.75061972369</v>
      </c>
    </row>
    <row r="1105" spans="1:17" x14ac:dyDescent="0.25">
      <c r="A1105" s="6">
        <f t="shared" si="232"/>
        <v>76822</v>
      </c>
      <c r="B1105" s="30">
        <f>IFERROR(VLOOKUP(A1105, Data!$L$3:$N$123, 3),1)*Pension</f>
        <v>1902421.7632838504</v>
      </c>
      <c r="C1105" s="37">
        <f t="shared" si="221"/>
        <v>91.830253251197803</v>
      </c>
      <c r="D1105" s="37">
        <f>IFERROR(VLOOKUP(A1105,Data!$I$3:$J$1442,2),0)</f>
        <v>7.8656221999999998E-2</v>
      </c>
      <c r="E1105" s="37">
        <f t="shared" si="222"/>
        <v>7.8456221999999992E-2</v>
      </c>
      <c r="F1105" s="37">
        <f t="shared" si="227"/>
        <v>7.4311872443027398E-4</v>
      </c>
      <c r="G1105" s="30">
        <f t="shared" si="228"/>
        <v>1413.7252340598875</v>
      </c>
      <c r="H1105" s="38">
        <f t="shared" si="223"/>
        <v>187</v>
      </c>
      <c r="I1105" s="39">
        <f t="shared" si="224"/>
        <v>187.45516769336072</v>
      </c>
      <c r="J1105" s="40">
        <f t="shared" si="225"/>
        <v>92</v>
      </c>
      <c r="K1105" s="43">
        <f>VLOOKUP(J1105,Data!$Z$3:$AA$122,2)</f>
        <v>0</v>
      </c>
      <c r="L1105" s="41">
        <f t="shared" si="226"/>
        <v>0.45516769336072116</v>
      </c>
      <c r="M1105" s="43">
        <f>VLOOKUP(H1105,Data!$P$3:$X$122,9)</f>
        <v>0</v>
      </c>
      <c r="N1105" s="43">
        <f t="shared" si="229"/>
        <v>0</v>
      </c>
      <c r="O1105" s="43">
        <f t="shared" si="230"/>
        <v>0</v>
      </c>
      <c r="P1105" s="30">
        <f t="shared" si="231"/>
        <v>0</v>
      </c>
      <c r="Q1105" s="31">
        <f t="shared" si="233"/>
        <v>848340.75061972369</v>
      </c>
    </row>
    <row r="1106" spans="1:17" x14ac:dyDescent="0.25">
      <c r="A1106" s="6">
        <f t="shared" si="232"/>
        <v>76853</v>
      </c>
      <c r="B1106" s="30">
        <f>IFERROR(VLOOKUP(A1106, Data!$L$3:$N$123, 3),1)*Pension</f>
        <v>1902421.7632838504</v>
      </c>
      <c r="C1106" s="37">
        <f t="shared" si="221"/>
        <v>91.915126625598901</v>
      </c>
      <c r="D1106" s="37">
        <f>IFERROR(VLOOKUP(A1106,Data!$I$3:$J$1442,2),0)</f>
        <v>7.8648229E-2</v>
      </c>
      <c r="E1106" s="37">
        <f t="shared" si="222"/>
        <v>7.8448228999999994E-2</v>
      </c>
      <c r="F1106" s="37">
        <f t="shared" si="227"/>
        <v>7.3872937967353375E-4</v>
      </c>
      <c r="G1106" s="30">
        <f t="shared" si="228"/>
        <v>1405.3748490681091</v>
      </c>
      <c r="H1106" s="38">
        <f t="shared" si="223"/>
        <v>187</v>
      </c>
      <c r="I1106" s="39">
        <f t="shared" si="224"/>
        <v>187.54004106776182</v>
      </c>
      <c r="J1106" s="40">
        <f t="shared" si="225"/>
        <v>92</v>
      </c>
      <c r="K1106" s="43">
        <f>VLOOKUP(J1106,Data!$Z$3:$AA$122,2)</f>
        <v>0</v>
      </c>
      <c r="L1106" s="41">
        <f t="shared" si="226"/>
        <v>0.5400410677618197</v>
      </c>
      <c r="M1106" s="43">
        <f>VLOOKUP(H1106,Data!$P$3:$X$122,9)</f>
        <v>0</v>
      </c>
      <c r="N1106" s="43">
        <f t="shared" si="229"/>
        <v>0</v>
      </c>
      <c r="O1106" s="43">
        <f t="shared" si="230"/>
        <v>0</v>
      </c>
      <c r="P1106" s="30">
        <f t="shared" si="231"/>
        <v>0</v>
      </c>
      <c r="Q1106" s="31">
        <f t="shared" si="233"/>
        <v>848340.75061972369</v>
      </c>
    </row>
    <row r="1107" spans="1:17" x14ac:dyDescent="0.25">
      <c r="A1107" s="6">
        <f t="shared" si="232"/>
        <v>76883</v>
      </c>
      <c r="B1107" s="30">
        <f>IFERROR(VLOOKUP(A1107, Data!$L$3:$N$123, 3),1)*Pension</f>
        <v>1902421.7632838504</v>
      </c>
      <c r="C1107" s="37">
        <f t="shared" si="221"/>
        <v>91.997262149212872</v>
      </c>
      <c r="D1107" s="37">
        <f>IFERROR(VLOOKUP(A1107,Data!$I$3:$J$1442,2),0)</f>
        <v>7.8640507999999998E-2</v>
      </c>
      <c r="E1107" s="37">
        <f t="shared" si="222"/>
        <v>7.8440507999999992E-2</v>
      </c>
      <c r="F1107" s="37">
        <f t="shared" si="227"/>
        <v>7.3450630553101868E-4</v>
      </c>
      <c r="G1107" s="30">
        <f t="shared" si="228"/>
        <v>1397.3407809114271</v>
      </c>
      <c r="H1107" s="38">
        <f t="shared" si="223"/>
        <v>187</v>
      </c>
      <c r="I1107" s="39">
        <f t="shared" si="224"/>
        <v>187.62217659137576</v>
      </c>
      <c r="J1107" s="40">
        <f t="shared" si="225"/>
        <v>92</v>
      </c>
      <c r="K1107" s="43">
        <f>VLOOKUP(J1107,Data!$Z$3:$AA$122,2)</f>
        <v>0</v>
      </c>
      <c r="L1107" s="41">
        <f t="shared" si="226"/>
        <v>0.6221765913757622</v>
      </c>
      <c r="M1107" s="43">
        <f>VLOOKUP(H1107,Data!$P$3:$X$122,9)</f>
        <v>0</v>
      </c>
      <c r="N1107" s="43">
        <f t="shared" si="229"/>
        <v>0</v>
      </c>
      <c r="O1107" s="43">
        <f t="shared" si="230"/>
        <v>0</v>
      </c>
      <c r="P1107" s="30">
        <f t="shared" si="231"/>
        <v>0</v>
      </c>
      <c r="Q1107" s="31">
        <f t="shared" si="233"/>
        <v>848340.75061972369</v>
      </c>
    </row>
    <row r="1108" spans="1:17" x14ac:dyDescent="0.25">
      <c r="A1108" s="6">
        <f t="shared" si="232"/>
        <v>76914</v>
      </c>
      <c r="B1108" s="30">
        <f>IFERROR(VLOOKUP(A1108, Data!$L$3:$N$123, 3),1)*Pension</f>
        <v>1902421.7632838504</v>
      </c>
      <c r="C1108" s="37">
        <f t="shared" si="221"/>
        <v>92.082135523613957</v>
      </c>
      <c r="D1108" s="37">
        <f>IFERROR(VLOOKUP(A1108,Data!$I$3:$J$1442,2),0)</f>
        <v>7.8632543999999999E-2</v>
      </c>
      <c r="E1108" s="37">
        <f t="shared" si="222"/>
        <v>7.8432543999999993E-2</v>
      </c>
      <c r="F1108" s="37">
        <f t="shared" si="227"/>
        <v>7.3016783004843525E-4</v>
      </c>
      <c r="G1108" s="30">
        <f t="shared" si="228"/>
        <v>1389.087170733887</v>
      </c>
      <c r="H1108" s="38">
        <f t="shared" si="223"/>
        <v>187</v>
      </c>
      <c r="I1108" s="39">
        <f t="shared" si="224"/>
        <v>187.70704996577686</v>
      </c>
      <c r="J1108" s="40">
        <f t="shared" si="225"/>
        <v>92</v>
      </c>
      <c r="K1108" s="43">
        <f>VLOOKUP(J1108,Data!$Z$3:$AA$122,2)</f>
        <v>0</v>
      </c>
      <c r="L1108" s="41">
        <f t="shared" si="226"/>
        <v>0.70704996577686074</v>
      </c>
      <c r="M1108" s="43">
        <f>VLOOKUP(H1108,Data!$P$3:$X$122,9)</f>
        <v>0</v>
      </c>
      <c r="N1108" s="43">
        <f t="shared" si="229"/>
        <v>0</v>
      </c>
      <c r="O1108" s="43">
        <f t="shared" si="230"/>
        <v>0</v>
      </c>
      <c r="P1108" s="30">
        <f t="shared" si="231"/>
        <v>0</v>
      </c>
      <c r="Q1108" s="31">
        <f t="shared" si="233"/>
        <v>848340.75061972369</v>
      </c>
    </row>
    <row r="1109" spans="1:17" x14ac:dyDescent="0.25">
      <c r="A1109" s="6">
        <f t="shared" si="232"/>
        <v>76945</v>
      </c>
      <c r="B1109" s="30">
        <f>IFERROR(VLOOKUP(A1109, Data!$L$3:$N$123, 3),1)*Pension</f>
        <v>1902421.7632838504</v>
      </c>
      <c r="C1109" s="37">
        <f t="shared" si="221"/>
        <v>92.167008898015055</v>
      </c>
      <c r="D1109" s="37">
        <f>IFERROR(VLOOKUP(A1109,Data!$I$3:$J$1442,2),0)</f>
        <v>7.8624595000000005E-2</v>
      </c>
      <c r="E1109" s="37">
        <f t="shared" si="222"/>
        <v>7.8424595E-2</v>
      </c>
      <c r="F1109" s="37">
        <f t="shared" si="227"/>
        <v>7.2585495820291464E-4</v>
      </c>
      <c r="G1109" s="30">
        <f t="shared" si="228"/>
        <v>1380.8822694727144</v>
      </c>
      <c r="H1109" s="38">
        <f t="shared" si="223"/>
        <v>187</v>
      </c>
      <c r="I1109" s="39">
        <f t="shared" si="224"/>
        <v>187.79192334017796</v>
      </c>
      <c r="J1109" s="40">
        <f t="shared" si="225"/>
        <v>92</v>
      </c>
      <c r="K1109" s="43">
        <f>VLOOKUP(J1109,Data!$Z$3:$AA$122,2)</f>
        <v>0</v>
      </c>
      <c r="L1109" s="41">
        <f t="shared" si="226"/>
        <v>0.79192334017795929</v>
      </c>
      <c r="M1109" s="43">
        <f>VLOOKUP(H1109,Data!$P$3:$X$122,9)</f>
        <v>0</v>
      </c>
      <c r="N1109" s="43">
        <f t="shared" si="229"/>
        <v>0</v>
      </c>
      <c r="O1109" s="43">
        <f t="shared" si="230"/>
        <v>0</v>
      </c>
      <c r="P1109" s="30">
        <f t="shared" si="231"/>
        <v>0</v>
      </c>
      <c r="Q1109" s="31">
        <f t="shared" si="233"/>
        <v>848340.75061972369</v>
      </c>
    </row>
    <row r="1110" spans="1:17" x14ac:dyDescent="0.25">
      <c r="A1110" s="6">
        <f t="shared" si="232"/>
        <v>76975</v>
      </c>
      <c r="B1110" s="30">
        <f>IFERROR(VLOOKUP(A1110, Data!$L$3:$N$123, 3),1)*Pension</f>
        <v>1902421.7632838504</v>
      </c>
      <c r="C1110" s="37">
        <f t="shared" si="221"/>
        <v>92.249144421629026</v>
      </c>
      <c r="D1110" s="37">
        <f>IFERROR(VLOOKUP(A1110,Data!$I$3:$J$1442,2),0)</f>
        <v>7.8616915999999995E-2</v>
      </c>
      <c r="E1110" s="37">
        <f t="shared" si="222"/>
        <v>7.8416915999999989E-2</v>
      </c>
      <c r="F1110" s="37">
        <f t="shared" si="227"/>
        <v>7.2170549122205902E-4</v>
      </c>
      <c r="G1110" s="30">
        <f t="shared" si="228"/>
        <v>1372.9882331823069</v>
      </c>
      <c r="H1110" s="38">
        <f t="shared" si="223"/>
        <v>187</v>
      </c>
      <c r="I1110" s="39">
        <f t="shared" si="224"/>
        <v>187.87405886379193</v>
      </c>
      <c r="J1110" s="40">
        <f t="shared" si="225"/>
        <v>92</v>
      </c>
      <c r="K1110" s="43">
        <f>VLOOKUP(J1110,Data!$Z$3:$AA$122,2)</f>
        <v>0</v>
      </c>
      <c r="L1110" s="41">
        <f t="shared" si="226"/>
        <v>0.87405886379193021</v>
      </c>
      <c r="M1110" s="43">
        <f>VLOOKUP(H1110,Data!$P$3:$X$122,9)</f>
        <v>0</v>
      </c>
      <c r="N1110" s="43">
        <f t="shared" si="229"/>
        <v>0</v>
      </c>
      <c r="O1110" s="43">
        <f t="shared" si="230"/>
        <v>0</v>
      </c>
      <c r="P1110" s="30">
        <f t="shared" si="231"/>
        <v>0</v>
      </c>
      <c r="Q1110" s="31">
        <f t="shared" si="233"/>
        <v>848340.75061972369</v>
      </c>
    </row>
    <row r="1111" spans="1:17" x14ac:dyDescent="0.25">
      <c r="A1111" s="6">
        <f t="shared" si="232"/>
        <v>77006</v>
      </c>
      <c r="B1111" s="30">
        <f>IFERROR(VLOOKUP(A1111, Data!$L$3:$N$123, 3),1)*Pension</f>
        <v>1902421.7632838504</v>
      </c>
      <c r="C1111" s="37">
        <f t="shared" si="221"/>
        <v>92.334017796030111</v>
      </c>
      <c r="D1111" s="37">
        <f>IFERROR(VLOOKUP(A1111,Data!$I$3:$J$1442,2),0)</f>
        <v>7.8608996E-2</v>
      </c>
      <c r="E1111" s="37">
        <f t="shared" si="222"/>
        <v>7.8408995999999995E-2</v>
      </c>
      <c r="F1111" s="37">
        <f t="shared" si="227"/>
        <v>7.174425867257448E-4</v>
      </c>
      <c r="G1111" s="30">
        <f t="shared" si="228"/>
        <v>1364.8783908937182</v>
      </c>
      <c r="H1111" s="38">
        <f t="shared" si="223"/>
        <v>187</v>
      </c>
      <c r="I1111" s="39">
        <f t="shared" si="224"/>
        <v>187.95893223819303</v>
      </c>
      <c r="J1111" s="40">
        <f t="shared" si="225"/>
        <v>92</v>
      </c>
      <c r="K1111" s="43">
        <f>VLOOKUP(J1111,Data!$Z$3:$AA$122,2)</f>
        <v>0</v>
      </c>
      <c r="L1111" s="41">
        <f t="shared" si="226"/>
        <v>0.95893223819302875</v>
      </c>
      <c r="M1111" s="43">
        <f>VLOOKUP(H1111,Data!$P$3:$X$122,9)</f>
        <v>0</v>
      </c>
      <c r="N1111" s="43">
        <f t="shared" si="229"/>
        <v>0</v>
      </c>
      <c r="O1111" s="43">
        <f t="shared" si="230"/>
        <v>0</v>
      </c>
      <c r="P1111" s="30">
        <f t="shared" si="231"/>
        <v>0</v>
      </c>
      <c r="Q1111" s="31">
        <f t="shared" si="233"/>
        <v>848340.75061972369</v>
      </c>
    </row>
    <row r="1112" spans="1:17" x14ac:dyDescent="0.25">
      <c r="A1112" s="6">
        <f t="shared" si="232"/>
        <v>77036</v>
      </c>
      <c r="B1112" s="30">
        <f>IFERROR(VLOOKUP(A1112, Data!$L$3:$N$123, 3),1)*Pension</f>
        <v>1902421.7632838504</v>
      </c>
      <c r="C1112" s="37">
        <f t="shared" si="221"/>
        <v>92.416153319644081</v>
      </c>
      <c r="D1112" s="37">
        <f>IFERROR(VLOOKUP(A1112,Data!$I$3:$J$1442,2),0)</f>
        <v>7.8601345000000003E-2</v>
      </c>
      <c r="E1112" s="37">
        <f t="shared" si="222"/>
        <v>7.8401344999999997E-2</v>
      </c>
      <c r="F1112" s="37">
        <f t="shared" si="227"/>
        <v>7.1334119333282895E-4</v>
      </c>
      <c r="G1112" s="30">
        <f t="shared" si="228"/>
        <v>1357.0758108432465</v>
      </c>
      <c r="H1112" s="38">
        <f t="shared" si="223"/>
        <v>188</v>
      </c>
      <c r="I1112" s="39">
        <f t="shared" si="224"/>
        <v>188.04106776180697</v>
      </c>
      <c r="J1112" s="40">
        <f t="shared" si="225"/>
        <v>93</v>
      </c>
      <c r="K1112" s="43">
        <f>VLOOKUP(J1112,Data!$Z$3:$AA$122,2)</f>
        <v>0</v>
      </c>
      <c r="L1112" s="41">
        <f t="shared" si="226"/>
        <v>4.1067761806971248E-2</v>
      </c>
      <c r="M1112" s="43">
        <f>VLOOKUP(H1112,Data!$P$3:$X$122,9)</f>
        <v>0</v>
      </c>
      <c r="N1112" s="43">
        <f t="shared" si="229"/>
        <v>0</v>
      </c>
      <c r="O1112" s="43">
        <f t="shared" si="230"/>
        <v>0</v>
      </c>
      <c r="P1112" s="30">
        <f t="shared" si="231"/>
        <v>0</v>
      </c>
      <c r="Q1112" s="31">
        <f t="shared" si="233"/>
        <v>848340.75061972369</v>
      </c>
    </row>
    <row r="1113" spans="1:17" x14ac:dyDescent="0.25">
      <c r="A1113" s="6">
        <f t="shared" si="232"/>
        <v>77067</v>
      </c>
      <c r="B1113" s="30">
        <f>IFERROR(VLOOKUP(A1113, Data!$L$3:$N$123, 3),1)*Pension</f>
        <v>1997542.8514480432</v>
      </c>
      <c r="C1113" s="37">
        <f t="shared" si="221"/>
        <v>92.50102669404518</v>
      </c>
      <c r="D1113" s="37">
        <f>IFERROR(VLOOKUP(A1113,Data!$I$3:$J$1442,2),0)</f>
        <v>7.8593452999999994E-2</v>
      </c>
      <c r="E1113" s="37">
        <f t="shared" si="222"/>
        <v>7.8393452999999988E-2</v>
      </c>
      <c r="F1113" s="37">
        <f t="shared" si="227"/>
        <v>7.0912773277883472E-4</v>
      </c>
      <c r="G1113" s="30">
        <f t="shared" si="228"/>
        <v>1416.5130333759196</v>
      </c>
      <c r="H1113" s="38">
        <f t="shared" si="223"/>
        <v>188</v>
      </c>
      <c r="I1113" s="39">
        <f t="shared" si="224"/>
        <v>188.12594113620807</v>
      </c>
      <c r="J1113" s="40">
        <f t="shared" si="225"/>
        <v>93</v>
      </c>
      <c r="K1113" s="43">
        <f>VLOOKUP(J1113,Data!$Z$3:$AA$122,2)</f>
        <v>0</v>
      </c>
      <c r="L1113" s="41">
        <f t="shared" si="226"/>
        <v>0.12594113620806979</v>
      </c>
      <c r="M1113" s="43">
        <f>VLOOKUP(H1113,Data!$P$3:$X$122,9)</f>
        <v>0</v>
      </c>
      <c r="N1113" s="43">
        <f t="shared" si="229"/>
        <v>0</v>
      </c>
      <c r="O1113" s="43">
        <f t="shared" si="230"/>
        <v>0</v>
      </c>
      <c r="P1113" s="30">
        <f t="shared" si="231"/>
        <v>0</v>
      </c>
      <c r="Q1113" s="31">
        <f t="shared" si="233"/>
        <v>848340.75061972369</v>
      </c>
    </row>
    <row r="1114" spans="1:17" x14ac:dyDescent="0.25">
      <c r="A1114" s="6">
        <f t="shared" si="232"/>
        <v>77098</v>
      </c>
      <c r="B1114" s="30">
        <f>IFERROR(VLOOKUP(A1114, Data!$L$3:$N$123, 3),1)*Pension</f>
        <v>1997542.8514480432</v>
      </c>
      <c r="C1114" s="37">
        <f t="shared" si="221"/>
        <v>92.585900068446264</v>
      </c>
      <c r="D1114" s="37">
        <f>IFERROR(VLOOKUP(A1114,Data!$I$3:$J$1442,2),0)</f>
        <v>7.8585575000000005E-2</v>
      </c>
      <c r="E1114" s="37">
        <f t="shared" si="222"/>
        <v>7.8385574999999999E-2</v>
      </c>
      <c r="F1114" s="37">
        <f t="shared" si="227"/>
        <v>7.0493919030570318E-4</v>
      </c>
      <c r="G1114" s="30">
        <f t="shared" si="228"/>
        <v>1408.1462403007292</v>
      </c>
      <c r="H1114" s="38">
        <f t="shared" si="223"/>
        <v>188</v>
      </c>
      <c r="I1114" s="39">
        <f t="shared" si="224"/>
        <v>188.21081451060917</v>
      </c>
      <c r="J1114" s="40">
        <f t="shared" si="225"/>
        <v>93</v>
      </c>
      <c r="K1114" s="43">
        <f>VLOOKUP(J1114,Data!$Z$3:$AA$122,2)</f>
        <v>0</v>
      </c>
      <c r="L1114" s="41">
        <f t="shared" si="226"/>
        <v>0.21081451060916834</v>
      </c>
      <c r="M1114" s="43">
        <f>VLOOKUP(H1114,Data!$P$3:$X$122,9)</f>
        <v>0</v>
      </c>
      <c r="N1114" s="43">
        <f t="shared" si="229"/>
        <v>0</v>
      </c>
      <c r="O1114" s="43">
        <f t="shared" si="230"/>
        <v>0</v>
      </c>
      <c r="P1114" s="30">
        <f t="shared" si="231"/>
        <v>0</v>
      </c>
      <c r="Q1114" s="31">
        <f t="shared" si="233"/>
        <v>848340.75061972369</v>
      </c>
    </row>
    <row r="1115" spans="1:17" x14ac:dyDescent="0.25">
      <c r="A1115" s="6">
        <f t="shared" si="232"/>
        <v>77126</v>
      </c>
      <c r="B1115" s="30">
        <f>IFERROR(VLOOKUP(A1115, Data!$L$3:$N$123, 3),1)*Pension</f>
        <v>1997542.8514480432</v>
      </c>
      <c r="C1115" s="37">
        <f t="shared" si="221"/>
        <v>92.662559890485966</v>
      </c>
      <c r="D1115" s="37">
        <f>IFERROR(VLOOKUP(A1115,Data!$I$3:$J$1442,2),0)</f>
        <v>7.8578472999999996E-2</v>
      </c>
      <c r="E1115" s="37">
        <f t="shared" si="222"/>
        <v>7.837847299999999E-2</v>
      </c>
      <c r="F1115" s="37">
        <f t="shared" si="227"/>
        <v>7.0117718081992759E-4</v>
      </c>
      <c r="G1115" s="30">
        <f t="shared" si="228"/>
        <v>1400.6314651453383</v>
      </c>
      <c r="H1115" s="38">
        <f t="shared" si="223"/>
        <v>188</v>
      </c>
      <c r="I1115" s="39">
        <f t="shared" si="224"/>
        <v>188.28747433264888</v>
      </c>
      <c r="J1115" s="40">
        <f t="shared" si="225"/>
        <v>93</v>
      </c>
      <c r="K1115" s="43">
        <f>VLOOKUP(J1115,Data!$Z$3:$AA$122,2)</f>
        <v>0</v>
      </c>
      <c r="L1115" s="41">
        <f t="shared" si="226"/>
        <v>0.287474332648884</v>
      </c>
      <c r="M1115" s="43">
        <f>VLOOKUP(H1115,Data!$P$3:$X$122,9)</f>
        <v>0</v>
      </c>
      <c r="N1115" s="43">
        <f t="shared" si="229"/>
        <v>0</v>
      </c>
      <c r="O1115" s="43">
        <f t="shared" si="230"/>
        <v>0</v>
      </c>
      <c r="P1115" s="30">
        <f t="shared" si="231"/>
        <v>0</v>
      </c>
      <c r="Q1115" s="31">
        <f t="shared" si="233"/>
        <v>848340.75061972369</v>
      </c>
    </row>
    <row r="1116" spans="1:17" x14ac:dyDescent="0.25">
      <c r="A1116" s="6">
        <f t="shared" si="232"/>
        <v>77157</v>
      </c>
      <c r="B1116" s="30">
        <f>IFERROR(VLOOKUP(A1116, Data!$L$3:$N$123, 3),1)*Pension</f>
        <v>1997542.8514480432</v>
      </c>
      <c r="C1116" s="37">
        <f t="shared" si="221"/>
        <v>92.747433264887064</v>
      </c>
      <c r="D1116" s="37">
        <f>IFERROR(VLOOKUP(A1116,Data!$I$3:$J$1442,2),0)</f>
        <v>7.8570623000000006E-2</v>
      </c>
      <c r="E1116" s="37">
        <f t="shared" si="222"/>
        <v>7.8370623E-2</v>
      </c>
      <c r="F1116" s="37">
        <f t="shared" si="227"/>
        <v>6.9703556225398386E-4</v>
      </c>
      <c r="G1116" s="30">
        <f t="shared" si="228"/>
        <v>1392.358404585513</v>
      </c>
      <c r="H1116" s="38">
        <f t="shared" si="223"/>
        <v>188</v>
      </c>
      <c r="I1116" s="39">
        <f t="shared" si="224"/>
        <v>188.37234770704995</v>
      </c>
      <c r="J1116" s="40">
        <f t="shared" si="225"/>
        <v>93</v>
      </c>
      <c r="K1116" s="43">
        <f>VLOOKUP(J1116,Data!$Z$3:$AA$122,2)</f>
        <v>0</v>
      </c>
      <c r="L1116" s="41">
        <f t="shared" si="226"/>
        <v>0.37234770704995412</v>
      </c>
      <c r="M1116" s="43">
        <f>VLOOKUP(H1116,Data!$P$3:$X$122,9)</f>
        <v>0</v>
      </c>
      <c r="N1116" s="43">
        <f t="shared" si="229"/>
        <v>0</v>
      </c>
      <c r="O1116" s="43">
        <f t="shared" si="230"/>
        <v>0</v>
      </c>
      <c r="P1116" s="30">
        <f t="shared" si="231"/>
        <v>0</v>
      </c>
      <c r="Q1116" s="31">
        <f t="shared" si="233"/>
        <v>848340.75061972369</v>
      </c>
    </row>
    <row r="1117" spans="1:17" x14ac:dyDescent="0.25">
      <c r="A1117" s="6">
        <f t="shared" si="232"/>
        <v>77187</v>
      </c>
      <c r="B1117" s="30">
        <f>IFERROR(VLOOKUP(A1117, Data!$L$3:$N$123, 3),1)*Pension</f>
        <v>1997542.8514480432</v>
      </c>
      <c r="C1117" s="37">
        <f t="shared" si="221"/>
        <v>92.829568788501021</v>
      </c>
      <c r="D1117" s="37">
        <f>IFERROR(VLOOKUP(A1117,Data!$I$3:$J$1442,2),0)</f>
        <v>7.8563040000000001E-2</v>
      </c>
      <c r="E1117" s="37">
        <f t="shared" si="222"/>
        <v>7.8363039999999995E-2</v>
      </c>
      <c r="F1117" s="37">
        <f t="shared" si="227"/>
        <v>6.9305083107061279E-4</v>
      </c>
      <c r="G1117" s="30">
        <f t="shared" si="228"/>
        <v>1384.3987332952279</v>
      </c>
      <c r="H1117" s="38">
        <f t="shared" si="223"/>
        <v>188</v>
      </c>
      <c r="I1117" s="39">
        <f t="shared" si="224"/>
        <v>188.45448323066393</v>
      </c>
      <c r="J1117" s="40">
        <f t="shared" si="225"/>
        <v>93</v>
      </c>
      <c r="K1117" s="43">
        <f>VLOOKUP(J1117,Data!$Z$3:$AA$122,2)</f>
        <v>0</v>
      </c>
      <c r="L1117" s="41">
        <f t="shared" si="226"/>
        <v>0.45448323066392504</v>
      </c>
      <c r="M1117" s="43">
        <f>VLOOKUP(H1117,Data!$P$3:$X$122,9)</f>
        <v>0</v>
      </c>
      <c r="N1117" s="43">
        <f t="shared" si="229"/>
        <v>0</v>
      </c>
      <c r="O1117" s="43">
        <f t="shared" si="230"/>
        <v>0</v>
      </c>
      <c r="P1117" s="30">
        <f t="shared" si="231"/>
        <v>0</v>
      </c>
      <c r="Q1117" s="31">
        <f t="shared" si="233"/>
        <v>848340.75061972369</v>
      </c>
    </row>
    <row r="1118" spans="1:17" x14ac:dyDescent="0.25">
      <c r="A1118" s="6">
        <f t="shared" si="232"/>
        <v>77218</v>
      </c>
      <c r="B1118" s="30">
        <f>IFERROR(VLOOKUP(A1118, Data!$L$3:$N$123, 3),1)*Pension</f>
        <v>1997542.8514480432</v>
      </c>
      <c r="C1118" s="37">
        <f t="shared" si="221"/>
        <v>92.91444216290212</v>
      </c>
      <c r="D1118" s="37">
        <f>IFERROR(VLOOKUP(A1118,Data!$I$3:$J$1442,2),0)</f>
        <v>7.8555217999999996E-2</v>
      </c>
      <c r="E1118" s="37">
        <f t="shared" si="222"/>
        <v>7.835521799999999E-2</v>
      </c>
      <c r="F1118" s="37">
        <f t="shared" si="227"/>
        <v>6.889572254022365E-4</v>
      </c>
      <c r="G1118" s="30">
        <f t="shared" si="228"/>
        <v>1376.2215805557157</v>
      </c>
      <c r="H1118" s="38">
        <f t="shared" si="223"/>
        <v>188</v>
      </c>
      <c r="I1118" s="39">
        <f t="shared" si="224"/>
        <v>188.53935660506502</v>
      </c>
      <c r="J1118" s="40">
        <f t="shared" si="225"/>
        <v>93</v>
      </c>
      <c r="K1118" s="43">
        <f>VLOOKUP(J1118,Data!$Z$3:$AA$122,2)</f>
        <v>0</v>
      </c>
      <c r="L1118" s="41">
        <f t="shared" si="226"/>
        <v>0.53935660506502359</v>
      </c>
      <c r="M1118" s="43">
        <f>VLOOKUP(H1118,Data!$P$3:$X$122,9)</f>
        <v>0</v>
      </c>
      <c r="N1118" s="43">
        <f t="shared" si="229"/>
        <v>0</v>
      </c>
      <c r="O1118" s="43">
        <f t="shared" si="230"/>
        <v>0</v>
      </c>
      <c r="P1118" s="30">
        <f t="shared" si="231"/>
        <v>0</v>
      </c>
      <c r="Q1118" s="31">
        <f t="shared" si="233"/>
        <v>848340.75061972369</v>
      </c>
    </row>
    <row r="1119" spans="1:17" x14ac:dyDescent="0.25">
      <c r="A1119" s="6">
        <f t="shared" si="232"/>
        <v>77248</v>
      </c>
      <c r="B1119" s="30">
        <f>IFERROR(VLOOKUP(A1119, Data!$L$3:$N$123, 3),1)*Pension</f>
        <v>1997542.8514480432</v>
      </c>
      <c r="C1119" s="37">
        <f t="shared" si="221"/>
        <v>92.99657768651609</v>
      </c>
      <c r="D1119" s="37">
        <f>IFERROR(VLOOKUP(A1119,Data!$I$3:$J$1442,2),0)</f>
        <v>7.8547662000000004E-2</v>
      </c>
      <c r="E1119" s="37">
        <f t="shared" si="222"/>
        <v>7.8347661999999998E-2</v>
      </c>
      <c r="F1119" s="37">
        <f t="shared" si="227"/>
        <v>6.8501868976903336E-4</v>
      </c>
      <c r="G1119" s="30">
        <f t="shared" si="228"/>
        <v>1368.3541868564375</v>
      </c>
      <c r="H1119" s="38">
        <f t="shared" si="223"/>
        <v>188</v>
      </c>
      <c r="I1119" s="39">
        <f t="shared" si="224"/>
        <v>188.62149212867899</v>
      </c>
      <c r="J1119" s="40">
        <f t="shared" si="225"/>
        <v>93</v>
      </c>
      <c r="K1119" s="43">
        <f>VLOOKUP(J1119,Data!$Z$3:$AA$122,2)</f>
        <v>0</v>
      </c>
      <c r="L1119" s="41">
        <f t="shared" si="226"/>
        <v>0.6214921286789945</v>
      </c>
      <c r="M1119" s="43">
        <f>VLOOKUP(H1119,Data!$P$3:$X$122,9)</f>
        <v>0</v>
      </c>
      <c r="N1119" s="43">
        <f t="shared" si="229"/>
        <v>0</v>
      </c>
      <c r="O1119" s="43">
        <f t="shared" si="230"/>
        <v>0</v>
      </c>
      <c r="P1119" s="30">
        <f t="shared" si="231"/>
        <v>0</v>
      </c>
      <c r="Q1119" s="31">
        <f t="shared" si="233"/>
        <v>848340.75061972369</v>
      </c>
    </row>
    <row r="1120" spans="1:17" x14ac:dyDescent="0.25">
      <c r="A1120" s="6">
        <f t="shared" si="232"/>
        <v>77279</v>
      </c>
      <c r="B1120" s="30">
        <f>IFERROR(VLOOKUP(A1120, Data!$L$3:$N$123, 3),1)*Pension</f>
        <v>1997542.8514480432</v>
      </c>
      <c r="C1120" s="37">
        <f t="shared" si="221"/>
        <v>93.081451060917175</v>
      </c>
      <c r="D1120" s="37">
        <f>IFERROR(VLOOKUP(A1120,Data!$I$3:$J$1442,2),0)</f>
        <v>7.8539867999999999E-2</v>
      </c>
      <c r="E1120" s="37">
        <f t="shared" si="222"/>
        <v>7.8339867999999993E-2</v>
      </c>
      <c r="F1120" s="37">
        <f t="shared" si="227"/>
        <v>6.8097253068523508E-4</v>
      </c>
      <c r="G1120" s="30">
        <f t="shared" si="228"/>
        <v>1360.2718107027747</v>
      </c>
      <c r="H1120" s="38">
        <f t="shared" si="223"/>
        <v>188</v>
      </c>
      <c r="I1120" s="39">
        <f t="shared" si="224"/>
        <v>188.70636550308009</v>
      </c>
      <c r="J1120" s="40">
        <f t="shared" si="225"/>
        <v>93</v>
      </c>
      <c r="K1120" s="43">
        <f>VLOOKUP(J1120,Data!$Z$3:$AA$122,2)</f>
        <v>0</v>
      </c>
      <c r="L1120" s="41">
        <f t="shared" si="226"/>
        <v>0.70636550308009305</v>
      </c>
      <c r="M1120" s="43">
        <f>VLOOKUP(H1120,Data!$P$3:$X$122,9)</f>
        <v>0</v>
      </c>
      <c r="N1120" s="43">
        <f t="shared" si="229"/>
        <v>0</v>
      </c>
      <c r="O1120" s="43">
        <f t="shared" si="230"/>
        <v>0</v>
      </c>
      <c r="P1120" s="30">
        <f t="shared" si="231"/>
        <v>0</v>
      </c>
      <c r="Q1120" s="31">
        <f t="shared" si="233"/>
        <v>848340.75061972369</v>
      </c>
    </row>
    <row r="1121" spans="1:17" x14ac:dyDescent="0.25">
      <c r="A1121" s="6">
        <f t="shared" si="232"/>
        <v>77310</v>
      </c>
      <c r="B1121" s="30">
        <f>IFERROR(VLOOKUP(A1121, Data!$L$3:$N$123, 3),1)*Pension</f>
        <v>1997542.8514480432</v>
      </c>
      <c r="C1121" s="37">
        <f t="shared" si="221"/>
        <v>93.166324435318273</v>
      </c>
      <c r="D1121" s="37">
        <f>IFERROR(VLOOKUP(A1121,Data!$I$3:$J$1442,2),0)</f>
        <v>7.8532088999999999E-2</v>
      </c>
      <c r="E1121" s="37">
        <f t="shared" si="222"/>
        <v>7.8332088999999994E-2</v>
      </c>
      <c r="F1121" s="37">
        <f t="shared" si="227"/>
        <v>6.7695022038309128E-4</v>
      </c>
      <c r="G1121" s="30">
        <f t="shared" si="228"/>
        <v>1352.2370735124214</v>
      </c>
      <c r="H1121" s="38">
        <f t="shared" si="223"/>
        <v>188</v>
      </c>
      <c r="I1121" s="39">
        <f t="shared" si="224"/>
        <v>188.79123887748116</v>
      </c>
      <c r="J1121" s="40">
        <f t="shared" si="225"/>
        <v>93</v>
      </c>
      <c r="K1121" s="43">
        <f>VLOOKUP(J1121,Data!$Z$3:$AA$122,2)</f>
        <v>0</v>
      </c>
      <c r="L1121" s="41">
        <f t="shared" si="226"/>
        <v>0.79123887748116317</v>
      </c>
      <c r="M1121" s="43">
        <f>VLOOKUP(H1121,Data!$P$3:$X$122,9)</f>
        <v>0</v>
      </c>
      <c r="N1121" s="43">
        <f t="shared" si="229"/>
        <v>0</v>
      </c>
      <c r="O1121" s="43">
        <f t="shared" si="230"/>
        <v>0</v>
      </c>
      <c r="P1121" s="30">
        <f t="shared" si="231"/>
        <v>0</v>
      </c>
      <c r="Q1121" s="31">
        <f t="shared" si="233"/>
        <v>848340.75061972369</v>
      </c>
    </row>
    <row r="1122" spans="1:17" x14ac:dyDescent="0.25">
      <c r="A1122" s="6">
        <f t="shared" si="232"/>
        <v>77340</v>
      </c>
      <c r="B1122" s="30">
        <f>IFERROR(VLOOKUP(A1122, Data!$L$3:$N$123, 3),1)*Pension</f>
        <v>1997542.8514480432</v>
      </c>
      <c r="C1122" s="37">
        <f t="shared" si="221"/>
        <v>93.248459958932244</v>
      </c>
      <c r="D1122" s="37">
        <f>IFERROR(VLOOKUP(A1122,Data!$I$3:$J$1442,2),0)</f>
        <v>7.8524574E-2</v>
      </c>
      <c r="E1122" s="37">
        <f t="shared" si="222"/>
        <v>7.8324573999999994E-2</v>
      </c>
      <c r="F1122" s="37">
        <f t="shared" si="227"/>
        <v>6.7308031110882333E-4</v>
      </c>
      <c r="G1122" s="30">
        <f t="shared" si="228"/>
        <v>1344.506763905855</v>
      </c>
      <c r="H1122" s="38">
        <f t="shared" si="223"/>
        <v>188</v>
      </c>
      <c r="I1122" s="39">
        <f t="shared" si="224"/>
        <v>188.87337440109513</v>
      </c>
      <c r="J1122" s="40">
        <f t="shared" si="225"/>
        <v>93</v>
      </c>
      <c r="K1122" s="43">
        <f>VLOOKUP(J1122,Data!$Z$3:$AA$122,2)</f>
        <v>0</v>
      </c>
      <c r="L1122" s="41">
        <f t="shared" si="226"/>
        <v>0.87337440109513409</v>
      </c>
      <c r="M1122" s="43">
        <f>VLOOKUP(H1122,Data!$P$3:$X$122,9)</f>
        <v>0</v>
      </c>
      <c r="N1122" s="43">
        <f t="shared" si="229"/>
        <v>0</v>
      </c>
      <c r="O1122" s="43">
        <f t="shared" si="230"/>
        <v>0</v>
      </c>
      <c r="P1122" s="30">
        <f t="shared" si="231"/>
        <v>0</v>
      </c>
      <c r="Q1122" s="31">
        <f t="shared" si="233"/>
        <v>848340.75061972369</v>
      </c>
    </row>
    <row r="1123" spans="1:17" x14ac:dyDescent="0.25">
      <c r="A1123" s="6">
        <f t="shared" si="232"/>
        <v>77371</v>
      </c>
      <c r="B1123" s="30">
        <f>IFERROR(VLOOKUP(A1123, Data!$L$3:$N$123, 3),1)*Pension</f>
        <v>1997542.8514480432</v>
      </c>
      <c r="C1123" s="37">
        <f t="shared" si="221"/>
        <v>93.333333333333329</v>
      </c>
      <c r="D1123" s="37">
        <f>IFERROR(VLOOKUP(A1123,Data!$I$3:$J$1442,2),0)</f>
        <v>7.8516822E-2</v>
      </c>
      <c r="E1123" s="37">
        <f t="shared" si="222"/>
        <v>7.8316821999999994E-2</v>
      </c>
      <c r="F1123" s="37">
        <f t="shared" si="227"/>
        <v>6.6910466955959029E-4</v>
      </c>
      <c r="G1123" s="30">
        <f t="shared" si="228"/>
        <v>1336.5652495492648</v>
      </c>
      <c r="H1123" s="38">
        <f t="shared" si="223"/>
        <v>188</v>
      </c>
      <c r="I1123" s="39">
        <f t="shared" si="224"/>
        <v>188.95824777549623</v>
      </c>
      <c r="J1123" s="40">
        <f t="shared" si="225"/>
        <v>93</v>
      </c>
      <c r="K1123" s="43">
        <f>VLOOKUP(J1123,Data!$Z$3:$AA$122,2)</f>
        <v>0</v>
      </c>
      <c r="L1123" s="41">
        <f t="shared" si="226"/>
        <v>0.95824777549623263</v>
      </c>
      <c r="M1123" s="43">
        <f>VLOOKUP(H1123,Data!$P$3:$X$122,9)</f>
        <v>0</v>
      </c>
      <c r="N1123" s="43">
        <f t="shared" si="229"/>
        <v>0</v>
      </c>
      <c r="O1123" s="43">
        <f t="shared" si="230"/>
        <v>0</v>
      </c>
      <c r="P1123" s="30">
        <f t="shared" si="231"/>
        <v>0</v>
      </c>
      <c r="Q1123" s="31">
        <f t="shared" si="233"/>
        <v>848340.75061972369</v>
      </c>
    </row>
    <row r="1124" spans="1:17" x14ac:dyDescent="0.25">
      <c r="A1124" s="6">
        <f t="shared" si="232"/>
        <v>77401</v>
      </c>
      <c r="B1124" s="30">
        <f>IFERROR(VLOOKUP(A1124, Data!$L$3:$N$123, 3),1)*Pension</f>
        <v>1997542.8514480432</v>
      </c>
      <c r="C1124" s="37">
        <f t="shared" si="221"/>
        <v>93.4154688569473</v>
      </c>
      <c r="D1124" s="37">
        <f>IFERROR(VLOOKUP(A1124,Data!$I$3:$J$1442,2),0)</f>
        <v>7.8509334E-2</v>
      </c>
      <c r="E1124" s="37">
        <f t="shared" si="222"/>
        <v>7.8309333999999994E-2</v>
      </c>
      <c r="F1124" s="37">
        <f t="shared" si="227"/>
        <v>6.6527960203583813E-4</v>
      </c>
      <c r="G1124" s="30">
        <f t="shared" si="228"/>
        <v>1328.9245132608876</v>
      </c>
      <c r="H1124" s="38">
        <f t="shared" si="223"/>
        <v>189</v>
      </c>
      <c r="I1124" s="39">
        <f t="shared" si="224"/>
        <v>189.0403832991102</v>
      </c>
      <c r="J1124" s="40">
        <f t="shared" si="225"/>
        <v>94</v>
      </c>
      <c r="K1124" s="43">
        <f>VLOOKUP(J1124,Data!$Z$3:$AA$122,2)</f>
        <v>0</v>
      </c>
      <c r="L1124" s="41">
        <f t="shared" si="226"/>
        <v>4.0383299110203552E-2</v>
      </c>
      <c r="M1124" s="43">
        <f>VLOOKUP(H1124,Data!$P$3:$X$122,9)</f>
        <v>0</v>
      </c>
      <c r="N1124" s="43">
        <f t="shared" si="229"/>
        <v>0</v>
      </c>
      <c r="O1124" s="43">
        <f t="shared" si="230"/>
        <v>0</v>
      </c>
      <c r="P1124" s="30">
        <f t="shared" si="231"/>
        <v>0</v>
      </c>
      <c r="Q1124" s="31">
        <f t="shared" si="233"/>
        <v>848340.75061972369</v>
      </c>
    </row>
    <row r="1125" spans="1:17" x14ac:dyDescent="0.25">
      <c r="A1125" s="6">
        <f t="shared" si="232"/>
        <v>77432</v>
      </c>
      <c r="B1125" s="30">
        <f>IFERROR(VLOOKUP(A1125, Data!$L$3:$N$123, 3),1)*Pension</f>
        <v>2097419.9940204448</v>
      </c>
      <c r="C1125" s="37">
        <f t="shared" si="221"/>
        <v>93.500342231348398</v>
      </c>
      <c r="D1125" s="37">
        <f>IFERROR(VLOOKUP(A1125,Data!$I$3:$J$1442,2),0)</f>
        <v>7.8501609999999999E-2</v>
      </c>
      <c r="E1125" s="37">
        <f t="shared" si="222"/>
        <v>7.8301609999999994E-2</v>
      </c>
      <c r="F1125" s="37">
        <f t="shared" si="227"/>
        <v>6.6135001668364243E-4</v>
      </c>
      <c r="G1125" s="30">
        <f t="shared" si="228"/>
        <v>1387.1287480380263</v>
      </c>
      <c r="H1125" s="38">
        <f t="shared" si="223"/>
        <v>189</v>
      </c>
      <c r="I1125" s="39">
        <f t="shared" si="224"/>
        <v>189.1252566735113</v>
      </c>
      <c r="J1125" s="40">
        <f t="shared" si="225"/>
        <v>94</v>
      </c>
      <c r="K1125" s="43">
        <f>VLOOKUP(J1125,Data!$Z$3:$AA$122,2)</f>
        <v>0</v>
      </c>
      <c r="L1125" s="41">
        <f t="shared" si="226"/>
        <v>0.1252566735113021</v>
      </c>
      <c r="M1125" s="43">
        <f>VLOOKUP(H1125,Data!$P$3:$X$122,9)</f>
        <v>0</v>
      </c>
      <c r="N1125" s="43">
        <f t="shared" si="229"/>
        <v>0</v>
      </c>
      <c r="O1125" s="43">
        <f t="shared" si="230"/>
        <v>0</v>
      </c>
      <c r="P1125" s="30">
        <f t="shared" si="231"/>
        <v>0</v>
      </c>
      <c r="Q1125" s="31">
        <f t="shared" si="233"/>
        <v>848340.75061972369</v>
      </c>
    </row>
    <row r="1126" spans="1:17" x14ac:dyDescent="0.25">
      <c r="A1126" s="6">
        <f t="shared" si="232"/>
        <v>77463</v>
      </c>
      <c r="B1126" s="30">
        <f>IFERROR(VLOOKUP(A1126, Data!$L$3:$N$123, 3),1)*Pension</f>
        <v>2097419.9940204448</v>
      </c>
      <c r="C1126" s="37">
        <f t="shared" si="221"/>
        <v>93.585215605749482</v>
      </c>
      <c r="D1126" s="37">
        <f>IFERROR(VLOOKUP(A1126,Data!$I$3:$J$1442,2),0)</f>
        <v>7.8493900000000005E-2</v>
      </c>
      <c r="E1126" s="37">
        <f t="shared" si="222"/>
        <v>7.82939E-2</v>
      </c>
      <c r="F1126" s="37">
        <f t="shared" si="227"/>
        <v>6.5744364269722548E-4</v>
      </c>
      <c r="G1126" s="30">
        <f t="shared" si="228"/>
        <v>1378.935441134794</v>
      </c>
      <c r="H1126" s="38">
        <f t="shared" si="223"/>
        <v>189</v>
      </c>
      <c r="I1126" s="39">
        <f t="shared" si="224"/>
        <v>189.2101300479124</v>
      </c>
      <c r="J1126" s="40">
        <f t="shared" si="225"/>
        <v>94</v>
      </c>
      <c r="K1126" s="43">
        <f>VLOOKUP(J1126,Data!$Z$3:$AA$122,2)</f>
        <v>0</v>
      </c>
      <c r="L1126" s="41">
        <f t="shared" si="226"/>
        <v>0.21013004791240064</v>
      </c>
      <c r="M1126" s="43">
        <f>VLOOKUP(H1126,Data!$P$3:$X$122,9)</f>
        <v>0</v>
      </c>
      <c r="N1126" s="43">
        <f t="shared" si="229"/>
        <v>0</v>
      </c>
      <c r="O1126" s="43">
        <f t="shared" si="230"/>
        <v>0</v>
      </c>
      <c r="P1126" s="30">
        <f t="shared" si="231"/>
        <v>0</v>
      </c>
      <c r="Q1126" s="31">
        <f t="shared" si="233"/>
        <v>848340.75061972369</v>
      </c>
    </row>
    <row r="1127" spans="1:17" x14ac:dyDescent="0.25">
      <c r="A1127" s="6">
        <f t="shared" si="232"/>
        <v>77492</v>
      </c>
      <c r="B1127" s="30">
        <f>IFERROR(VLOOKUP(A1127, Data!$L$3:$N$123, 3),1)*Pension</f>
        <v>2097419.9940204448</v>
      </c>
      <c r="C1127" s="37">
        <f t="shared" si="221"/>
        <v>93.664613278576311</v>
      </c>
      <c r="D1127" s="37">
        <f>IFERROR(VLOOKUP(A1127,Data!$I$3:$J$1442,2),0)</f>
        <v>7.8486700000000006E-2</v>
      </c>
      <c r="E1127" s="37">
        <f t="shared" si="222"/>
        <v>7.8286700000000001E-2</v>
      </c>
      <c r="F1127" s="37">
        <f t="shared" si="227"/>
        <v>6.5381018845285239E-4</v>
      </c>
      <c r="G1127" s="30">
        <f t="shared" si="228"/>
        <v>1371.3145615552876</v>
      </c>
      <c r="H1127" s="38">
        <f t="shared" si="223"/>
        <v>189</v>
      </c>
      <c r="I1127" s="39">
        <f t="shared" si="224"/>
        <v>189.28952772073922</v>
      </c>
      <c r="J1127" s="40">
        <f t="shared" si="225"/>
        <v>94</v>
      </c>
      <c r="K1127" s="43">
        <f>VLOOKUP(J1127,Data!$Z$3:$AA$122,2)</f>
        <v>0</v>
      </c>
      <c r="L1127" s="41">
        <f t="shared" si="226"/>
        <v>0.28952772073921551</v>
      </c>
      <c r="M1127" s="43">
        <f>VLOOKUP(H1127,Data!$P$3:$X$122,9)</f>
        <v>0</v>
      </c>
      <c r="N1127" s="43">
        <f t="shared" si="229"/>
        <v>0</v>
      </c>
      <c r="O1127" s="43">
        <f t="shared" si="230"/>
        <v>0</v>
      </c>
      <c r="P1127" s="30">
        <f t="shared" si="231"/>
        <v>0</v>
      </c>
      <c r="Q1127" s="31">
        <f t="shared" si="233"/>
        <v>848340.75061972369</v>
      </c>
    </row>
    <row r="1128" spans="1:17" x14ac:dyDescent="0.25">
      <c r="A1128" s="6">
        <f t="shared" si="232"/>
        <v>77523</v>
      </c>
      <c r="B1128" s="30">
        <f>IFERROR(VLOOKUP(A1128, Data!$L$3:$N$123, 3),1)*Pension</f>
        <v>2097419.9940204448</v>
      </c>
      <c r="C1128" s="37">
        <f t="shared" si="221"/>
        <v>93.74948665297741</v>
      </c>
      <c r="D1128" s="37">
        <f>IFERROR(VLOOKUP(A1128,Data!$I$3:$J$1442,2),0)</f>
        <v>7.8479016999999998E-2</v>
      </c>
      <c r="E1128" s="37">
        <f t="shared" si="222"/>
        <v>7.8279016999999992E-2</v>
      </c>
      <c r="F1128" s="37">
        <f t="shared" si="227"/>
        <v>6.4994835020837133E-4</v>
      </c>
      <c r="G1128" s="30">
        <f t="shared" si="228"/>
        <v>1363.2146648076402</v>
      </c>
      <c r="H1128" s="38">
        <f t="shared" si="223"/>
        <v>189</v>
      </c>
      <c r="I1128" s="39">
        <f t="shared" si="224"/>
        <v>189.37440109514031</v>
      </c>
      <c r="J1128" s="40">
        <f t="shared" si="225"/>
        <v>94</v>
      </c>
      <c r="K1128" s="43">
        <f>VLOOKUP(J1128,Data!$Z$3:$AA$122,2)</f>
        <v>0</v>
      </c>
      <c r="L1128" s="41">
        <f t="shared" si="226"/>
        <v>0.37440109514031406</v>
      </c>
      <c r="M1128" s="43">
        <f>VLOOKUP(H1128,Data!$P$3:$X$122,9)</f>
        <v>0</v>
      </c>
      <c r="N1128" s="43">
        <f t="shared" si="229"/>
        <v>0</v>
      </c>
      <c r="O1128" s="43">
        <f t="shared" si="230"/>
        <v>0</v>
      </c>
      <c r="P1128" s="30">
        <f t="shared" si="231"/>
        <v>0</v>
      </c>
      <c r="Q1128" s="31">
        <f t="shared" si="233"/>
        <v>848340.75061972369</v>
      </c>
    </row>
    <row r="1129" spans="1:17" x14ac:dyDescent="0.25">
      <c r="A1129" s="6">
        <f t="shared" si="232"/>
        <v>77553</v>
      </c>
      <c r="B1129" s="30">
        <f>IFERROR(VLOOKUP(A1129, Data!$L$3:$N$123, 3),1)*Pension</f>
        <v>2097419.9940204448</v>
      </c>
      <c r="C1129" s="37">
        <f t="shared" si="221"/>
        <v>93.831622176591381</v>
      </c>
      <c r="D1129" s="37">
        <f>IFERROR(VLOOKUP(A1129,Data!$I$3:$J$1442,2),0)</f>
        <v>7.8471595000000005E-2</v>
      </c>
      <c r="E1129" s="37">
        <f t="shared" si="222"/>
        <v>7.8271594999999999E-2</v>
      </c>
      <c r="F1129" s="37">
        <f t="shared" si="227"/>
        <v>6.4623281188014021E-4</v>
      </c>
      <c r="G1129" s="30">
        <f t="shared" si="228"/>
        <v>1355.4216204294589</v>
      </c>
      <c r="H1129" s="38">
        <f t="shared" si="223"/>
        <v>189</v>
      </c>
      <c r="I1129" s="39">
        <f t="shared" si="224"/>
        <v>189.45653661875428</v>
      </c>
      <c r="J1129" s="40">
        <f t="shared" si="225"/>
        <v>94</v>
      </c>
      <c r="K1129" s="43">
        <f>VLOOKUP(J1129,Data!$Z$3:$AA$122,2)</f>
        <v>0</v>
      </c>
      <c r="L1129" s="41">
        <f t="shared" si="226"/>
        <v>0.45653661875428497</v>
      </c>
      <c r="M1129" s="43">
        <f>VLOOKUP(H1129,Data!$P$3:$X$122,9)</f>
        <v>0</v>
      </c>
      <c r="N1129" s="43">
        <f t="shared" si="229"/>
        <v>0</v>
      </c>
      <c r="O1129" s="43">
        <f t="shared" si="230"/>
        <v>0</v>
      </c>
      <c r="P1129" s="30">
        <f t="shared" si="231"/>
        <v>0</v>
      </c>
      <c r="Q1129" s="31">
        <f t="shared" si="233"/>
        <v>848340.75061972369</v>
      </c>
    </row>
    <row r="1130" spans="1:17" x14ac:dyDescent="0.25">
      <c r="A1130" s="6">
        <f t="shared" si="232"/>
        <v>77584</v>
      </c>
      <c r="B1130" s="30">
        <f>IFERROR(VLOOKUP(A1130, Data!$L$3:$N$123, 3),1)*Pension</f>
        <v>2097419.9940204448</v>
      </c>
      <c r="C1130" s="37">
        <f t="shared" si="221"/>
        <v>93.916495550992465</v>
      </c>
      <c r="D1130" s="37">
        <f>IFERROR(VLOOKUP(A1130,Data!$I$3:$J$1442,2),0)</f>
        <v>7.8463939999999996E-2</v>
      </c>
      <c r="E1130" s="37">
        <f t="shared" si="222"/>
        <v>7.826393999999999E-2</v>
      </c>
      <c r="F1130" s="37">
        <f t="shared" si="227"/>
        <v>6.4241568921752151E-4</v>
      </c>
      <c r="G1130" s="30">
        <f t="shared" si="228"/>
        <v>1347.415511037254</v>
      </c>
      <c r="H1130" s="38">
        <f t="shared" si="223"/>
        <v>189</v>
      </c>
      <c r="I1130" s="39">
        <f t="shared" si="224"/>
        <v>189.54140999315538</v>
      </c>
      <c r="J1130" s="40">
        <f t="shared" si="225"/>
        <v>94</v>
      </c>
      <c r="K1130" s="43">
        <f>VLOOKUP(J1130,Data!$Z$3:$AA$122,2)</f>
        <v>0</v>
      </c>
      <c r="L1130" s="41">
        <f t="shared" si="226"/>
        <v>0.54140999315538352</v>
      </c>
      <c r="M1130" s="43">
        <f>VLOOKUP(H1130,Data!$P$3:$X$122,9)</f>
        <v>0</v>
      </c>
      <c r="N1130" s="43">
        <f t="shared" si="229"/>
        <v>0</v>
      </c>
      <c r="O1130" s="43">
        <f t="shared" si="230"/>
        <v>0</v>
      </c>
      <c r="P1130" s="30">
        <f t="shared" si="231"/>
        <v>0</v>
      </c>
      <c r="Q1130" s="31">
        <f t="shared" si="233"/>
        <v>848340.75061972369</v>
      </c>
    </row>
    <row r="1131" spans="1:17" x14ac:dyDescent="0.25">
      <c r="A1131" s="6">
        <f t="shared" si="232"/>
        <v>77614</v>
      </c>
      <c r="B1131" s="30">
        <f>IFERROR(VLOOKUP(A1131, Data!$L$3:$N$123, 3),1)*Pension</f>
        <v>2097419.9940204448</v>
      </c>
      <c r="C1131" s="37">
        <f t="shared" si="221"/>
        <v>93.998631074606436</v>
      </c>
      <c r="D1131" s="37">
        <f>IFERROR(VLOOKUP(A1131,Data!$I$3:$J$1442,2),0)</f>
        <v>7.8456544000000003E-2</v>
      </c>
      <c r="E1131" s="37">
        <f t="shared" si="222"/>
        <v>7.8256543999999997E-2</v>
      </c>
      <c r="F1131" s="37">
        <f t="shared" si="227"/>
        <v>6.3874323427871968E-4</v>
      </c>
      <c r="G1131" s="30">
        <f t="shared" si="228"/>
        <v>1339.7128306214718</v>
      </c>
      <c r="H1131" s="38">
        <f t="shared" si="223"/>
        <v>189</v>
      </c>
      <c r="I1131" s="39">
        <f t="shared" si="224"/>
        <v>189.62354551676933</v>
      </c>
      <c r="J1131" s="40">
        <f t="shared" si="225"/>
        <v>94</v>
      </c>
      <c r="K1131" s="43">
        <f>VLOOKUP(J1131,Data!$Z$3:$AA$122,2)</f>
        <v>0</v>
      </c>
      <c r="L1131" s="41">
        <f t="shared" si="226"/>
        <v>0.62354551676932601</v>
      </c>
      <c r="M1131" s="43">
        <f>VLOOKUP(H1131,Data!$P$3:$X$122,9)</f>
        <v>0</v>
      </c>
      <c r="N1131" s="43">
        <f t="shared" si="229"/>
        <v>0</v>
      </c>
      <c r="O1131" s="43">
        <f t="shared" si="230"/>
        <v>0</v>
      </c>
      <c r="P1131" s="30">
        <f t="shared" si="231"/>
        <v>0</v>
      </c>
      <c r="Q1131" s="31">
        <f t="shared" si="233"/>
        <v>848340.75061972369</v>
      </c>
    </row>
    <row r="1132" spans="1:17" x14ac:dyDescent="0.25">
      <c r="A1132" s="6">
        <f t="shared" si="232"/>
        <v>77645</v>
      </c>
      <c r="B1132" s="30">
        <f>IFERROR(VLOOKUP(A1132, Data!$L$3:$N$123, 3),1)*Pension</f>
        <v>2097419.9940204448</v>
      </c>
      <c r="C1132" s="37">
        <f t="shared" si="221"/>
        <v>94.083504449007535</v>
      </c>
      <c r="D1132" s="37">
        <f>IFERROR(VLOOKUP(A1132,Data!$I$3:$J$1442,2),0)</f>
        <v>7.8448915999999994E-2</v>
      </c>
      <c r="E1132" s="37">
        <f t="shared" si="222"/>
        <v>7.8248915999999988E-2</v>
      </c>
      <c r="F1132" s="37">
        <f t="shared" si="227"/>
        <v>6.3497036045104076E-4</v>
      </c>
      <c r="G1132" s="30">
        <f t="shared" si="228"/>
        <v>1331.7995296203817</v>
      </c>
      <c r="H1132" s="38">
        <f t="shared" si="223"/>
        <v>189</v>
      </c>
      <c r="I1132" s="39">
        <f t="shared" si="224"/>
        <v>189.70841889117042</v>
      </c>
      <c r="J1132" s="40">
        <f t="shared" si="225"/>
        <v>94</v>
      </c>
      <c r="K1132" s="43">
        <f>VLOOKUP(J1132,Data!$Z$3:$AA$122,2)</f>
        <v>0</v>
      </c>
      <c r="L1132" s="41">
        <f t="shared" si="226"/>
        <v>0.70841889117042456</v>
      </c>
      <c r="M1132" s="43">
        <f>VLOOKUP(H1132,Data!$P$3:$X$122,9)</f>
        <v>0</v>
      </c>
      <c r="N1132" s="43">
        <f t="shared" si="229"/>
        <v>0</v>
      </c>
      <c r="O1132" s="43">
        <f t="shared" si="230"/>
        <v>0</v>
      </c>
      <c r="P1132" s="30">
        <f t="shared" si="231"/>
        <v>0</v>
      </c>
      <c r="Q1132" s="31">
        <f t="shared" si="233"/>
        <v>848340.75061972369</v>
      </c>
    </row>
    <row r="1133" spans="1:17" x14ac:dyDescent="0.25">
      <c r="A1133" s="6">
        <f t="shared" si="232"/>
        <v>77676</v>
      </c>
      <c r="B1133" s="30">
        <f>IFERROR(VLOOKUP(A1133, Data!$L$3:$N$123, 3),1)*Pension</f>
        <v>2097419.9940204448</v>
      </c>
      <c r="C1133" s="37">
        <f t="shared" si="221"/>
        <v>94.168377823408619</v>
      </c>
      <c r="D1133" s="37">
        <f>IFERROR(VLOOKUP(A1133,Data!$I$3:$J$1442,2),0)</f>
        <v>7.8441301000000005E-2</v>
      </c>
      <c r="E1133" s="37">
        <f t="shared" si="222"/>
        <v>7.8241300999999999E-2</v>
      </c>
      <c r="F1133" s="37">
        <f t="shared" si="227"/>
        <v>6.3121981650025567E-4</v>
      </c>
      <c r="G1133" s="30">
        <f t="shared" si="228"/>
        <v>1323.9330637495525</v>
      </c>
      <c r="H1133" s="38">
        <f t="shared" si="223"/>
        <v>189</v>
      </c>
      <c r="I1133" s="39">
        <f t="shared" si="224"/>
        <v>189.79329226557152</v>
      </c>
      <c r="J1133" s="40">
        <f t="shared" si="225"/>
        <v>94</v>
      </c>
      <c r="K1133" s="43">
        <f>VLOOKUP(J1133,Data!$Z$3:$AA$122,2)</f>
        <v>0</v>
      </c>
      <c r="L1133" s="41">
        <f t="shared" si="226"/>
        <v>0.7932922655715231</v>
      </c>
      <c r="M1133" s="43">
        <f>VLOOKUP(H1133,Data!$P$3:$X$122,9)</f>
        <v>0</v>
      </c>
      <c r="N1133" s="43">
        <f t="shared" si="229"/>
        <v>0</v>
      </c>
      <c r="O1133" s="43">
        <f t="shared" si="230"/>
        <v>0</v>
      </c>
      <c r="P1133" s="30">
        <f t="shared" si="231"/>
        <v>0</v>
      </c>
      <c r="Q1133" s="31">
        <f t="shared" si="233"/>
        <v>848340.75061972369</v>
      </c>
    </row>
    <row r="1134" spans="1:17" x14ac:dyDescent="0.25">
      <c r="A1134" s="6">
        <f t="shared" si="232"/>
        <v>77706</v>
      </c>
      <c r="B1134" s="30">
        <f>IFERROR(VLOOKUP(A1134, Data!$L$3:$N$123, 3),1)*Pension</f>
        <v>2097419.9940204448</v>
      </c>
      <c r="C1134" s="37">
        <f t="shared" si="221"/>
        <v>94.25051334702259</v>
      </c>
      <c r="D1134" s="37">
        <f>IFERROR(VLOOKUP(A1134,Data!$I$3:$J$1442,2),0)</f>
        <v>7.8433945000000005E-2</v>
      </c>
      <c r="E1134" s="37">
        <f t="shared" si="222"/>
        <v>7.8233944999999999E-2</v>
      </c>
      <c r="F1134" s="37">
        <f t="shared" si="227"/>
        <v>6.2761133436546384E-4</v>
      </c>
      <c r="G1134" s="30">
        <f t="shared" si="228"/>
        <v>1316.3645611719746</v>
      </c>
      <c r="H1134" s="38">
        <f t="shared" si="223"/>
        <v>189</v>
      </c>
      <c r="I1134" s="39">
        <f t="shared" si="224"/>
        <v>189.87542778918549</v>
      </c>
      <c r="J1134" s="40">
        <f t="shared" si="225"/>
        <v>94</v>
      </c>
      <c r="K1134" s="43">
        <f>VLOOKUP(J1134,Data!$Z$3:$AA$122,2)</f>
        <v>0</v>
      </c>
      <c r="L1134" s="41">
        <f t="shared" si="226"/>
        <v>0.87542778918549402</v>
      </c>
      <c r="M1134" s="43">
        <f>VLOOKUP(H1134,Data!$P$3:$X$122,9)</f>
        <v>0</v>
      </c>
      <c r="N1134" s="43">
        <f t="shared" si="229"/>
        <v>0</v>
      </c>
      <c r="O1134" s="43">
        <f t="shared" si="230"/>
        <v>0</v>
      </c>
      <c r="P1134" s="30">
        <f t="shared" si="231"/>
        <v>0</v>
      </c>
      <c r="Q1134" s="31">
        <f t="shared" si="233"/>
        <v>848340.75061972369</v>
      </c>
    </row>
    <row r="1135" spans="1:17" x14ac:dyDescent="0.25">
      <c r="A1135" s="6">
        <f t="shared" si="232"/>
        <v>77737</v>
      </c>
      <c r="B1135" s="30">
        <f>IFERROR(VLOOKUP(A1135, Data!$L$3:$N$123, 3),1)*Pension</f>
        <v>2097419.9940204448</v>
      </c>
      <c r="C1135" s="37">
        <f t="shared" si="221"/>
        <v>94.335386721423689</v>
      </c>
      <c r="D1135" s="37">
        <f>IFERROR(VLOOKUP(A1135,Data!$I$3:$J$1442,2),0)</f>
        <v>7.8426357000000002E-2</v>
      </c>
      <c r="E1135" s="37">
        <f t="shared" si="222"/>
        <v>7.8226356999999996E-2</v>
      </c>
      <c r="F1135" s="37">
        <f t="shared" si="227"/>
        <v>6.2390425466585903E-4</v>
      </c>
      <c r="G1135" s="30">
        <f t="shared" si="228"/>
        <v>1308.5892580905961</v>
      </c>
      <c r="H1135" s="38">
        <f t="shared" si="223"/>
        <v>189</v>
      </c>
      <c r="I1135" s="39">
        <f t="shared" si="224"/>
        <v>189.96030116358659</v>
      </c>
      <c r="J1135" s="40">
        <f t="shared" si="225"/>
        <v>94</v>
      </c>
      <c r="K1135" s="43">
        <f>VLOOKUP(J1135,Data!$Z$3:$AA$122,2)</f>
        <v>0</v>
      </c>
      <c r="L1135" s="41">
        <f t="shared" si="226"/>
        <v>0.96030116358659257</v>
      </c>
      <c r="M1135" s="43">
        <f>VLOOKUP(H1135,Data!$P$3:$X$122,9)</f>
        <v>0</v>
      </c>
      <c r="N1135" s="43">
        <f t="shared" si="229"/>
        <v>0</v>
      </c>
      <c r="O1135" s="43">
        <f t="shared" si="230"/>
        <v>0</v>
      </c>
      <c r="P1135" s="30">
        <f t="shared" si="231"/>
        <v>0</v>
      </c>
      <c r="Q1135" s="31">
        <f t="shared" si="233"/>
        <v>848340.75061972369</v>
      </c>
    </row>
    <row r="1136" spans="1:17" x14ac:dyDescent="0.25">
      <c r="A1136" s="6">
        <f t="shared" si="232"/>
        <v>77767</v>
      </c>
      <c r="B1136" s="30">
        <f>IFERROR(VLOOKUP(A1136, Data!$L$3:$N$123, 3),1)*Pension</f>
        <v>2097419.9940204448</v>
      </c>
      <c r="C1136" s="37">
        <f t="shared" si="221"/>
        <v>94.417522245037645</v>
      </c>
      <c r="D1136" s="37">
        <f>IFERROR(VLOOKUP(A1136,Data!$I$3:$J$1442,2),0)</f>
        <v>7.8419027000000002E-2</v>
      </c>
      <c r="E1136" s="37">
        <f t="shared" si="222"/>
        <v>7.8219026999999997E-2</v>
      </c>
      <c r="F1136" s="37">
        <f t="shared" si="227"/>
        <v>6.2033759394148388E-4</v>
      </c>
      <c r="G1136" s="30">
        <f t="shared" si="228"/>
        <v>1301.1084725754042</v>
      </c>
      <c r="H1136" s="38">
        <f t="shared" si="223"/>
        <v>190</v>
      </c>
      <c r="I1136" s="39">
        <f t="shared" si="224"/>
        <v>190.04243668720054</v>
      </c>
      <c r="J1136" s="40">
        <f t="shared" si="225"/>
        <v>95</v>
      </c>
      <c r="K1136" s="43">
        <f>VLOOKUP(J1136,Data!$Z$3:$AA$122,2)</f>
        <v>0</v>
      </c>
      <c r="L1136" s="41">
        <f t="shared" si="226"/>
        <v>4.2436687200535061E-2</v>
      </c>
      <c r="M1136" s="43">
        <f>VLOOKUP(H1136,Data!$P$3:$X$122,9)</f>
        <v>0</v>
      </c>
      <c r="N1136" s="43">
        <f t="shared" si="229"/>
        <v>0</v>
      </c>
      <c r="O1136" s="43">
        <f t="shared" si="230"/>
        <v>0</v>
      </c>
      <c r="P1136" s="30">
        <f t="shared" si="231"/>
        <v>0</v>
      </c>
      <c r="Q1136" s="31">
        <f t="shared" si="233"/>
        <v>848340.75061972369</v>
      </c>
    </row>
    <row r="1137" spans="1:17" x14ac:dyDescent="0.25">
      <c r="A1137" s="6">
        <f t="shared" si="232"/>
        <v>77798</v>
      </c>
      <c r="B1137" s="30">
        <f>IFERROR(VLOOKUP(A1137, Data!$L$3:$N$123, 3),1)*Pension</f>
        <v>2202290.9937214679</v>
      </c>
      <c r="C1137" s="37">
        <f t="shared" si="221"/>
        <v>94.502395619438744</v>
      </c>
      <c r="D1137" s="37">
        <f>IFERROR(VLOOKUP(A1137,Data!$I$3:$J$1442,2),0)</f>
        <v>7.8411465999999999E-2</v>
      </c>
      <c r="E1137" s="37">
        <f t="shared" si="222"/>
        <v>7.8211465999999993E-2</v>
      </c>
      <c r="F1137" s="37">
        <f t="shared" si="227"/>
        <v>6.1667346647272425E-4</v>
      </c>
      <c r="G1137" s="30">
        <f t="shared" si="228"/>
        <v>1358.0944212798781</v>
      </c>
      <c r="H1137" s="38">
        <f t="shared" si="223"/>
        <v>190</v>
      </c>
      <c r="I1137" s="39">
        <f t="shared" si="224"/>
        <v>190.12731006160163</v>
      </c>
      <c r="J1137" s="40">
        <f t="shared" si="225"/>
        <v>95</v>
      </c>
      <c r="K1137" s="43">
        <f>VLOOKUP(J1137,Data!$Z$3:$AA$122,2)</f>
        <v>0</v>
      </c>
      <c r="L1137" s="41">
        <f t="shared" si="226"/>
        <v>0.12731006160163361</v>
      </c>
      <c r="M1137" s="43">
        <f>VLOOKUP(H1137,Data!$P$3:$X$122,9)</f>
        <v>0</v>
      </c>
      <c r="N1137" s="43">
        <f t="shared" si="229"/>
        <v>0</v>
      </c>
      <c r="O1137" s="43">
        <f t="shared" si="230"/>
        <v>0</v>
      </c>
      <c r="P1137" s="30">
        <f t="shared" si="231"/>
        <v>0</v>
      </c>
      <c r="Q1137" s="31">
        <f t="shared" si="233"/>
        <v>848340.75061972369</v>
      </c>
    </row>
    <row r="1138" spans="1:17" x14ac:dyDescent="0.25">
      <c r="A1138" s="6">
        <f t="shared" si="232"/>
        <v>77829</v>
      </c>
      <c r="B1138" s="30">
        <f>IFERROR(VLOOKUP(A1138, Data!$L$3:$N$123, 3),1)*Pension</f>
        <v>2202290.9937214679</v>
      </c>
      <c r="C1138" s="37">
        <f t="shared" si="221"/>
        <v>94.587268993839842</v>
      </c>
      <c r="D1138" s="37">
        <f>IFERROR(VLOOKUP(A1138,Data!$I$3:$J$1442,2),0)</f>
        <v>7.8403919000000002E-2</v>
      </c>
      <c r="E1138" s="37">
        <f t="shared" si="222"/>
        <v>7.8203918999999997E-2</v>
      </c>
      <c r="F1138" s="37">
        <f t="shared" si="227"/>
        <v>6.1303095679283428E-4</v>
      </c>
      <c r="G1138" s="30">
        <f t="shared" si="228"/>
        <v>1350.0725550173133</v>
      </c>
      <c r="H1138" s="38">
        <f t="shared" si="223"/>
        <v>190</v>
      </c>
      <c r="I1138" s="39">
        <f t="shared" si="224"/>
        <v>190.21218343600273</v>
      </c>
      <c r="J1138" s="40">
        <f t="shared" si="225"/>
        <v>95</v>
      </c>
      <c r="K1138" s="43">
        <f>VLOOKUP(J1138,Data!$Z$3:$AA$122,2)</f>
        <v>0</v>
      </c>
      <c r="L1138" s="41">
        <f t="shared" si="226"/>
        <v>0.21218343600273215</v>
      </c>
      <c r="M1138" s="43">
        <f>VLOOKUP(H1138,Data!$P$3:$X$122,9)</f>
        <v>0</v>
      </c>
      <c r="N1138" s="43">
        <f t="shared" si="229"/>
        <v>0</v>
      </c>
      <c r="O1138" s="43">
        <f t="shared" si="230"/>
        <v>0</v>
      </c>
      <c r="P1138" s="30">
        <f t="shared" si="231"/>
        <v>0</v>
      </c>
      <c r="Q1138" s="31">
        <f t="shared" si="233"/>
        <v>848340.75061972369</v>
      </c>
    </row>
    <row r="1139" spans="1:17" x14ac:dyDescent="0.25">
      <c r="A1139" s="6">
        <f t="shared" si="232"/>
        <v>77857</v>
      </c>
      <c r="B1139" s="30">
        <f>IFERROR(VLOOKUP(A1139, Data!$L$3:$N$123, 3),1)*Pension</f>
        <v>2202290.9937214679</v>
      </c>
      <c r="C1139" s="37">
        <f t="shared" si="221"/>
        <v>94.66392881587953</v>
      </c>
      <c r="D1139" s="37">
        <f>IFERROR(VLOOKUP(A1139,Data!$I$3:$J$1442,2),0)</f>
        <v>7.8397113000000004E-2</v>
      </c>
      <c r="E1139" s="37">
        <f t="shared" si="222"/>
        <v>7.8197112999999999E-2</v>
      </c>
      <c r="F1139" s="37">
        <f t="shared" si="227"/>
        <v>6.0975950133813244E-4</v>
      </c>
      <c r="G1139" s="30">
        <f t="shared" si="228"/>
        <v>1342.8678581330623</v>
      </c>
      <c r="H1139" s="38">
        <f t="shared" si="223"/>
        <v>190</v>
      </c>
      <c r="I1139" s="39">
        <f t="shared" si="224"/>
        <v>190.28884325804245</v>
      </c>
      <c r="J1139" s="40">
        <f t="shared" si="225"/>
        <v>95</v>
      </c>
      <c r="K1139" s="43">
        <f>VLOOKUP(J1139,Data!$Z$3:$AA$122,2)</f>
        <v>0</v>
      </c>
      <c r="L1139" s="41">
        <f t="shared" si="226"/>
        <v>0.28884325804244781</v>
      </c>
      <c r="M1139" s="43">
        <f>VLOOKUP(H1139,Data!$P$3:$X$122,9)</f>
        <v>0</v>
      </c>
      <c r="N1139" s="43">
        <f t="shared" si="229"/>
        <v>0</v>
      </c>
      <c r="O1139" s="43">
        <f t="shared" si="230"/>
        <v>0</v>
      </c>
      <c r="P1139" s="30">
        <f t="shared" si="231"/>
        <v>0</v>
      </c>
      <c r="Q1139" s="31">
        <f t="shared" si="233"/>
        <v>848340.75061972369</v>
      </c>
    </row>
    <row r="1140" spans="1:17" x14ac:dyDescent="0.25">
      <c r="A1140" s="6">
        <f t="shared" si="232"/>
        <v>77888</v>
      </c>
      <c r="B1140" s="30">
        <f>IFERROR(VLOOKUP(A1140, Data!$L$3:$N$123, 3),1)*Pension</f>
        <v>2202290.9937214679</v>
      </c>
      <c r="C1140" s="37">
        <f t="shared" si="221"/>
        <v>94.748802190280628</v>
      </c>
      <c r="D1140" s="37">
        <f>IFERROR(VLOOKUP(A1140,Data!$I$3:$J$1442,2),0)</f>
        <v>7.8389591999999994E-2</v>
      </c>
      <c r="E1140" s="37">
        <f t="shared" si="222"/>
        <v>7.8189591999999988E-2</v>
      </c>
      <c r="F1140" s="37">
        <f t="shared" si="227"/>
        <v>6.0615781455128652E-4</v>
      </c>
      <c r="G1140" s="30">
        <f t="shared" si="228"/>
        <v>1334.935895760186</v>
      </c>
      <c r="H1140" s="38">
        <f t="shared" si="223"/>
        <v>190</v>
      </c>
      <c r="I1140" s="39">
        <f t="shared" si="224"/>
        <v>190.37371663244352</v>
      </c>
      <c r="J1140" s="40">
        <f t="shared" si="225"/>
        <v>95</v>
      </c>
      <c r="K1140" s="43">
        <f>VLOOKUP(J1140,Data!$Z$3:$AA$122,2)</f>
        <v>0</v>
      </c>
      <c r="L1140" s="41">
        <f t="shared" si="226"/>
        <v>0.37371663244351794</v>
      </c>
      <c r="M1140" s="43">
        <f>VLOOKUP(H1140,Data!$P$3:$X$122,9)</f>
        <v>0</v>
      </c>
      <c r="N1140" s="43">
        <f t="shared" si="229"/>
        <v>0</v>
      </c>
      <c r="O1140" s="43">
        <f t="shared" si="230"/>
        <v>0</v>
      </c>
      <c r="P1140" s="30">
        <f t="shared" si="231"/>
        <v>0</v>
      </c>
      <c r="Q1140" s="31">
        <f t="shared" si="233"/>
        <v>848340.75061972369</v>
      </c>
    </row>
    <row r="1141" spans="1:17" x14ac:dyDescent="0.25">
      <c r="A1141" s="6">
        <f t="shared" si="232"/>
        <v>77918</v>
      </c>
      <c r="B1141" s="30">
        <f>IFERROR(VLOOKUP(A1141, Data!$L$3:$N$123, 3),1)*Pension</f>
        <v>2202290.9937214679</v>
      </c>
      <c r="C1141" s="37">
        <f t="shared" si="221"/>
        <v>94.830937713894599</v>
      </c>
      <c r="D1141" s="37">
        <f>IFERROR(VLOOKUP(A1141,Data!$I$3:$J$1442,2),0)</f>
        <v>7.8382325000000003E-2</v>
      </c>
      <c r="E1141" s="37">
        <f t="shared" si="222"/>
        <v>7.8182324999999997E-2</v>
      </c>
      <c r="F1141" s="37">
        <f t="shared" si="227"/>
        <v>6.0269265016219876E-4</v>
      </c>
      <c r="G1141" s="30">
        <f t="shared" si="228"/>
        <v>1327.3045954343338</v>
      </c>
      <c r="H1141" s="38">
        <f t="shared" si="223"/>
        <v>190</v>
      </c>
      <c r="I1141" s="39">
        <f t="shared" si="224"/>
        <v>190.45585215605749</v>
      </c>
      <c r="J1141" s="40">
        <f t="shared" si="225"/>
        <v>95</v>
      </c>
      <c r="K1141" s="43">
        <f>VLOOKUP(J1141,Data!$Z$3:$AA$122,2)</f>
        <v>0</v>
      </c>
      <c r="L1141" s="41">
        <f t="shared" si="226"/>
        <v>0.45585215605748886</v>
      </c>
      <c r="M1141" s="43">
        <f>VLOOKUP(H1141,Data!$P$3:$X$122,9)</f>
        <v>0</v>
      </c>
      <c r="N1141" s="43">
        <f t="shared" si="229"/>
        <v>0</v>
      </c>
      <c r="O1141" s="43">
        <f t="shared" si="230"/>
        <v>0</v>
      </c>
      <c r="P1141" s="30">
        <f t="shared" si="231"/>
        <v>0</v>
      </c>
      <c r="Q1141" s="31">
        <f t="shared" si="233"/>
        <v>848340.75061972369</v>
      </c>
    </row>
    <row r="1142" spans="1:17" x14ac:dyDescent="0.25">
      <c r="A1142" s="6">
        <f t="shared" si="232"/>
        <v>77949</v>
      </c>
      <c r="B1142" s="30">
        <f>IFERROR(VLOOKUP(A1142, Data!$L$3:$N$123, 3),1)*Pension</f>
        <v>2202290.9937214679</v>
      </c>
      <c r="C1142" s="37">
        <f t="shared" si="221"/>
        <v>94.915811088295683</v>
      </c>
      <c r="D1142" s="37">
        <f>IFERROR(VLOOKUP(A1142,Data!$I$3:$J$1442,2),0)</f>
        <v>7.8374830000000006E-2</v>
      </c>
      <c r="E1142" s="37">
        <f t="shared" si="222"/>
        <v>7.8174830000000001E-2</v>
      </c>
      <c r="F1142" s="37">
        <f t="shared" si="227"/>
        <v>5.9913273136549166E-4</v>
      </c>
      <c r="G1142" s="30">
        <f t="shared" si="228"/>
        <v>1319.464618329966</v>
      </c>
      <c r="H1142" s="38">
        <f t="shared" si="223"/>
        <v>190</v>
      </c>
      <c r="I1142" s="39">
        <f t="shared" si="224"/>
        <v>190.54072553045859</v>
      </c>
      <c r="J1142" s="40">
        <f t="shared" si="225"/>
        <v>95</v>
      </c>
      <c r="K1142" s="43">
        <f>VLOOKUP(J1142,Data!$Z$3:$AA$122,2)</f>
        <v>0</v>
      </c>
      <c r="L1142" s="41">
        <f t="shared" si="226"/>
        <v>0.5407255304585874</v>
      </c>
      <c r="M1142" s="43">
        <f>VLOOKUP(H1142,Data!$P$3:$X$122,9)</f>
        <v>0</v>
      </c>
      <c r="N1142" s="43">
        <f t="shared" si="229"/>
        <v>0</v>
      </c>
      <c r="O1142" s="43">
        <f t="shared" si="230"/>
        <v>0</v>
      </c>
      <c r="P1142" s="30">
        <f t="shared" si="231"/>
        <v>0</v>
      </c>
      <c r="Q1142" s="31">
        <f t="shared" si="233"/>
        <v>848340.75061972369</v>
      </c>
    </row>
    <row r="1143" spans="1:17" x14ac:dyDescent="0.25">
      <c r="A1143" s="6">
        <f t="shared" si="232"/>
        <v>77979</v>
      </c>
      <c r="B1143" s="30">
        <f>IFERROR(VLOOKUP(A1143, Data!$L$3:$N$123, 3),1)*Pension</f>
        <v>2202290.9937214679</v>
      </c>
      <c r="C1143" s="37">
        <f t="shared" si="221"/>
        <v>94.997946611909654</v>
      </c>
      <c r="D1143" s="37">
        <f>IFERROR(VLOOKUP(A1143,Data!$I$3:$J$1442,2),0)</f>
        <v>7.8367590000000001E-2</v>
      </c>
      <c r="E1143" s="37">
        <f t="shared" si="222"/>
        <v>7.8167589999999995E-2</v>
      </c>
      <c r="F1143" s="37">
        <f t="shared" si="227"/>
        <v>5.9570764390940595E-4</v>
      </c>
      <c r="G1143" s="30">
        <f t="shared" si="228"/>
        <v>1311.9215790727201</v>
      </c>
      <c r="H1143" s="38">
        <f t="shared" si="223"/>
        <v>190</v>
      </c>
      <c r="I1143" s="39">
        <f t="shared" si="224"/>
        <v>190.62286105407256</v>
      </c>
      <c r="J1143" s="40">
        <f t="shared" si="225"/>
        <v>95</v>
      </c>
      <c r="K1143" s="43">
        <f>VLOOKUP(J1143,Data!$Z$3:$AA$122,2)</f>
        <v>0</v>
      </c>
      <c r="L1143" s="41">
        <f t="shared" si="226"/>
        <v>0.62286105407255832</v>
      </c>
      <c r="M1143" s="43">
        <f>VLOOKUP(H1143,Data!$P$3:$X$122,9)</f>
        <v>0</v>
      </c>
      <c r="N1143" s="43">
        <f t="shared" si="229"/>
        <v>0</v>
      </c>
      <c r="O1143" s="43">
        <f t="shared" si="230"/>
        <v>0</v>
      </c>
      <c r="P1143" s="30">
        <f t="shared" si="231"/>
        <v>0</v>
      </c>
      <c r="Q1143" s="31">
        <f t="shared" si="233"/>
        <v>848340.75061972369</v>
      </c>
    </row>
    <row r="1144" spans="1:17" x14ac:dyDescent="0.25">
      <c r="A1144" s="6">
        <f t="shared" si="232"/>
        <v>78010</v>
      </c>
      <c r="B1144" s="30">
        <f>IFERROR(VLOOKUP(A1144, Data!$L$3:$N$123, 3),1)*Pension</f>
        <v>2202290.9937214679</v>
      </c>
      <c r="C1144" s="37">
        <f t="shared" si="221"/>
        <v>95.082819986310753</v>
      </c>
      <c r="D1144" s="37">
        <f>IFERROR(VLOOKUP(A1144,Data!$I$3:$J$1442,2),0)</f>
        <v>7.8360121000000005E-2</v>
      </c>
      <c r="E1144" s="37">
        <f t="shared" si="222"/>
        <v>7.8160120999999999E-2</v>
      </c>
      <c r="F1144" s="37">
        <f t="shared" si="227"/>
        <v>5.9218900125771411E-4</v>
      </c>
      <c r="G1144" s="30">
        <f t="shared" si="228"/>
        <v>1304.1725040507749</v>
      </c>
      <c r="H1144" s="38">
        <f t="shared" si="223"/>
        <v>190</v>
      </c>
      <c r="I1144" s="39">
        <f t="shared" si="224"/>
        <v>190.70773442847366</v>
      </c>
      <c r="J1144" s="40">
        <f t="shared" si="225"/>
        <v>95</v>
      </c>
      <c r="K1144" s="43">
        <f>VLOOKUP(J1144,Data!$Z$3:$AA$122,2)</f>
        <v>0</v>
      </c>
      <c r="L1144" s="41">
        <f t="shared" si="226"/>
        <v>0.70773442847365686</v>
      </c>
      <c r="M1144" s="43">
        <f>VLOOKUP(H1144,Data!$P$3:$X$122,9)</f>
        <v>0</v>
      </c>
      <c r="N1144" s="43">
        <f t="shared" si="229"/>
        <v>0</v>
      </c>
      <c r="O1144" s="43">
        <f t="shared" si="230"/>
        <v>0</v>
      </c>
      <c r="P1144" s="30">
        <f t="shared" si="231"/>
        <v>0</v>
      </c>
      <c r="Q1144" s="31">
        <f t="shared" si="233"/>
        <v>848340.75061972369</v>
      </c>
    </row>
    <row r="1145" spans="1:17" x14ac:dyDescent="0.25">
      <c r="A1145" s="6">
        <f t="shared" si="232"/>
        <v>78041</v>
      </c>
      <c r="B1145" s="30">
        <f>IFERROR(VLOOKUP(A1145, Data!$L$3:$N$123, 3),1)*Pension</f>
        <v>2202290.9937214679</v>
      </c>
      <c r="C1145" s="37">
        <f t="shared" si="221"/>
        <v>95.167693360711837</v>
      </c>
      <c r="D1145" s="37">
        <f>IFERROR(VLOOKUP(A1145,Data!$I$3:$J$1442,2),0)</f>
        <v>7.8352665000000002E-2</v>
      </c>
      <c r="E1145" s="37">
        <f t="shared" si="222"/>
        <v>7.8152664999999996E-2</v>
      </c>
      <c r="F1145" s="37">
        <f t="shared" si="227"/>
        <v>5.88691160081014E-4</v>
      </c>
      <c r="G1145" s="30">
        <f t="shared" si="228"/>
        <v>1296.4692399298601</v>
      </c>
      <c r="H1145" s="38">
        <f t="shared" si="223"/>
        <v>190</v>
      </c>
      <c r="I1145" s="39">
        <f t="shared" si="224"/>
        <v>190.79260780287476</v>
      </c>
      <c r="J1145" s="40">
        <f t="shared" si="225"/>
        <v>95</v>
      </c>
      <c r="K1145" s="43">
        <f>VLOOKUP(J1145,Data!$Z$3:$AA$122,2)</f>
        <v>0</v>
      </c>
      <c r="L1145" s="41">
        <f t="shared" si="226"/>
        <v>0.79260780287475541</v>
      </c>
      <c r="M1145" s="43">
        <f>VLOOKUP(H1145,Data!$P$3:$X$122,9)</f>
        <v>0</v>
      </c>
      <c r="N1145" s="43">
        <f t="shared" si="229"/>
        <v>0</v>
      </c>
      <c r="O1145" s="43">
        <f t="shared" si="230"/>
        <v>0</v>
      </c>
      <c r="P1145" s="30">
        <f t="shared" si="231"/>
        <v>0</v>
      </c>
      <c r="Q1145" s="31">
        <f t="shared" si="233"/>
        <v>848340.75061972369</v>
      </c>
    </row>
    <row r="1146" spans="1:17" x14ac:dyDescent="0.25">
      <c r="A1146" s="6">
        <f t="shared" si="232"/>
        <v>78071</v>
      </c>
      <c r="B1146" s="30">
        <f>IFERROR(VLOOKUP(A1146, Data!$L$3:$N$123, 3),1)*Pension</f>
        <v>2202290.9937214679</v>
      </c>
      <c r="C1146" s="37">
        <f t="shared" si="221"/>
        <v>95.249828884325808</v>
      </c>
      <c r="D1146" s="37">
        <f>IFERROR(VLOOKUP(A1146,Data!$I$3:$J$1442,2),0)</f>
        <v>7.8345463000000004E-2</v>
      </c>
      <c r="E1146" s="37">
        <f t="shared" si="222"/>
        <v>7.8145462999999998E-2</v>
      </c>
      <c r="F1146" s="37">
        <f t="shared" si="227"/>
        <v>5.8532577883648222E-4</v>
      </c>
      <c r="G1146" s="30">
        <f t="shared" si="228"/>
        <v>1289.0576911245885</v>
      </c>
      <c r="H1146" s="38">
        <f t="shared" si="223"/>
        <v>190</v>
      </c>
      <c r="I1146" s="39">
        <f t="shared" si="224"/>
        <v>190.8747433264887</v>
      </c>
      <c r="J1146" s="40">
        <f t="shared" si="225"/>
        <v>95</v>
      </c>
      <c r="K1146" s="43">
        <f>VLOOKUP(J1146,Data!$Z$3:$AA$122,2)</f>
        <v>0</v>
      </c>
      <c r="L1146" s="41">
        <f t="shared" si="226"/>
        <v>0.8747433264886979</v>
      </c>
      <c r="M1146" s="43">
        <f>VLOOKUP(H1146,Data!$P$3:$X$122,9)</f>
        <v>0</v>
      </c>
      <c r="N1146" s="43">
        <f t="shared" si="229"/>
        <v>0</v>
      </c>
      <c r="O1146" s="43">
        <f t="shared" si="230"/>
        <v>0</v>
      </c>
      <c r="P1146" s="30">
        <f t="shared" si="231"/>
        <v>0</v>
      </c>
      <c r="Q1146" s="31">
        <f t="shared" si="233"/>
        <v>848340.75061972369</v>
      </c>
    </row>
    <row r="1147" spans="1:17" x14ac:dyDescent="0.25">
      <c r="A1147" s="6">
        <f t="shared" si="232"/>
        <v>78102</v>
      </c>
      <c r="B1147" s="30">
        <f>IFERROR(VLOOKUP(A1147, Data!$L$3:$N$123, 3),1)*Pension</f>
        <v>2202290.9937214679</v>
      </c>
      <c r="C1147" s="37">
        <f t="shared" si="221"/>
        <v>95.334702258726892</v>
      </c>
      <c r="D1147" s="37">
        <f>IFERROR(VLOOKUP(A1147,Data!$I$3:$J$1442,2),0)</f>
        <v>7.8338033000000001E-2</v>
      </c>
      <c r="E1147" s="37">
        <f t="shared" si="222"/>
        <v>7.8138032999999996E-2</v>
      </c>
      <c r="F1147" s="37">
        <f t="shared" si="227"/>
        <v>5.8186848233555673E-4</v>
      </c>
      <c r="G1147" s="30">
        <f t="shared" si="228"/>
        <v>1281.4437181779756</v>
      </c>
      <c r="H1147" s="38">
        <f t="shared" si="223"/>
        <v>190</v>
      </c>
      <c r="I1147" s="39">
        <f t="shared" si="224"/>
        <v>190.9596167008898</v>
      </c>
      <c r="J1147" s="40">
        <f t="shared" si="225"/>
        <v>95</v>
      </c>
      <c r="K1147" s="43">
        <f>VLOOKUP(J1147,Data!$Z$3:$AA$122,2)</f>
        <v>0</v>
      </c>
      <c r="L1147" s="41">
        <f t="shared" si="226"/>
        <v>0.95961670088979645</v>
      </c>
      <c r="M1147" s="43">
        <f>VLOOKUP(H1147,Data!$P$3:$X$122,9)</f>
        <v>0</v>
      </c>
      <c r="N1147" s="43">
        <f t="shared" si="229"/>
        <v>0</v>
      </c>
      <c r="O1147" s="43">
        <f t="shared" si="230"/>
        <v>0</v>
      </c>
      <c r="P1147" s="30">
        <f t="shared" si="231"/>
        <v>0</v>
      </c>
      <c r="Q1147" s="31">
        <f t="shared" si="233"/>
        <v>848340.75061972369</v>
      </c>
    </row>
    <row r="1148" spans="1:17" x14ac:dyDescent="0.25">
      <c r="A1148" s="6">
        <f t="shared" si="232"/>
        <v>78132</v>
      </c>
      <c r="B1148" s="30">
        <f>IFERROR(VLOOKUP(A1148, Data!$L$3:$N$123, 3),1)*Pension</f>
        <v>2202290.9937214679</v>
      </c>
      <c r="C1148" s="37">
        <f t="shared" si="221"/>
        <v>95.416837782340863</v>
      </c>
      <c r="D1148" s="37">
        <f>IFERROR(VLOOKUP(A1148,Data!$I$3:$J$1442,2),0)</f>
        <v>7.8330856000000004E-2</v>
      </c>
      <c r="E1148" s="37">
        <f t="shared" si="222"/>
        <v>7.8130855999999999E-2</v>
      </c>
      <c r="F1148" s="37">
        <f t="shared" si="227"/>
        <v>5.7854211551328528E-4</v>
      </c>
      <c r="G1148" s="30">
        <f t="shared" si="228"/>
        <v>1274.1180904834732</v>
      </c>
      <c r="H1148" s="38">
        <f t="shared" si="223"/>
        <v>191</v>
      </c>
      <c r="I1148" s="39">
        <f t="shared" si="224"/>
        <v>191.04175222450377</v>
      </c>
      <c r="J1148" s="40">
        <f t="shared" si="225"/>
        <v>96</v>
      </c>
      <c r="K1148" s="43">
        <f>VLOOKUP(J1148,Data!$Z$3:$AA$122,2)</f>
        <v>0</v>
      </c>
      <c r="L1148" s="41">
        <f t="shared" si="226"/>
        <v>4.1752224503767366E-2</v>
      </c>
      <c r="M1148" s="43">
        <f>VLOOKUP(H1148,Data!$P$3:$X$122,9)</f>
        <v>0</v>
      </c>
      <c r="N1148" s="43">
        <f t="shared" si="229"/>
        <v>0</v>
      </c>
      <c r="O1148" s="43">
        <f t="shared" si="230"/>
        <v>0</v>
      </c>
      <c r="P1148" s="30">
        <f t="shared" si="231"/>
        <v>0</v>
      </c>
      <c r="Q1148" s="31">
        <f t="shared" si="233"/>
        <v>848340.75061972369</v>
      </c>
    </row>
    <row r="1149" spans="1:17" x14ac:dyDescent="0.25">
      <c r="A1149" s="6">
        <f t="shared" si="232"/>
        <v>78163</v>
      </c>
      <c r="B1149" s="30">
        <f>IFERROR(VLOOKUP(A1149, Data!$L$3:$N$123, 3),1)*Pension</f>
        <v>2312405.5434075408</v>
      </c>
      <c r="C1149" s="37">
        <f t="shared" si="221"/>
        <v>95.501711156741962</v>
      </c>
      <c r="D1149" s="37">
        <f>IFERROR(VLOOKUP(A1149,Data!$I$3:$J$1442,2),0)</f>
        <v>7.8323452000000002E-2</v>
      </c>
      <c r="E1149" s="37">
        <f t="shared" si="222"/>
        <v>7.8123451999999996E-2</v>
      </c>
      <c r="F1149" s="37">
        <f t="shared" si="227"/>
        <v>5.7512488613506516E-4</v>
      </c>
      <c r="G1149" s="30">
        <f t="shared" si="228"/>
        <v>1329.9219748503554</v>
      </c>
      <c r="H1149" s="38">
        <f t="shared" si="223"/>
        <v>191</v>
      </c>
      <c r="I1149" s="39">
        <f t="shared" si="224"/>
        <v>191.12662559890487</v>
      </c>
      <c r="J1149" s="40">
        <f t="shared" si="225"/>
        <v>96</v>
      </c>
      <c r="K1149" s="43">
        <f>VLOOKUP(J1149,Data!$Z$3:$AA$122,2)</f>
        <v>0</v>
      </c>
      <c r="L1149" s="41">
        <f t="shared" si="226"/>
        <v>0.12662559890486591</v>
      </c>
      <c r="M1149" s="43">
        <f>VLOOKUP(H1149,Data!$P$3:$X$122,9)</f>
        <v>0</v>
      </c>
      <c r="N1149" s="43">
        <f t="shared" si="229"/>
        <v>0</v>
      </c>
      <c r="O1149" s="43">
        <f t="shared" si="230"/>
        <v>0</v>
      </c>
      <c r="P1149" s="30">
        <f t="shared" si="231"/>
        <v>0</v>
      </c>
      <c r="Q1149" s="31">
        <f t="shared" si="233"/>
        <v>848340.75061972369</v>
      </c>
    </row>
    <row r="1150" spans="1:17" x14ac:dyDescent="0.25">
      <c r="A1150" s="6">
        <f t="shared" si="232"/>
        <v>78194</v>
      </c>
      <c r="B1150" s="30">
        <f>IFERROR(VLOOKUP(A1150, Data!$L$3:$N$123, 3),1)*Pension</f>
        <v>2312405.5434075408</v>
      </c>
      <c r="C1150" s="37">
        <f t="shared" si="221"/>
        <v>95.586584531143046</v>
      </c>
      <c r="D1150" s="37">
        <f>IFERROR(VLOOKUP(A1150,Data!$I$3:$J$1442,2),0)</f>
        <v>7.8316062000000006E-2</v>
      </c>
      <c r="E1150" s="37">
        <f t="shared" si="222"/>
        <v>7.8116062E-2</v>
      </c>
      <c r="F1150" s="37">
        <f t="shared" si="227"/>
        <v>5.7172779449504209E-4</v>
      </c>
      <c r="G1150" s="30">
        <f t="shared" si="228"/>
        <v>1322.0665213105026</v>
      </c>
      <c r="H1150" s="38">
        <f t="shared" si="223"/>
        <v>191</v>
      </c>
      <c r="I1150" s="39">
        <f t="shared" si="224"/>
        <v>191.21149897330596</v>
      </c>
      <c r="J1150" s="40">
        <f t="shared" si="225"/>
        <v>96</v>
      </c>
      <c r="K1150" s="43">
        <f>VLOOKUP(J1150,Data!$Z$3:$AA$122,2)</f>
        <v>0</v>
      </c>
      <c r="L1150" s="41">
        <f t="shared" si="226"/>
        <v>0.21149897330596445</v>
      </c>
      <c r="M1150" s="43">
        <f>VLOOKUP(H1150,Data!$P$3:$X$122,9)</f>
        <v>0</v>
      </c>
      <c r="N1150" s="43">
        <f t="shared" si="229"/>
        <v>0</v>
      </c>
      <c r="O1150" s="43">
        <f t="shared" si="230"/>
        <v>0</v>
      </c>
      <c r="P1150" s="30">
        <f t="shared" si="231"/>
        <v>0</v>
      </c>
      <c r="Q1150" s="31">
        <f t="shared" si="233"/>
        <v>848340.75061972369</v>
      </c>
    </row>
    <row r="1151" spans="1:17" x14ac:dyDescent="0.25">
      <c r="A1151" s="6">
        <f t="shared" si="232"/>
        <v>78222</v>
      </c>
      <c r="B1151" s="30">
        <f>IFERROR(VLOOKUP(A1151, Data!$L$3:$N$123, 3),1)*Pension</f>
        <v>2312405.5434075408</v>
      </c>
      <c r="C1151" s="37">
        <f t="shared" si="221"/>
        <v>95.663244353182748</v>
      </c>
      <c r="D1151" s="37">
        <f>IFERROR(VLOOKUP(A1151,Data!$I$3:$J$1442,2),0)</f>
        <v>7.8309398000000002E-2</v>
      </c>
      <c r="E1151" s="37">
        <f t="shared" si="222"/>
        <v>7.8109397999999997E-2</v>
      </c>
      <c r="F1151" s="37">
        <f t="shared" si="227"/>
        <v>5.6867672728034158E-4</v>
      </c>
      <c r="G1151" s="30">
        <f t="shared" si="228"/>
        <v>1315.0112165699202</v>
      </c>
      <c r="H1151" s="38">
        <f t="shared" si="223"/>
        <v>191</v>
      </c>
      <c r="I1151" s="39">
        <f t="shared" si="224"/>
        <v>191.28815879534565</v>
      </c>
      <c r="J1151" s="40">
        <f t="shared" si="225"/>
        <v>96</v>
      </c>
      <c r="K1151" s="43">
        <f>VLOOKUP(J1151,Data!$Z$3:$AA$122,2)</f>
        <v>0</v>
      </c>
      <c r="L1151" s="41">
        <f t="shared" si="226"/>
        <v>0.2881587953456517</v>
      </c>
      <c r="M1151" s="43">
        <f>VLOOKUP(H1151,Data!$P$3:$X$122,9)</f>
        <v>0</v>
      </c>
      <c r="N1151" s="43">
        <f t="shared" si="229"/>
        <v>0</v>
      </c>
      <c r="O1151" s="43">
        <f t="shared" si="230"/>
        <v>0</v>
      </c>
      <c r="P1151" s="30">
        <f t="shared" si="231"/>
        <v>0</v>
      </c>
      <c r="Q1151" s="31">
        <f t="shared" si="233"/>
        <v>848340.75061972369</v>
      </c>
    </row>
    <row r="1152" spans="1:17" x14ac:dyDescent="0.25">
      <c r="A1152" s="6">
        <f t="shared" si="232"/>
        <v>78253</v>
      </c>
      <c r="B1152" s="30">
        <f>IFERROR(VLOOKUP(A1152, Data!$L$3:$N$123, 3),1)*Pension</f>
        <v>2312405.5434075408</v>
      </c>
      <c r="C1152" s="37">
        <f t="shared" si="221"/>
        <v>95.748117727583846</v>
      </c>
      <c r="D1152" s="37">
        <f>IFERROR(VLOOKUP(A1152,Data!$I$3:$J$1442,2),0)</f>
        <v>7.8302032999999993E-2</v>
      </c>
      <c r="E1152" s="37">
        <f t="shared" si="222"/>
        <v>7.8102032999999987E-2</v>
      </c>
      <c r="F1152" s="37">
        <f t="shared" si="227"/>
        <v>5.6531771894783548E-4</v>
      </c>
      <c r="G1152" s="30">
        <f t="shared" si="228"/>
        <v>1307.243827081481</v>
      </c>
      <c r="H1152" s="38">
        <f t="shared" si="223"/>
        <v>191</v>
      </c>
      <c r="I1152" s="39">
        <f t="shared" si="224"/>
        <v>191.37303216974675</v>
      </c>
      <c r="J1152" s="40">
        <f t="shared" si="225"/>
        <v>96</v>
      </c>
      <c r="K1152" s="43">
        <f>VLOOKUP(J1152,Data!$Z$3:$AA$122,2)</f>
        <v>0</v>
      </c>
      <c r="L1152" s="41">
        <f t="shared" si="226"/>
        <v>0.37303216974675024</v>
      </c>
      <c r="M1152" s="43">
        <f>VLOOKUP(H1152,Data!$P$3:$X$122,9)</f>
        <v>0</v>
      </c>
      <c r="N1152" s="43">
        <f t="shared" si="229"/>
        <v>0</v>
      </c>
      <c r="O1152" s="43">
        <f t="shared" si="230"/>
        <v>0</v>
      </c>
      <c r="P1152" s="30">
        <f t="shared" si="231"/>
        <v>0</v>
      </c>
      <c r="Q1152" s="31">
        <f t="shared" si="233"/>
        <v>848340.75061972369</v>
      </c>
    </row>
    <row r="1153" spans="1:17" x14ac:dyDescent="0.25">
      <c r="A1153" s="6">
        <f t="shared" si="232"/>
        <v>78283</v>
      </c>
      <c r="B1153" s="30">
        <f>IFERROR(VLOOKUP(A1153, Data!$L$3:$N$123, 3),1)*Pension</f>
        <v>2312405.5434075408</v>
      </c>
      <c r="C1153" s="37">
        <f t="shared" si="221"/>
        <v>95.830253251197803</v>
      </c>
      <c r="D1153" s="37">
        <f>IFERROR(VLOOKUP(A1153,Data!$I$3:$J$1442,2),0)</f>
        <v>7.8294917000000006E-2</v>
      </c>
      <c r="E1153" s="37">
        <f t="shared" si="222"/>
        <v>7.8094917E-2</v>
      </c>
      <c r="F1153" s="37">
        <f t="shared" si="227"/>
        <v>5.6208601187428926E-4</v>
      </c>
      <c r="G1153" s="30">
        <f t="shared" si="228"/>
        <v>1299.7708097299433</v>
      </c>
      <c r="H1153" s="38">
        <f t="shared" si="223"/>
        <v>191</v>
      </c>
      <c r="I1153" s="39">
        <f t="shared" si="224"/>
        <v>191.45516769336072</v>
      </c>
      <c r="J1153" s="40">
        <f t="shared" si="225"/>
        <v>96</v>
      </c>
      <c r="K1153" s="43">
        <f>VLOOKUP(J1153,Data!$Z$3:$AA$122,2)</f>
        <v>0</v>
      </c>
      <c r="L1153" s="41">
        <f t="shared" si="226"/>
        <v>0.45516769336072116</v>
      </c>
      <c r="M1153" s="43">
        <f>VLOOKUP(H1153,Data!$P$3:$X$122,9)</f>
        <v>0</v>
      </c>
      <c r="N1153" s="43">
        <f t="shared" si="229"/>
        <v>0</v>
      </c>
      <c r="O1153" s="43">
        <f t="shared" si="230"/>
        <v>0</v>
      </c>
      <c r="P1153" s="30">
        <f t="shared" si="231"/>
        <v>0</v>
      </c>
      <c r="Q1153" s="31">
        <f t="shared" si="233"/>
        <v>848340.75061972369</v>
      </c>
    </row>
    <row r="1154" spans="1:17" x14ac:dyDescent="0.25">
      <c r="A1154" s="6">
        <f t="shared" si="232"/>
        <v>78314</v>
      </c>
      <c r="B1154" s="30">
        <f>IFERROR(VLOOKUP(A1154, Data!$L$3:$N$123, 3),1)*Pension</f>
        <v>2312405.5434075408</v>
      </c>
      <c r="C1154" s="37">
        <f t="shared" si="221"/>
        <v>95.915126625598901</v>
      </c>
      <c r="D1154" s="37">
        <f>IFERROR(VLOOKUP(A1154,Data!$I$3:$J$1442,2),0)</f>
        <v>7.8287576999999997E-2</v>
      </c>
      <c r="E1154" s="37">
        <f t="shared" si="222"/>
        <v>7.8087576999999991E-2</v>
      </c>
      <c r="F1154" s="37">
        <f t="shared" si="227"/>
        <v>5.5876596717725877E-4</v>
      </c>
      <c r="G1154" s="30">
        <f t="shared" si="228"/>
        <v>1292.0935199681692</v>
      </c>
      <c r="H1154" s="38">
        <f t="shared" si="223"/>
        <v>191</v>
      </c>
      <c r="I1154" s="39">
        <f t="shared" si="224"/>
        <v>191.54004106776182</v>
      </c>
      <c r="J1154" s="40">
        <f t="shared" si="225"/>
        <v>96</v>
      </c>
      <c r="K1154" s="43">
        <f>VLOOKUP(J1154,Data!$Z$3:$AA$122,2)</f>
        <v>0</v>
      </c>
      <c r="L1154" s="41">
        <f t="shared" si="226"/>
        <v>0.5400410677618197</v>
      </c>
      <c r="M1154" s="43">
        <f>VLOOKUP(H1154,Data!$P$3:$X$122,9)</f>
        <v>0</v>
      </c>
      <c r="N1154" s="43">
        <f t="shared" si="229"/>
        <v>0</v>
      </c>
      <c r="O1154" s="43">
        <f t="shared" si="230"/>
        <v>0</v>
      </c>
      <c r="P1154" s="30">
        <f t="shared" si="231"/>
        <v>0</v>
      </c>
      <c r="Q1154" s="31">
        <f t="shared" si="233"/>
        <v>848340.75061972369</v>
      </c>
    </row>
    <row r="1155" spans="1:17" x14ac:dyDescent="0.25">
      <c r="A1155" s="6">
        <f t="shared" si="232"/>
        <v>78344</v>
      </c>
      <c r="B1155" s="30">
        <f>IFERROR(VLOOKUP(A1155, Data!$L$3:$N$123, 3),1)*Pension</f>
        <v>2312405.5434075408</v>
      </c>
      <c r="C1155" s="37">
        <f t="shared" ref="C1155:C1218" si="234">(A1155-EffDate)/365.25</f>
        <v>95.997262149212872</v>
      </c>
      <c r="D1155" s="37">
        <f>IFERROR(VLOOKUP(A1155,Data!$I$3:$J$1442,2),0)</f>
        <v>7.8280486999999996E-2</v>
      </c>
      <c r="E1155" s="37">
        <f t="shared" ref="E1155:E1218" si="235">D1155-Fees</f>
        <v>7.808048699999999E-2</v>
      </c>
      <c r="F1155" s="37">
        <f t="shared" si="227"/>
        <v>5.5557164723695981E-4</v>
      </c>
      <c r="G1155" s="30">
        <f t="shared" si="228"/>
        <v>1284.7069568308045</v>
      </c>
      <c r="H1155" s="38">
        <f t="shared" ref="H1155:H1218" si="236">IF(OR(A1155 = DATE(YEAR(A1155), MONTH(Date_of_Birth), DAY(Date_of_Birth)),AND(A1155 = DATE(YEAR(A1155), MONTH(Date_of_Birth), DAY(Date_of_Birth)-1), AND(MONTH(Date_of_Birth)=2, DAY(Date_of_Birth) = 29))), ROUND((A1155-Date_of_Birth)/365.25,0),ROUNDDOWN((A1155-Date_of_Birth)/365.25,0))</f>
        <v>191</v>
      </c>
      <c r="I1155" s="39">
        <f t="shared" ref="I1155:I1218" si="237">IF(OR(A1155 = DATE(YEAR(A1155), MONTH(Date_of_Birth), DAY(Date_of_Birth)),AND(A1155 = DATE(YEAR(A1155), MONTH(Date_of_Birth), DAY(Date_of_Birth)-1), AND(MONTH(Date_of_Birth)=2, DAY(Date_of_Birth) = 29))), ROUND((A1155-Date_of_Birth)/365.25,0),(A1155-Date_of_Birth)/365.25)</f>
        <v>191.62217659137576</v>
      </c>
      <c r="J1155" s="40">
        <f t="shared" ref="J1155:J1218" si="238">H1155-StartAge</f>
        <v>96</v>
      </c>
      <c r="K1155" s="43">
        <f>VLOOKUP(J1155,Data!$Z$3:$AA$122,2)</f>
        <v>0</v>
      </c>
      <c r="L1155" s="41">
        <f t="shared" ref="L1155:L1218" si="239">IF(A1155&lt;=NextBirth,(A1155-EffDate)/365.25,(I1155-H1155))</f>
        <v>0.6221765913757622</v>
      </c>
      <c r="M1155" s="43">
        <f>VLOOKUP(H1155,Data!$P$3:$X$122,9)</f>
        <v>0</v>
      </c>
      <c r="N1155" s="43">
        <f t="shared" si="229"/>
        <v>0</v>
      </c>
      <c r="O1155" s="43">
        <f t="shared" si="230"/>
        <v>0</v>
      </c>
      <c r="P1155" s="30">
        <f t="shared" si="231"/>
        <v>0</v>
      </c>
      <c r="Q1155" s="31">
        <f t="shared" si="233"/>
        <v>848340.75061972369</v>
      </c>
    </row>
    <row r="1156" spans="1:17" x14ac:dyDescent="0.25">
      <c r="A1156" s="6">
        <f t="shared" si="232"/>
        <v>78375</v>
      </c>
      <c r="B1156" s="30">
        <f>IFERROR(VLOOKUP(A1156, Data!$L$3:$N$123, 3),1)*Pension</f>
        <v>2312405.5434075408</v>
      </c>
      <c r="C1156" s="37">
        <f t="shared" si="234"/>
        <v>96.082135523613957</v>
      </c>
      <c r="D1156" s="37">
        <f>IFERROR(VLOOKUP(A1156,Data!$I$3:$J$1442,2),0)</f>
        <v>7.8273173000000001E-2</v>
      </c>
      <c r="E1156" s="37">
        <f t="shared" si="235"/>
        <v>7.8073172999999996E-2</v>
      </c>
      <c r="F1156" s="37">
        <f t="shared" ref="F1156:F1219" si="240">EXP(-E1156*C1156)</f>
        <v>5.5229005433332526E-4</v>
      </c>
      <c r="G1156" s="30">
        <f t="shared" ref="G1156:G1219" si="241">B1156*F1156</f>
        <v>1277.1185832092333</v>
      </c>
      <c r="H1156" s="38">
        <f t="shared" si="236"/>
        <v>191</v>
      </c>
      <c r="I1156" s="39">
        <f t="shared" si="237"/>
        <v>191.70704996577686</v>
      </c>
      <c r="J1156" s="40">
        <f t="shared" si="238"/>
        <v>96</v>
      </c>
      <c r="K1156" s="43">
        <f>VLOOKUP(J1156,Data!$Z$3:$AA$122,2)</f>
        <v>0</v>
      </c>
      <c r="L1156" s="41">
        <f t="shared" si="239"/>
        <v>0.70704996577686074</v>
      </c>
      <c r="M1156" s="43">
        <f>VLOOKUP(H1156,Data!$P$3:$X$122,9)</f>
        <v>0</v>
      </c>
      <c r="N1156" s="43">
        <f t="shared" ref="N1156:N1219" si="242">IF(M1156=0, 0, EXP(-L1156*M1156))</f>
        <v>0</v>
      </c>
      <c r="O1156" s="43">
        <f t="shared" ref="O1156:O1219" si="243">K1156*N1156</f>
        <v>0</v>
      </c>
      <c r="P1156" s="30">
        <f t="shared" ref="P1156:P1219" si="244">G1156*O1156</f>
        <v>0</v>
      </c>
      <c r="Q1156" s="31">
        <f t="shared" si="233"/>
        <v>848340.75061972369</v>
      </c>
    </row>
    <row r="1157" spans="1:17" x14ac:dyDescent="0.25">
      <c r="A1157" s="6">
        <f t="shared" ref="A1157:A1220" si="245">EOMONTH(A1156,1)</f>
        <v>78406</v>
      </c>
      <c r="B1157" s="30">
        <f>IFERROR(VLOOKUP(A1157, Data!$L$3:$N$123, 3),1)*Pension</f>
        <v>2312405.5434075408</v>
      </c>
      <c r="C1157" s="37">
        <f t="shared" si="234"/>
        <v>96.167008898015055</v>
      </c>
      <c r="D1157" s="37">
        <f>IFERROR(VLOOKUP(A1157,Data!$I$3:$J$1442,2),0)</f>
        <v>7.8265871000000001E-2</v>
      </c>
      <c r="E1157" s="37">
        <f t="shared" si="235"/>
        <v>7.8065870999999995E-2</v>
      </c>
      <c r="F1157" s="37">
        <f t="shared" si="240"/>
        <v>5.4902789285472754E-4</v>
      </c>
      <c r="G1157" s="30">
        <f t="shared" si="241"/>
        <v>1269.5751429226334</v>
      </c>
      <c r="H1157" s="38">
        <f t="shared" si="236"/>
        <v>191</v>
      </c>
      <c r="I1157" s="39">
        <f t="shared" si="237"/>
        <v>191.79192334017796</v>
      </c>
      <c r="J1157" s="40">
        <f t="shared" si="238"/>
        <v>96</v>
      </c>
      <c r="K1157" s="43">
        <f>VLOOKUP(J1157,Data!$Z$3:$AA$122,2)</f>
        <v>0</v>
      </c>
      <c r="L1157" s="41">
        <f t="shared" si="239"/>
        <v>0.79192334017795929</v>
      </c>
      <c r="M1157" s="43">
        <f>VLOOKUP(H1157,Data!$P$3:$X$122,9)</f>
        <v>0</v>
      </c>
      <c r="N1157" s="43">
        <f t="shared" si="242"/>
        <v>0</v>
      </c>
      <c r="O1157" s="43">
        <f t="shared" si="243"/>
        <v>0</v>
      </c>
      <c r="P1157" s="30">
        <f t="shared" si="244"/>
        <v>0</v>
      </c>
      <c r="Q1157" s="31">
        <f t="shared" ref="Q1157:Q1220" si="246">Q1156+P1157</f>
        <v>848340.75061972369</v>
      </c>
    </row>
    <row r="1158" spans="1:17" x14ac:dyDescent="0.25">
      <c r="A1158" s="6">
        <f t="shared" si="245"/>
        <v>78436</v>
      </c>
      <c r="B1158" s="30">
        <f>IFERROR(VLOOKUP(A1158, Data!$L$3:$N$123, 3),1)*Pension</f>
        <v>2312405.5434075408</v>
      </c>
      <c r="C1158" s="37">
        <f t="shared" si="234"/>
        <v>96.249144421629026</v>
      </c>
      <c r="D1158" s="37">
        <f>IFERROR(VLOOKUP(A1158,Data!$I$3:$J$1442,2),0)</f>
        <v>7.8258817999999994E-2</v>
      </c>
      <c r="E1158" s="37">
        <f t="shared" si="235"/>
        <v>7.8058817999999988E-2</v>
      </c>
      <c r="F1158" s="37">
        <f t="shared" si="240"/>
        <v>5.4588924702934222E-4</v>
      </c>
      <c r="G1158" s="30">
        <f t="shared" si="241"/>
        <v>1262.3173209172194</v>
      </c>
      <c r="H1158" s="38">
        <f t="shared" si="236"/>
        <v>191</v>
      </c>
      <c r="I1158" s="39">
        <f t="shared" si="237"/>
        <v>191.87405886379193</v>
      </c>
      <c r="J1158" s="40">
        <f t="shared" si="238"/>
        <v>96</v>
      </c>
      <c r="K1158" s="43">
        <f>VLOOKUP(J1158,Data!$Z$3:$AA$122,2)</f>
        <v>0</v>
      </c>
      <c r="L1158" s="41">
        <f t="shared" si="239"/>
        <v>0.87405886379193021</v>
      </c>
      <c r="M1158" s="43">
        <f>VLOOKUP(H1158,Data!$P$3:$X$122,9)</f>
        <v>0</v>
      </c>
      <c r="N1158" s="43">
        <f t="shared" si="242"/>
        <v>0</v>
      </c>
      <c r="O1158" s="43">
        <f t="shared" si="243"/>
        <v>0</v>
      </c>
      <c r="P1158" s="30">
        <f t="shared" si="244"/>
        <v>0</v>
      </c>
      <c r="Q1158" s="31">
        <f t="shared" si="246"/>
        <v>848340.75061972369</v>
      </c>
    </row>
    <row r="1159" spans="1:17" x14ac:dyDescent="0.25">
      <c r="A1159" s="6">
        <f t="shared" si="245"/>
        <v>78467</v>
      </c>
      <c r="B1159" s="30">
        <f>IFERROR(VLOOKUP(A1159, Data!$L$3:$N$123, 3),1)*Pension</f>
        <v>2312405.5434075408</v>
      </c>
      <c r="C1159" s="37">
        <f t="shared" si="234"/>
        <v>96.334017796030111</v>
      </c>
      <c r="D1159" s="37">
        <f>IFERROR(VLOOKUP(A1159,Data!$I$3:$J$1442,2),0)</f>
        <v>7.8251540999999994E-2</v>
      </c>
      <c r="E1159" s="37">
        <f t="shared" si="235"/>
        <v>7.8051540999999988E-2</v>
      </c>
      <c r="F1159" s="37">
        <f t="shared" si="240"/>
        <v>5.4266490862939253E-4</v>
      </c>
      <c r="G1159" s="30">
        <f t="shared" si="241"/>
        <v>1254.8613429273539</v>
      </c>
      <c r="H1159" s="38">
        <f t="shared" si="236"/>
        <v>191</v>
      </c>
      <c r="I1159" s="39">
        <f t="shared" si="237"/>
        <v>191.95893223819303</v>
      </c>
      <c r="J1159" s="40">
        <f t="shared" si="238"/>
        <v>96</v>
      </c>
      <c r="K1159" s="43">
        <f>VLOOKUP(J1159,Data!$Z$3:$AA$122,2)</f>
        <v>0</v>
      </c>
      <c r="L1159" s="41">
        <f t="shared" si="239"/>
        <v>0.95893223819302875</v>
      </c>
      <c r="M1159" s="43">
        <f>VLOOKUP(H1159,Data!$P$3:$X$122,9)</f>
        <v>0</v>
      </c>
      <c r="N1159" s="43">
        <f t="shared" si="242"/>
        <v>0</v>
      </c>
      <c r="O1159" s="43">
        <f t="shared" si="243"/>
        <v>0</v>
      </c>
      <c r="P1159" s="30">
        <f t="shared" si="244"/>
        <v>0</v>
      </c>
      <c r="Q1159" s="31">
        <f t="shared" si="246"/>
        <v>848340.75061972369</v>
      </c>
    </row>
    <row r="1160" spans="1:17" x14ac:dyDescent="0.25">
      <c r="A1160" s="6">
        <f t="shared" si="245"/>
        <v>78497</v>
      </c>
      <c r="B1160" s="30">
        <f>IFERROR(VLOOKUP(A1160, Data!$L$3:$N$123, 3),1)*Pension</f>
        <v>2312405.5434075408</v>
      </c>
      <c r="C1160" s="37">
        <f t="shared" si="234"/>
        <v>96.416153319644081</v>
      </c>
      <c r="D1160" s="37">
        <f>IFERROR(VLOOKUP(A1160,Data!$I$3:$J$1442,2),0)</f>
        <v>7.8244512000000002E-2</v>
      </c>
      <c r="E1160" s="37">
        <f t="shared" si="235"/>
        <v>7.8044511999999996E-2</v>
      </c>
      <c r="F1160" s="37">
        <f t="shared" si="240"/>
        <v>5.3956266036864469E-4</v>
      </c>
      <c r="G1160" s="30">
        <f t="shared" si="241"/>
        <v>1247.6876868521742</v>
      </c>
      <c r="H1160" s="38">
        <f t="shared" si="236"/>
        <v>192</v>
      </c>
      <c r="I1160" s="39">
        <f t="shared" si="237"/>
        <v>192.04106776180697</v>
      </c>
      <c r="J1160" s="40">
        <f t="shared" si="238"/>
        <v>97</v>
      </c>
      <c r="K1160" s="43">
        <f>VLOOKUP(J1160,Data!$Z$3:$AA$122,2)</f>
        <v>0</v>
      </c>
      <c r="L1160" s="41">
        <f t="shared" si="239"/>
        <v>4.1067761806971248E-2</v>
      </c>
      <c r="M1160" s="43">
        <f>VLOOKUP(H1160,Data!$P$3:$X$122,9)</f>
        <v>0</v>
      </c>
      <c r="N1160" s="43">
        <f t="shared" si="242"/>
        <v>0</v>
      </c>
      <c r="O1160" s="43">
        <f t="shared" si="243"/>
        <v>0</v>
      </c>
      <c r="P1160" s="30">
        <f t="shared" si="244"/>
        <v>0</v>
      </c>
      <c r="Q1160" s="31">
        <f t="shared" si="246"/>
        <v>848340.75061972369</v>
      </c>
    </row>
    <row r="1161" spans="1:17" x14ac:dyDescent="0.25">
      <c r="A1161" s="6">
        <f t="shared" si="245"/>
        <v>78528</v>
      </c>
      <c r="B1161" s="30">
        <f>IFERROR(VLOOKUP(A1161, Data!$L$3:$N$123, 3),1)*Pension</f>
        <v>2428025.8205779181</v>
      </c>
      <c r="C1161" s="37">
        <f t="shared" si="234"/>
        <v>96.50102669404518</v>
      </c>
      <c r="D1161" s="37">
        <f>IFERROR(VLOOKUP(A1161,Data!$I$3:$J$1442,2),0)</f>
        <v>7.8237261000000002E-2</v>
      </c>
      <c r="E1161" s="37">
        <f t="shared" si="235"/>
        <v>7.8037260999999997E-2</v>
      </c>
      <c r="F1161" s="37">
        <f t="shared" si="240"/>
        <v>5.3637564781342016E-4</v>
      </c>
      <c r="G1161" s="30">
        <f t="shared" si="241"/>
        <v>1302.3339224201918</v>
      </c>
      <c r="H1161" s="38">
        <f t="shared" si="236"/>
        <v>192</v>
      </c>
      <c r="I1161" s="39">
        <f t="shared" si="237"/>
        <v>192.12594113620807</v>
      </c>
      <c r="J1161" s="40">
        <f t="shared" si="238"/>
        <v>97</v>
      </c>
      <c r="K1161" s="43">
        <f>VLOOKUP(J1161,Data!$Z$3:$AA$122,2)</f>
        <v>0</v>
      </c>
      <c r="L1161" s="41">
        <f t="shared" si="239"/>
        <v>0.12594113620806979</v>
      </c>
      <c r="M1161" s="43">
        <f>VLOOKUP(H1161,Data!$P$3:$X$122,9)</f>
        <v>0</v>
      </c>
      <c r="N1161" s="43">
        <f t="shared" si="242"/>
        <v>0</v>
      </c>
      <c r="O1161" s="43">
        <f t="shared" si="243"/>
        <v>0</v>
      </c>
      <c r="P1161" s="30">
        <f t="shared" si="244"/>
        <v>0</v>
      </c>
      <c r="Q1161" s="31">
        <f t="shared" si="246"/>
        <v>848340.75061972369</v>
      </c>
    </row>
    <row r="1162" spans="1:17" x14ac:dyDescent="0.25">
      <c r="A1162" s="6">
        <f t="shared" si="245"/>
        <v>78559</v>
      </c>
      <c r="B1162" s="30">
        <f>IFERROR(VLOOKUP(A1162, Data!$L$3:$N$123, 3),1)*Pension</f>
        <v>2428025.8205779181</v>
      </c>
      <c r="C1162" s="37">
        <f t="shared" si="234"/>
        <v>96.585900068446264</v>
      </c>
      <c r="D1162" s="37">
        <f>IFERROR(VLOOKUP(A1162,Data!$I$3:$J$1442,2),0)</f>
        <v>7.8230022999999996E-2</v>
      </c>
      <c r="E1162" s="37">
        <f t="shared" si="235"/>
        <v>7.803002299999999E-2</v>
      </c>
      <c r="F1162" s="37">
        <f t="shared" si="240"/>
        <v>5.3320744663957077E-4</v>
      </c>
      <c r="G1162" s="30">
        <f t="shared" si="241"/>
        <v>1294.6414481653003</v>
      </c>
      <c r="H1162" s="38">
        <f t="shared" si="236"/>
        <v>192</v>
      </c>
      <c r="I1162" s="39">
        <f t="shared" si="237"/>
        <v>192.21081451060917</v>
      </c>
      <c r="J1162" s="40">
        <f t="shared" si="238"/>
        <v>97</v>
      </c>
      <c r="K1162" s="43">
        <f>VLOOKUP(J1162,Data!$Z$3:$AA$122,2)</f>
        <v>0</v>
      </c>
      <c r="L1162" s="41">
        <f t="shared" si="239"/>
        <v>0.21081451060916834</v>
      </c>
      <c r="M1162" s="43">
        <f>VLOOKUP(H1162,Data!$P$3:$X$122,9)</f>
        <v>0</v>
      </c>
      <c r="N1162" s="43">
        <f t="shared" si="242"/>
        <v>0</v>
      </c>
      <c r="O1162" s="43">
        <f t="shared" si="243"/>
        <v>0</v>
      </c>
      <c r="P1162" s="30">
        <f t="shared" si="244"/>
        <v>0</v>
      </c>
      <c r="Q1162" s="31">
        <f t="shared" si="246"/>
        <v>848340.75061972369</v>
      </c>
    </row>
    <row r="1163" spans="1:17" x14ac:dyDescent="0.25">
      <c r="A1163" s="6">
        <f t="shared" si="245"/>
        <v>78587</v>
      </c>
      <c r="B1163" s="30">
        <f>IFERROR(VLOOKUP(A1163, Data!$L$3:$N$123, 3),1)*Pension</f>
        <v>2428025.8205779181</v>
      </c>
      <c r="C1163" s="37">
        <f t="shared" si="234"/>
        <v>96.662559890485966</v>
      </c>
      <c r="D1163" s="37">
        <f>IFERROR(VLOOKUP(A1163,Data!$I$3:$J$1442,2),0)</f>
        <v>7.8223496000000003E-2</v>
      </c>
      <c r="E1163" s="37">
        <f t="shared" si="235"/>
        <v>7.8023495999999998E-2</v>
      </c>
      <c r="F1163" s="37">
        <f t="shared" si="240"/>
        <v>5.3036195265793781E-4</v>
      </c>
      <c r="G1163" s="30">
        <f t="shared" si="241"/>
        <v>1287.7325153055963</v>
      </c>
      <c r="H1163" s="38">
        <f t="shared" si="236"/>
        <v>192</v>
      </c>
      <c r="I1163" s="39">
        <f t="shared" si="237"/>
        <v>192.28747433264888</v>
      </c>
      <c r="J1163" s="40">
        <f t="shared" si="238"/>
        <v>97</v>
      </c>
      <c r="K1163" s="43">
        <f>VLOOKUP(J1163,Data!$Z$3:$AA$122,2)</f>
        <v>0</v>
      </c>
      <c r="L1163" s="41">
        <f t="shared" si="239"/>
        <v>0.287474332648884</v>
      </c>
      <c r="M1163" s="43">
        <f>VLOOKUP(H1163,Data!$P$3:$X$122,9)</f>
        <v>0</v>
      </c>
      <c r="N1163" s="43">
        <f t="shared" si="242"/>
        <v>0</v>
      </c>
      <c r="O1163" s="43">
        <f t="shared" si="243"/>
        <v>0</v>
      </c>
      <c r="P1163" s="30">
        <f t="shared" si="244"/>
        <v>0</v>
      </c>
      <c r="Q1163" s="31">
        <f t="shared" si="246"/>
        <v>848340.75061972369</v>
      </c>
    </row>
    <row r="1164" spans="1:17" x14ac:dyDescent="0.25">
      <c r="A1164" s="6">
        <f t="shared" si="245"/>
        <v>78618</v>
      </c>
      <c r="B1164" s="30">
        <f>IFERROR(VLOOKUP(A1164, Data!$L$3:$N$123, 3),1)*Pension</f>
        <v>2428025.8205779181</v>
      </c>
      <c r="C1164" s="37">
        <f t="shared" si="234"/>
        <v>96.747433264887064</v>
      </c>
      <c r="D1164" s="37">
        <f>IFERROR(VLOOKUP(A1164,Data!$I$3:$J$1442,2),0)</f>
        <v>7.8216281999999998E-2</v>
      </c>
      <c r="E1164" s="37">
        <f t="shared" si="235"/>
        <v>7.8016281999999992E-2</v>
      </c>
      <c r="F1164" s="37">
        <f t="shared" si="240"/>
        <v>5.2722928066093009E-4</v>
      </c>
      <c r="G1164" s="30">
        <f t="shared" si="241"/>
        <v>1280.1263068094602</v>
      </c>
      <c r="H1164" s="38">
        <f t="shared" si="236"/>
        <v>192</v>
      </c>
      <c r="I1164" s="39">
        <f t="shared" si="237"/>
        <v>192.37234770704995</v>
      </c>
      <c r="J1164" s="40">
        <f t="shared" si="238"/>
        <v>97</v>
      </c>
      <c r="K1164" s="43">
        <f>VLOOKUP(J1164,Data!$Z$3:$AA$122,2)</f>
        <v>0</v>
      </c>
      <c r="L1164" s="41">
        <f t="shared" si="239"/>
        <v>0.37234770704995412</v>
      </c>
      <c r="M1164" s="43">
        <f>VLOOKUP(H1164,Data!$P$3:$X$122,9)</f>
        <v>0</v>
      </c>
      <c r="N1164" s="43">
        <f t="shared" si="242"/>
        <v>0</v>
      </c>
      <c r="O1164" s="43">
        <f t="shared" si="243"/>
        <v>0</v>
      </c>
      <c r="P1164" s="30">
        <f t="shared" si="244"/>
        <v>0</v>
      </c>
      <c r="Q1164" s="31">
        <f t="shared" si="246"/>
        <v>848340.75061972369</v>
      </c>
    </row>
    <row r="1165" spans="1:17" x14ac:dyDescent="0.25">
      <c r="A1165" s="6">
        <f t="shared" si="245"/>
        <v>78648</v>
      </c>
      <c r="B1165" s="30">
        <f>IFERROR(VLOOKUP(A1165, Data!$L$3:$N$123, 3),1)*Pension</f>
        <v>2428025.8205779181</v>
      </c>
      <c r="C1165" s="37">
        <f t="shared" si="234"/>
        <v>96.829568788501021</v>
      </c>
      <c r="D1165" s="37">
        <f>IFERROR(VLOOKUP(A1165,Data!$I$3:$J$1442,2),0)</f>
        <v>7.8209313000000003E-2</v>
      </c>
      <c r="E1165" s="37">
        <f t="shared" si="235"/>
        <v>7.8009312999999997E-2</v>
      </c>
      <c r="F1165" s="37">
        <f t="shared" si="240"/>
        <v>5.2421526901396201E-4</v>
      </c>
      <c r="G1165" s="30">
        <f t="shared" si="241"/>
        <v>1272.8082087070991</v>
      </c>
      <c r="H1165" s="38">
        <f t="shared" si="236"/>
        <v>192</v>
      </c>
      <c r="I1165" s="39">
        <f t="shared" si="237"/>
        <v>192.45448323066393</v>
      </c>
      <c r="J1165" s="40">
        <f t="shared" si="238"/>
        <v>97</v>
      </c>
      <c r="K1165" s="43">
        <f>VLOOKUP(J1165,Data!$Z$3:$AA$122,2)</f>
        <v>0</v>
      </c>
      <c r="L1165" s="41">
        <f t="shared" si="239"/>
        <v>0.45448323066392504</v>
      </c>
      <c r="M1165" s="43">
        <f>VLOOKUP(H1165,Data!$P$3:$X$122,9)</f>
        <v>0</v>
      </c>
      <c r="N1165" s="43">
        <f t="shared" si="242"/>
        <v>0</v>
      </c>
      <c r="O1165" s="43">
        <f t="shared" si="243"/>
        <v>0</v>
      </c>
      <c r="P1165" s="30">
        <f t="shared" si="244"/>
        <v>0</v>
      </c>
      <c r="Q1165" s="31">
        <f t="shared" si="246"/>
        <v>848340.75061972369</v>
      </c>
    </row>
    <row r="1166" spans="1:17" x14ac:dyDescent="0.25">
      <c r="A1166" s="6">
        <f t="shared" si="245"/>
        <v>78679</v>
      </c>
      <c r="B1166" s="30">
        <f>IFERROR(VLOOKUP(A1166, Data!$L$3:$N$123, 3),1)*Pension</f>
        <v>2428025.8205779181</v>
      </c>
      <c r="C1166" s="37">
        <f t="shared" si="234"/>
        <v>96.91444216290212</v>
      </c>
      <c r="D1166" s="37">
        <f>IFERROR(VLOOKUP(A1166,Data!$I$3:$J$1442,2),0)</f>
        <v>7.8202123999999998E-2</v>
      </c>
      <c r="E1166" s="37">
        <f t="shared" si="235"/>
        <v>7.8002123999999992E-2</v>
      </c>
      <c r="F1166" s="37">
        <f t="shared" si="240"/>
        <v>5.2111889598491147E-4</v>
      </c>
      <c r="G1166" s="30">
        <f t="shared" si="241"/>
        <v>1265.2901350424233</v>
      </c>
      <c r="H1166" s="38">
        <f t="shared" si="236"/>
        <v>192</v>
      </c>
      <c r="I1166" s="39">
        <f t="shared" si="237"/>
        <v>192.53935660506502</v>
      </c>
      <c r="J1166" s="40">
        <f t="shared" si="238"/>
        <v>97</v>
      </c>
      <c r="K1166" s="43">
        <f>VLOOKUP(J1166,Data!$Z$3:$AA$122,2)</f>
        <v>0</v>
      </c>
      <c r="L1166" s="41">
        <f t="shared" si="239"/>
        <v>0.53935660506502359</v>
      </c>
      <c r="M1166" s="43">
        <f>VLOOKUP(H1166,Data!$P$3:$X$122,9)</f>
        <v>0</v>
      </c>
      <c r="N1166" s="43">
        <f t="shared" si="242"/>
        <v>0</v>
      </c>
      <c r="O1166" s="43">
        <f t="shared" si="243"/>
        <v>0</v>
      </c>
      <c r="P1166" s="30">
        <f t="shared" si="244"/>
        <v>0</v>
      </c>
      <c r="Q1166" s="31">
        <f t="shared" si="246"/>
        <v>848340.75061972369</v>
      </c>
    </row>
    <row r="1167" spans="1:17" x14ac:dyDescent="0.25">
      <c r="A1167" s="6">
        <f t="shared" si="245"/>
        <v>78709</v>
      </c>
      <c r="B1167" s="30">
        <f>IFERROR(VLOOKUP(A1167, Data!$L$3:$N$123, 3),1)*Pension</f>
        <v>2428025.8205779181</v>
      </c>
      <c r="C1167" s="37">
        <f t="shared" si="234"/>
        <v>96.99657768651609</v>
      </c>
      <c r="D1167" s="37">
        <f>IFERROR(VLOOKUP(A1167,Data!$I$3:$J$1442,2),0)</f>
        <v>7.8195179000000004E-2</v>
      </c>
      <c r="E1167" s="37">
        <f t="shared" si="235"/>
        <v>7.7995178999999998E-2</v>
      </c>
      <c r="F1167" s="37">
        <f t="shared" si="240"/>
        <v>5.1813981497416794E-4</v>
      </c>
      <c r="G1167" s="30">
        <f t="shared" si="241"/>
        <v>1258.0568494267447</v>
      </c>
      <c r="H1167" s="38">
        <f t="shared" si="236"/>
        <v>192</v>
      </c>
      <c r="I1167" s="39">
        <f t="shared" si="237"/>
        <v>192.62149212867899</v>
      </c>
      <c r="J1167" s="40">
        <f t="shared" si="238"/>
        <v>97</v>
      </c>
      <c r="K1167" s="43">
        <f>VLOOKUP(J1167,Data!$Z$3:$AA$122,2)</f>
        <v>0</v>
      </c>
      <c r="L1167" s="41">
        <f t="shared" si="239"/>
        <v>0.6214921286789945</v>
      </c>
      <c r="M1167" s="43">
        <f>VLOOKUP(H1167,Data!$P$3:$X$122,9)</f>
        <v>0</v>
      </c>
      <c r="N1167" s="43">
        <f t="shared" si="242"/>
        <v>0</v>
      </c>
      <c r="O1167" s="43">
        <f t="shared" si="243"/>
        <v>0</v>
      </c>
      <c r="P1167" s="30">
        <f t="shared" si="244"/>
        <v>0</v>
      </c>
      <c r="Q1167" s="31">
        <f t="shared" si="246"/>
        <v>848340.75061972369</v>
      </c>
    </row>
    <row r="1168" spans="1:17" x14ac:dyDescent="0.25">
      <c r="A1168" s="6">
        <f t="shared" si="245"/>
        <v>78740</v>
      </c>
      <c r="B1168" s="30">
        <f>IFERROR(VLOOKUP(A1168, Data!$L$3:$N$123, 3),1)*Pension</f>
        <v>2428025.8205779181</v>
      </c>
      <c r="C1168" s="37">
        <f t="shared" si="234"/>
        <v>97.081451060917175</v>
      </c>
      <c r="D1168" s="37">
        <f>IFERROR(VLOOKUP(A1168,Data!$I$3:$J$1442,2),0)</f>
        <v>7.8188014E-2</v>
      </c>
      <c r="E1168" s="37">
        <f t="shared" si="235"/>
        <v>7.7988013999999994E-2</v>
      </c>
      <c r="F1168" s="37">
        <f t="shared" si="240"/>
        <v>5.1507936391757695E-4</v>
      </c>
      <c r="G1168" s="30">
        <f t="shared" si="241"/>
        <v>1250.6259952387268</v>
      </c>
      <c r="H1168" s="38">
        <f t="shared" si="236"/>
        <v>192</v>
      </c>
      <c r="I1168" s="39">
        <f t="shared" si="237"/>
        <v>192.70636550308009</v>
      </c>
      <c r="J1168" s="40">
        <f t="shared" si="238"/>
        <v>97</v>
      </c>
      <c r="K1168" s="43">
        <f>VLOOKUP(J1168,Data!$Z$3:$AA$122,2)</f>
        <v>0</v>
      </c>
      <c r="L1168" s="41">
        <f t="shared" si="239"/>
        <v>0.70636550308009305</v>
      </c>
      <c r="M1168" s="43">
        <f>VLOOKUP(H1168,Data!$P$3:$X$122,9)</f>
        <v>0</v>
      </c>
      <c r="N1168" s="43">
        <f t="shared" si="242"/>
        <v>0</v>
      </c>
      <c r="O1168" s="43">
        <f t="shared" si="243"/>
        <v>0</v>
      </c>
      <c r="P1168" s="30">
        <f t="shared" si="244"/>
        <v>0</v>
      </c>
      <c r="Q1168" s="31">
        <f t="shared" si="246"/>
        <v>848340.75061972369</v>
      </c>
    </row>
    <row r="1169" spans="1:17" x14ac:dyDescent="0.25">
      <c r="A1169" s="6">
        <f t="shared" si="245"/>
        <v>78771</v>
      </c>
      <c r="B1169" s="30">
        <f>IFERROR(VLOOKUP(A1169, Data!$L$3:$N$123, 3),1)*Pension</f>
        <v>2428025.8205779181</v>
      </c>
      <c r="C1169" s="37">
        <f t="shared" si="234"/>
        <v>97.166324435318273</v>
      </c>
      <c r="D1169" s="37">
        <f>IFERROR(VLOOKUP(A1169,Data!$I$3:$J$1442,2),0)</f>
        <v>7.8180862000000004E-2</v>
      </c>
      <c r="E1169" s="37">
        <f t="shared" si="235"/>
        <v>7.7980861999999998E-2</v>
      </c>
      <c r="F1169" s="37">
        <f t="shared" si="240"/>
        <v>5.1203696573091061E-4</v>
      </c>
      <c r="G1169" s="30">
        <f t="shared" si="241"/>
        <v>1243.2389738850216</v>
      </c>
      <c r="H1169" s="38">
        <f t="shared" si="236"/>
        <v>192</v>
      </c>
      <c r="I1169" s="39">
        <f t="shared" si="237"/>
        <v>192.79123887748116</v>
      </c>
      <c r="J1169" s="40">
        <f t="shared" si="238"/>
        <v>97</v>
      </c>
      <c r="K1169" s="43">
        <f>VLOOKUP(J1169,Data!$Z$3:$AA$122,2)</f>
        <v>0</v>
      </c>
      <c r="L1169" s="41">
        <f t="shared" si="239"/>
        <v>0.79123887748116317</v>
      </c>
      <c r="M1169" s="43">
        <f>VLOOKUP(H1169,Data!$P$3:$X$122,9)</f>
        <v>0</v>
      </c>
      <c r="N1169" s="43">
        <f t="shared" si="242"/>
        <v>0</v>
      </c>
      <c r="O1169" s="43">
        <f t="shared" si="243"/>
        <v>0</v>
      </c>
      <c r="P1169" s="30">
        <f t="shared" si="244"/>
        <v>0</v>
      </c>
      <c r="Q1169" s="31">
        <f t="shared" si="246"/>
        <v>848340.75061972369</v>
      </c>
    </row>
    <row r="1170" spans="1:17" x14ac:dyDescent="0.25">
      <c r="A1170" s="6">
        <f t="shared" si="245"/>
        <v>78801</v>
      </c>
      <c r="B1170" s="30">
        <f>IFERROR(VLOOKUP(A1170, Data!$L$3:$N$123, 3),1)*Pension</f>
        <v>2428025.8205779181</v>
      </c>
      <c r="C1170" s="37">
        <f t="shared" si="234"/>
        <v>97.248459958932244</v>
      </c>
      <c r="D1170" s="37">
        <f>IFERROR(VLOOKUP(A1170,Data!$I$3:$J$1442,2),0)</f>
        <v>7.8173953000000004E-2</v>
      </c>
      <c r="E1170" s="37">
        <f t="shared" si="235"/>
        <v>7.7973952999999999E-2</v>
      </c>
      <c r="F1170" s="37">
        <f t="shared" si="240"/>
        <v>5.0910980072539744E-4</v>
      </c>
      <c r="G1170" s="30">
        <f t="shared" si="241"/>
        <v>1236.1317416705435</v>
      </c>
      <c r="H1170" s="38">
        <f t="shared" si="236"/>
        <v>192</v>
      </c>
      <c r="I1170" s="39">
        <f t="shared" si="237"/>
        <v>192.87337440109513</v>
      </c>
      <c r="J1170" s="40">
        <f t="shared" si="238"/>
        <v>97</v>
      </c>
      <c r="K1170" s="43">
        <f>VLOOKUP(J1170,Data!$Z$3:$AA$122,2)</f>
        <v>0</v>
      </c>
      <c r="L1170" s="41">
        <f t="shared" si="239"/>
        <v>0.87337440109513409</v>
      </c>
      <c r="M1170" s="43">
        <f>VLOOKUP(H1170,Data!$P$3:$X$122,9)</f>
        <v>0</v>
      </c>
      <c r="N1170" s="43">
        <f t="shared" si="242"/>
        <v>0</v>
      </c>
      <c r="O1170" s="43">
        <f t="shared" si="243"/>
        <v>0</v>
      </c>
      <c r="P1170" s="30">
        <f t="shared" si="244"/>
        <v>0</v>
      </c>
      <c r="Q1170" s="31">
        <f t="shared" si="246"/>
        <v>848340.75061972369</v>
      </c>
    </row>
    <row r="1171" spans="1:17" x14ac:dyDescent="0.25">
      <c r="A1171" s="6">
        <f t="shared" si="245"/>
        <v>78832</v>
      </c>
      <c r="B1171" s="30">
        <f>IFERROR(VLOOKUP(A1171, Data!$L$3:$N$123, 3),1)*Pension</f>
        <v>2428025.8205779181</v>
      </c>
      <c r="C1171" s="37">
        <f t="shared" si="234"/>
        <v>97.333333333333329</v>
      </c>
      <c r="D1171" s="37">
        <f>IFERROR(VLOOKUP(A1171,Data!$I$3:$J$1442,2),0)</f>
        <v>7.8166825999999995E-2</v>
      </c>
      <c r="E1171" s="37">
        <f t="shared" si="235"/>
        <v>7.7966825999999989E-2</v>
      </c>
      <c r="F1171" s="37">
        <f t="shared" si="240"/>
        <v>5.0610263969504544E-4</v>
      </c>
      <c r="G1171" s="30">
        <f t="shared" si="241"/>
        <v>1228.8302770422131</v>
      </c>
      <c r="H1171" s="38">
        <f t="shared" si="236"/>
        <v>192</v>
      </c>
      <c r="I1171" s="39">
        <f t="shared" si="237"/>
        <v>192.95824777549623</v>
      </c>
      <c r="J1171" s="40">
        <f t="shared" si="238"/>
        <v>97</v>
      </c>
      <c r="K1171" s="43">
        <f>VLOOKUP(J1171,Data!$Z$3:$AA$122,2)</f>
        <v>0</v>
      </c>
      <c r="L1171" s="41">
        <f t="shared" si="239"/>
        <v>0.95824777549623263</v>
      </c>
      <c r="M1171" s="43">
        <f>VLOOKUP(H1171,Data!$P$3:$X$122,9)</f>
        <v>0</v>
      </c>
      <c r="N1171" s="43">
        <f t="shared" si="242"/>
        <v>0</v>
      </c>
      <c r="O1171" s="43">
        <f t="shared" si="243"/>
        <v>0</v>
      </c>
      <c r="P1171" s="30">
        <f t="shared" si="244"/>
        <v>0</v>
      </c>
      <c r="Q1171" s="31">
        <f t="shared" si="246"/>
        <v>848340.75061972369</v>
      </c>
    </row>
    <row r="1172" spans="1:17" x14ac:dyDescent="0.25">
      <c r="A1172" s="6">
        <f t="shared" si="245"/>
        <v>78862</v>
      </c>
      <c r="B1172" s="30">
        <f>IFERROR(VLOOKUP(A1172, Data!$L$3:$N$123, 3),1)*Pension</f>
        <v>2428025.8205779181</v>
      </c>
      <c r="C1172" s="37">
        <f t="shared" si="234"/>
        <v>97.4154688569473</v>
      </c>
      <c r="D1172" s="37">
        <f>IFERROR(VLOOKUP(A1172,Data!$I$3:$J$1442,2),0)</f>
        <v>7.8159939999999997E-2</v>
      </c>
      <c r="E1172" s="37">
        <f t="shared" si="235"/>
        <v>7.7959939999999991E-2</v>
      </c>
      <c r="F1172" s="37">
        <f t="shared" si="240"/>
        <v>5.0320943278303197E-4</v>
      </c>
      <c r="G1172" s="30">
        <f t="shared" si="241"/>
        <v>1221.80549595557</v>
      </c>
      <c r="H1172" s="38">
        <f t="shared" si="236"/>
        <v>193</v>
      </c>
      <c r="I1172" s="39">
        <f t="shared" si="237"/>
        <v>193.0403832991102</v>
      </c>
      <c r="J1172" s="40">
        <f t="shared" si="238"/>
        <v>98</v>
      </c>
      <c r="K1172" s="43">
        <f>VLOOKUP(J1172,Data!$Z$3:$AA$122,2)</f>
        <v>0</v>
      </c>
      <c r="L1172" s="41">
        <f t="shared" si="239"/>
        <v>4.0383299110203552E-2</v>
      </c>
      <c r="M1172" s="43">
        <f>VLOOKUP(H1172,Data!$P$3:$X$122,9)</f>
        <v>0</v>
      </c>
      <c r="N1172" s="43">
        <f t="shared" si="242"/>
        <v>0</v>
      </c>
      <c r="O1172" s="43">
        <f t="shared" si="243"/>
        <v>0</v>
      </c>
      <c r="P1172" s="30">
        <f t="shared" si="244"/>
        <v>0</v>
      </c>
      <c r="Q1172" s="31">
        <f t="shared" si="246"/>
        <v>848340.75061972369</v>
      </c>
    </row>
    <row r="1173" spans="1:17" x14ac:dyDescent="0.25">
      <c r="A1173" s="6">
        <f t="shared" si="245"/>
        <v>78893</v>
      </c>
      <c r="B1173" s="30">
        <f>IFERROR(VLOOKUP(A1173, Data!$L$3:$N$123, 3),1)*Pension</f>
        <v>2549427.111606814</v>
      </c>
      <c r="C1173" s="37">
        <f t="shared" si="234"/>
        <v>97.500342231348398</v>
      </c>
      <c r="D1173" s="37">
        <f>IFERROR(VLOOKUP(A1173,Data!$I$3:$J$1442,2),0)</f>
        <v>7.8152837000000003E-2</v>
      </c>
      <c r="E1173" s="37">
        <f t="shared" si="235"/>
        <v>7.7952836999999997E-2</v>
      </c>
      <c r="F1173" s="37">
        <f t="shared" si="240"/>
        <v>5.0023714328794602E-4</v>
      </c>
      <c r="G1173" s="30">
        <f t="shared" si="241"/>
        <v>1275.3181353310322</v>
      </c>
      <c r="H1173" s="38">
        <f t="shared" si="236"/>
        <v>193</v>
      </c>
      <c r="I1173" s="39">
        <f t="shared" si="237"/>
        <v>193.1252566735113</v>
      </c>
      <c r="J1173" s="40">
        <f t="shared" si="238"/>
        <v>98</v>
      </c>
      <c r="K1173" s="43">
        <f>VLOOKUP(J1173,Data!$Z$3:$AA$122,2)</f>
        <v>0</v>
      </c>
      <c r="L1173" s="41">
        <f t="shared" si="239"/>
        <v>0.1252566735113021</v>
      </c>
      <c r="M1173" s="43">
        <f>VLOOKUP(H1173,Data!$P$3:$X$122,9)</f>
        <v>0</v>
      </c>
      <c r="N1173" s="43">
        <f t="shared" si="242"/>
        <v>0</v>
      </c>
      <c r="O1173" s="43">
        <f t="shared" si="243"/>
        <v>0</v>
      </c>
      <c r="P1173" s="30">
        <f t="shared" si="244"/>
        <v>0</v>
      </c>
      <c r="Q1173" s="31">
        <f t="shared" si="246"/>
        <v>848340.75061972369</v>
      </c>
    </row>
    <row r="1174" spans="1:17" x14ac:dyDescent="0.25">
      <c r="A1174" s="6">
        <f t="shared" si="245"/>
        <v>78924</v>
      </c>
      <c r="B1174" s="30">
        <f>IFERROR(VLOOKUP(A1174, Data!$L$3:$N$123, 3),1)*Pension</f>
        <v>2549427.111606814</v>
      </c>
      <c r="C1174" s="37">
        <f t="shared" si="234"/>
        <v>97.585215605749482</v>
      </c>
      <c r="D1174" s="37">
        <f>IFERROR(VLOOKUP(A1174,Data!$I$3:$J$1442,2),0)</f>
        <v>7.8145747000000002E-2</v>
      </c>
      <c r="E1174" s="37">
        <f t="shared" si="235"/>
        <v>7.7945746999999996E-2</v>
      </c>
      <c r="F1174" s="37">
        <f t="shared" si="240"/>
        <v>4.9728237883350606E-4</v>
      </c>
      <c r="G1174" s="30">
        <f t="shared" si="241"/>
        <v>1267.7851787224708</v>
      </c>
      <c r="H1174" s="38">
        <f t="shared" si="236"/>
        <v>193</v>
      </c>
      <c r="I1174" s="39">
        <f t="shared" si="237"/>
        <v>193.2101300479124</v>
      </c>
      <c r="J1174" s="40">
        <f t="shared" si="238"/>
        <v>98</v>
      </c>
      <c r="K1174" s="43">
        <f>VLOOKUP(J1174,Data!$Z$3:$AA$122,2)</f>
        <v>0</v>
      </c>
      <c r="L1174" s="41">
        <f t="shared" si="239"/>
        <v>0.21013004791240064</v>
      </c>
      <c r="M1174" s="43">
        <f>VLOOKUP(H1174,Data!$P$3:$X$122,9)</f>
        <v>0</v>
      </c>
      <c r="N1174" s="43">
        <f t="shared" si="242"/>
        <v>0</v>
      </c>
      <c r="O1174" s="43">
        <f t="shared" si="243"/>
        <v>0</v>
      </c>
      <c r="P1174" s="30">
        <f t="shared" si="244"/>
        <v>0</v>
      </c>
      <c r="Q1174" s="31">
        <f t="shared" si="246"/>
        <v>848340.75061972369</v>
      </c>
    </row>
    <row r="1175" spans="1:17" x14ac:dyDescent="0.25">
      <c r="A1175" s="6">
        <f t="shared" si="245"/>
        <v>78953</v>
      </c>
      <c r="B1175" s="30">
        <f>IFERROR(VLOOKUP(A1175, Data!$L$3:$N$123, 3),1)*Pension</f>
        <v>2549427.111606814</v>
      </c>
      <c r="C1175" s="37">
        <f t="shared" si="234"/>
        <v>97.664613278576311</v>
      </c>
      <c r="D1175" s="37">
        <f>IFERROR(VLOOKUP(A1175,Data!$I$3:$J$1442,2),0)</f>
        <v>7.8139125000000004E-2</v>
      </c>
      <c r="E1175" s="37">
        <f t="shared" si="235"/>
        <v>7.7939124999999998E-2</v>
      </c>
      <c r="F1175" s="37">
        <f t="shared" si="240"/>
        <v>4.9453407445209003E-4</v>
      </c>
      <c r="G1175" s="30">
        <f t="shared" si="241"/>
        <v>1260.778577021541</v>
      </c>
      <c r="H1175" s="38">
        <f t="shared" si="236"/>
        <v>193</v>
      </c>
      <c r="I1175" s="39">
        <f t="shared" si="237"/>
        <v>193.28952772073922</v>
      </c>
      <c r="J1175" s="40">
        <f t="shared" si="238"/>
        <v>98</v>
      </c>
      <c r="K1175" s="43">
        <f>VLOOKUP(J1175,Data!$Z$3:$AA$122,2)</f>
        <v>0</v>
      </c>
      <c r="L1175" s="41">
        <f t="shared" si="239"/>
        <v>0.28952772073921551</v>
      </c>
      <c r="M1175" s="43">
        <f>VLOOKUP(H1175,Data!$P$3:$X$122,9)</f>
        <v>0</v>
      </c>
      <c r="N1175" s="43">
        <f t="shared" si="242"/>
        <v>0</v>
      </c>
      <c r="O1175" s="43">
        <f t="shared" si="243"/>
        <v>0</v>
      </c>
      <c r="P1175" s="30">
        <f t="shared" si="244"/>
        <v>0</v>
      </c>
      <c r="Q1175" s="31">
        <f t="shared" si="246"/>
        <v>848340.75061972369</v>
      </c>
    </row>
    <row r="1176" spans="1:17" x14ac:dyDescent="0.25">
      <c r="A1176" s="6">
        <f t="shared" si="245"/>
        <v>78984</v>
      </c>
      <c r="B1176" s="30">
        <f>IFERROR(VLOOKUP(A1176, Data!$L$3:$N$123, 3),1)*Pension</f>
        <v>2549427.111606814</v>
      </c>
      <c r="C1176" s="37">
        <f t="shared" si="234"/>
        <v>97.74948665297741</v>
      </c>
      <c r="D1176" s="37">
        <f>IFERROR(VLOOKUP(A1176,Data!$I$3:$J$1442,2),0)</f>
        <v>7.8132058000000004E-2</v>
      </c>
      <c r="E1176" s="37">
        <f t="shared" si="235"/>
        <v>7.7932057999999998E-2</v>
      </c>
      <c r="F1176" s="37">
        <f t="shared" si="240"/>
        <v>4.9161303591151878E-4</v>
      </c>
      <c r="G1176" s="30">
        <f t="shared" si="241"/>
        <v>1253.3316021721603</v>
      </c>
      <c r="H1176" s="38">
        <f t="shared" si="236"/>
        <v>193</v>
      </c>
      <c r="I1176" s="39">
        <f t="shared" si="237"/>
        <v>193.37440109514031</v>
      </c>
      <c r="J1176" s="40">
        <f t="shared" si="238"/>
        <v>98</v>
      </c>
      <c r="K1176" s="43">
        <f>VLOOKUP(J1176,Data!$Z$3:$AA$122,2)</f>
        <v>0</v>
      </c>
      <c r="L1176" s="41">
        <f t="shared" si="239"/>
        <v>0.37440109514031406</v>
      </c>
      <c r="M1176" s="43">
        <f>VLOOKUP(H1176,Data!$P$3:$X$122,9)</f>
        <v>0</v>
      </c>
      <c r="N1176" s="43">
        <f t="shared" si="242"/>
        <v>0</v>
      </c>
      <c r="O1176" s="43">
        <f t="shared" si="243"/>
        <v>0</v>
      </c>
      <c r="P1176" s="30">
        <f t="shared" si="244"/>
        <v>0</v>
      </c>
      <c r="Q1176" s="31">
        <f t="shared" si="246"/>
        <v>848340.75061972369</v>
      </c>
    </row>
    <row r="1177" spans="1:17" x14ac:dyDescent="0.25">
      <c r="A1177" s="6">
        <f t="shared" si="245"/>
        <v>79014</v>
      </c>
      <c r="B1177" s="30">
        <f>IFERROR(VLOOKUP(A1177, Data!$L$3:$N$123, 3),1)*Pension</f>
        <v>2549427.111606814</v>
      </c>
      <c r="C1177" s="37">
        <f t="shared" si="234"/>
        <v>97.831622176591381</v>
      </c>
      <c r="D1177" s="37">
        <f>IFERROR(VLOOKUP(A1177,Data!$I$3:$J$1442,2),0)</f>
        <v>7.8125231000000003E-2</v>
      </c>
      <c r="E1177" s="37">
        <f t="shared" si="235"/>
        <v>7.7925230999999998E-2</v>
      </c>
      <c r="F1177" s="37">
        <f t="shared" si="240"/>
        <v>4.8880263605236701E-4</v>
      </c>
      <c r="G1177" s="30">
        <f t="shared" si="241"/>
        <v>1246.1666925767827</v>
      </c>
      <c r="H1177" s="38">
        <f t="shared" si="236"/>
        <v>193</v>
      </c>
      <c r="I1177" s="39">
        <f t="shared" si="237"/>
        <v>193.45653661875428</v>
      </c>
      <c r="J1177" s="40">
        <f t="shared" si="238"/>
        <v>98</v>
      </c>
      <c r="K1177" s="43">
        <f>VLOOKUP(J1177,Data!$Z$3:$AA$122,2)</f>
        <v>0</v>
      </c>
      <c r="L1177" s="41">
        <f t="shared" si="239"/>
        <v>0.45653661875428497</v>
      </c>
      <c r="M1177" s="43">
        <f>VLOOKUP(H1177,Data!$P$3:$X$122,9)</f>
        <v>0</v>
      </c>
      <c r="N1177" s="43">
        <f t="shared" si="242"/>
        <v>0</v>
      </c>
      <c r="O1177" s="43">
        <f t="shared" si="243"/>
        <v>0</v>
      </c>
      <c r="P1177" s="30">
        <f t="shared" si="244"/>
        <v>0</v>
      </c>
      <c r="Q1177" s="31">
        <f t="shared" si="246"/>
        <v>848340.75061972369</v>
      </c>
    </row>
    <row r="1178" spans="1:17" x14ac:dyDescent="0.25">
      <c r="A1178" s="6">
        <f t="shared" si="245"/>
        <v>79045</v>
      </c>
      <c r="B1178" s="30">
        <f>IFERROR(VLOOKUP(A1178, Data!$L$3:$N$123, 3),1)*Pension</f>
        <v>2549427.111606814</v>
      </c>
      <c r="C1178" s="37">
        <f t="shared" si="234"/>
        <v>97.916495550992465</v>
      </c>
      <c r="D1178" s="37">
        <f>IFERROR(VLOOKUP(A1178,Data!$I$3:$J$1442,2),0)</f>
        <v>7.8118188000000005E-2</v>
      </c>
      <c r="E1178" s="37">
        <f t="shared" si="235"/>
        <v>7.7918187999999999E-2</v>
      </c>
      <c r="F1178" s="37">
        <f t="shared" si="240"/>
        <v>4.8591545570879948E-4</v>
      </c>
      <c r="G1178" s="30">
        <f t="shared" si="241"/>
        <v>1238.8060367327935</v>
      </c>
      <c r="H1178" s="38">
        <f t="shared" si="236"/>
        <v>193</v>
      </c>
      <c r="I1178" s="39">
        <f t="shared" si="237"/>
        <v>193.54140999315538</v>
      </c>
      <c r="J1178" s="40">
        <f t="shared" si="238"/>
        <v>98</v>
      </c>
      <c r="K1178" s="43">
        <f>VLOOKUP(J1178,Data!$Z$3:$AA$122,2)</f>
        <v>0</v>
      </c>
      <c r="L1178" s="41">
        <f t="shared" si="239"/>
        <v>0.54140999315538352</v>
      </c>
      <c r="M1178" s="43">
        <f>VLOOKUP(H1178,Data!$P$3:$X$122,9)</f>
        <v>0</v>
      </c>
      <c r="N1178" s="43">
        <f t="shared" si="242"/>
        <v>0</v>
      </c>
      <c r="O1178" s="43">
        <f t="shared" si="243"/>
        <v>0</v>
      </c>
      <c r="P1178" s="30">
        <f t="shared" si="244"/>
        <v>0</v>
      </c>
      <c r="Q1178" s="31">
        <f t="shared" si="246"/>
        <v>848340.75061972369</v>
      </c>
    </row>
    <row r="1179" spans="1:17" x14ac:dyDescent="0.25">
      <c r="A1179" s="6">
        <f t="shared" si="245"/>
        <v>79075</v>
      </c>
      <c r="B1179" s="30">
        <f>IFERROR(VLOOKUP(A1179, Data!$L$3:$N$123, 3),1)*Pension</f>
        <v>2549427.111606814</v>
      </c>
      <c r="C1179" s="37">
        <f t="shared" si="234"/>
        <v>97.998631074606436</v>
      </c>
      <c r="D1179" s="37">
        <f>IFERROR(VLOOKUP(A1179,Data!$I$3:$J$1442,2),0)</f>
        <v>7.8111384000000006E-2</v>
      </c>
      <c r="E1179" s="37">
        <f t="shared" si="235"/>
        <v>7.7911384E-2</v>
      </c>
      <c r="F1179" s="37">
        <f t="shared" si="240"/>
        <v>4.8313763943740767E-4</v>
      </c>
      <c r="G1179" s="30">
        <f t="shared" si="241"/>
        <v>1231.7241966194445</v>
      </c>
      <c r="H1179" s="38">
        <f t="shared" si="236"/>
        <v>193</v>
      </c>
      <c r="I1179" s="39">
        <f t="shared" si="237"/>
        <v>193.62354551676933</v>
      </c>
      <c r="J1179" s="40">
        <f t="shared" si="238"/>
        <v>98</v>
      </c>
      <c r="K1179" s="43">
        <f>VLOOKUP(J1179,Data!$Z$3:$AA$122,2)</f>
        <v>0</v>
      </c>
      <c r="L1179" s="41">
        <f t="shared" si="239"/>
        <v>0.62354551676932601</v>
      </c>
      <c r="M1179" s="43">
        <f>VLOOKUP(H1179,Data!$P$3:$X$122,9)</f>
        <v>0</v>
      </c>
      <c r="N1179" s="43">
        <f t="shared" si="242"/>
        <v>0</v>
      </c>
      <c r="O1179" s="43">
        <f t="shared" si="243"/>
        <v>0</v>
      </c>
      <c r="P1179" s="30">
        <f t="shared" si="244"/>
        <v>0</v>
      </c>
      <c r="Q1179" s="31">
        <f t="shared" si="246"/>
        <v>848340.75061972369</v>
      </c>
    </row>
    <row r="1180" spans="1:17" x14ac:dyDescent="0.25">
      <c r="A1180" s="6">
        <f t="shared" si="245"/>
        <v>79106</v>
      </c>
      <c r="B1180" s="30">
        <f>IFERROR(VLOOKUP(A1180, Data!$L$3:$N$123, 3),1)*Pension</f>
        <v>2549427.111606814</v>
      </c>
      <c r="C1180" s="37">
        <f t="shared" si="234"/>
        <v>98.083504449007535</v>
      </c>
      <c r="D1180" s="37">
        <f>IFERROR(VLOOKUP(A1180,Data!$I$3:$J$1442,2),0)</f>
        <v>7.8104364999999995E-2</v>
      </c>
      <c r="E1180" s="37">
        <f t="shared" si="235"/>
        <v>7.7904364999999989E-2</v>
      </c>
      <c r="F1180" s="37">
        <f t="shared" si="240"/>
        <v>4.8028391896974472E-4</v>
      </c>
      <c r="G1180" s="30">
        <f t="shared" si="241"/>
        <v>1224.4488442902373</v>
      </c>
      <c r="H1180" s="38">
        <f t="shared" si="236"/>
        <v>193</v>
      </c>
      <c r="I1180" s="39">
        <f t="shared" si="237"/>
        <v>193.70841889117042</v>
      </c>
      <c r="J1180" s="40">
        <f t="shared" si="238"/>
        <v>98</v>
      </c>
      <c r="K1180" s="43">
        <f>VLOOKUP(J1180,Data!$Z$3:$AA$122,2)</f>
        <v>0</v>
      </c>
      <c r="L1180" s="41">
        <f t="shared" si="239"/>
        <v>0.70841889117042456</v>
      </c>
      <c r="M1180" s="43">
        <f>VLOOKUP(H1180,Data!$P$3:$X$122,9)</f>
        <v>0</v>
      </c>
      <c r="N1180" s="43">
        <f t="shared" si="242"/>
        <v>0</v>
      </c>
      <c r="O1180" s="43">
        <f t="shared" si="243"/>
        <v>0</v>
      </c>
      <c r="P1180" s="30">
        <f t="shared" si="244"/>
        <v>0</v>
      </c>
      <c r="Q1180" s="31">
        <f t="shared" si="246"/>
        <v>848340.75061972369</v>
      </c>
    </row>
    <row r="1181" spans="1:17" x14ac:dyDescent="0.25">
      <c r="A1181" s="6">
        <f t="shared" si="245"/>
        <v>79137</v>
      </c>
      <c r="B1181" s="30">
        <f>IFERROR(VLOOKUP(A1181, Data!$L$3:$N$123, 3),1)*Pension</f>
        <v>2549427.111606814</v>
      </c>
      <c r="C1181" s="37">
        <f t="shared" si="234"/>
        <v>98.168377823408619</v>
      </c>
      <c r="D1181" s="37">
        <f>IFERROR(VLOOKUP(A1181,Data!$I$3:$J$1442,2),0)</f>
        <v>7.8097359000000005E-2</v>
      </c>
      <c r="E1181" s="37">
        <f t="shared" si="235"/>
        <v>7.7897358999999999E-2</v>
      </c>
      <c r="F1181" s="37">
        <f t="shared" si="240"/>
        <v>4.7744701394649564E-4</v>
      </c>
      <c r="G1181" s="30">
        <f t="shared" si="241"/>
        <v>1217.2163617109127</v>
      </c>
      <c r="H1181" s="38">
        <f t="shared" si="236"/>
        <v>193</v>
      </c>
      <c r="I1181" s="39">
        <f t="shared" si="237"/>
        <v>193.79329226557152</v>
      </c>
      <c r="J1181" s="40">
        <f t="shared" si="238"/>
        <v>98</v>
      </c>
      <c r="K1181" s="43">
        <f>VLOOKUP(J1181,Data!$Z$3:$AA$122,2)</f>
        <v>0</v>
      </c>
      <c r="L1181" s="41">
        <f t="shared" si="239"/>
        <v>0.7932922655715231</v>
      </c>
      <c r="M1181" s="43">
        <f>VLOOKUP(H1181,Data!$P$3:$X$122,9)</f>
        <v>0</v>
      </c>
      <c r="N1181" s="43">
        <f t="shared" si="242"/>
        <v>0</v>
      </c>
      <c r="O1181" s="43">
        <f t="shared" si="243"/>
        <v>0</v>
      </c>
      <c r="P1181" s="30">
        <f t="shared" si="244"/>
        <v>0</v>
      </c>
      <c r="Q1181" s="31">
        <f t="shared" si="246"/>
        <v>848340.75061972369</v>
      </c>
    </row>
    <row r="1182" spans="1:17" x14ac:dyDescent="0.25">
      <c r="A1182" s="6">
        <f t="shared" si="245"/>
        <v>79167</v>
      </c>
      <c r="B1182" s="30">
        <f>IFERROR(VLOOKUP(A1182, Data!$L$3:$N$123, 3),1)*Pension</f>
        <v>2549427.111606814</v>
      </c>
      <c r="C1182" s="37">
        <f t="shared" si="234"/>
        <v>98.25051334702259</v>
      </c>
      <c r="D1182" s="37">
        <f>IFERROR(VLOOKUP(A1182,Data!$I$3:$J$1442,2),0)</f>
        <v>7.8090590000000001E-2</v>
      </c>
      <c r="E1182" s="37">
        <f t="shared" si="235"/>
        <v>7.7890589999999996E-2</v>
      </c>
      <c r="F1182" s="37">
        <f t="shared" si="240"/>
        <v>4.7471760220449719E-4</v>
      </c>
      <c r="G1182" s="30">
        <f t="shared" si="241"/>
        <v>1210.2579254171237</v>
      </c>
      <c r="H1182" s="38">
        <f t="shared" si="236"/>
        <v>193</v>
      </c>
      <c r="I1182" s="39">
        <f t="shared" si="237"/>
        <v>193.87542778918549</v>
      </c>
      <c r="J1182" s="40">
        <f t="shared" si="238"/>
        <v>98</v>
      </c>
      <c r="K1182" s="43">
        <f>VLOOKUP(J1182,Data!$Z$3:$AA$122,2)</f>
        <v>0</v>
      </c>
      <c r="L1182" s="41">
        <f t="shared" si="239"/>
        <v>0.87542778918549402</v>
      </c>
      <c r="M1182" s="43">
        <f>VLOOKUP(H1182,Data!$P$3:$X$122,9)</f>
        <v>0</v>
      </c>
      <c r="N1182" s="43">
        <f t="shared" si="242"/>
        <v>0</v>
      </c>
      <c r="O1182" s="43">
        <f t="shared" si="243"/>
        <v>0</v>
      </c>
      <c r="P1182" s="30">
        <f t="shared" si="244"/>
        <v>0</v>
      </c>
      <c r="Q1182" s="31">
        <f t="shared" si="246"/>
        <v>848340.75061972369</v>
      </c>
    </row>
    <row r="1183" spans="1:17" x14ac:dyDescent="0.25">
      <c r="A1183" s="6">
        <f t="shared" si="245"/>
        <v>79198</v>
      </c>
      <c r="B1183" s="30">
        <f>IFERROR(VLOOKUP(A1183, Data!$L$3:$N$123, 3),1)*Pension</f>
        <v>2549427.111606814</v>
      </c>
      <c r="C1183" s="37">
        <f t="shared" si="234"/>
        <v>98.335386721423689</v>
      </c>
      <c r="D1183" s="37">
        <f>IFERROR(VLOOKUP(A1183,Data!$I$3:$J$1442,2),0)</f>
        <v>7.8083606999999999E-2</v>
      </c>
      <c r="E1183" s="37">
        <f t="shared" si="235"/>
        <v>7.7883606999999994E-2</v>
      </c>
      <c r="F1183" s="37">
        <f t="shared" si="240"/>
        <v>4.7191361244797056E-4</v>
      </c>
      <c r="G1183" s="30">
        <f t="shared" si="241"/>
        <v>1203.1093579111671</v>
      </c>
      <c r="H1183" s="38">
        <f t="shared" si="236"/>
        <v>193</v>
      </c>
      <c r="I1183" s="39">
        <f t="shared" si="237"/>
        <v>193.96030116358659</v>
      </c>
      <c r="J1183" s="40">
        <f t="shared" si="238"/>
        <v>98</v>
      </c>
      <c r="K1183" s="43">
        <f>VLOOKUP(J1183,Data!$Z$3:$AA$122,2)</f>
        <v>0</v>
      </c>
      <c r="L1183" s="41">
        <f t="shared" si="239"/>
        <v>0.96030116358659257</v>
      </c>
      <c r="M1183" s="43">
        <f>VLOOKUP(H1183,Data!$P$3:$X$122,9)</f>
        <v>0</v>
      </c>
      <c r="N1183" s="43">
        <f t="shared" si="242"/>
        <v>0</v>
      </c>
      <c r="O1183" s="43">
        <f t="shared" si="243"/>
        <v>0</v>
      </c>
      <c r="P1183" s="30">
        <f t="shared" si="244"/>
        <v>0</v>
      </c>
      <c r="Q1183" s="31">
        <f t="shared" si="246"/>
        <v>848340.75061972369</v>
      </c>
    </row>
    <row r="1184" spans="1:17" x14ac:dyDescent="0.25">
      <c r="A1184" s="6">
        <f t="shared" si="245"/>
        <v>79228</v>
      </c>
      <c r="B1184" s="30">
        <f>IFERROR(VLOOKUP(A1184, Data!$L$3:$N$123, 3),1)*Pension</f>
        <v>2549427.111606814</v>
      </c>
      <c r="C1184" s="37">
        <f t="shared" si="234"/>
        <v>98.417522245037645</v>
      </c>
      <c r="D1184" s="37">
        <f>IFERROR(VLOOKUP(A1184,Data!$I$3:$J$1442,2),0)</f>
        <v>7.8076860999999997E-2</v>
      </c>
      <c r="E1184" s="37">
        <f t="shared" si="235"/>
        <v>7.7876860999999992E-2</v>
      </c>
      <c r="F1184" s="37">
        <f t="shared" si="240"/>
        <v>4.6921583170557755E-4</v>
      </c>
      <c r="G1184" s="30">
        <f t="shared" si="241"/>
        <v>1196.2315625453396</v>
      </c>
      <c r="H1184" s="38">
        <f t="shared" si="236"/>
        <v>194</v>
      </c>
      <c r="I1184" s="39">
        <f t="shared" si="237"/>
        <v>194.04243668720054</v>
      </c>
      <c r="J1184" s="40">
        <f t="shared" si="238"/>
        <v>99</v>
      </c>
      <c r="K1184" s="43">
        <f>VLOOKUP(J1184,Data!$Z$3:$AA$122,2)</f>
        <v>0</v>
      </c>
      <c r="L1184" s="41">
        <f t="shared" si="239"/>
        <v>4.2436687200535061E-2</v>
      </c>
      <c r="M1184" s="43">
        <f>VLOOKUP(H1184,Data!$P$3:$X$122,9)</f>
        <v>0</v>
      </c>
      <c r="N1184" s="43">
        <f t="shared" si="242"/>
        <v>0</v>
      </c>
      <c r="O1184" s="43">
        <f t="shared" si="243"/>
        <v>0</v>
      </c>
      <c r="P1184" s="30">
        <f t="shared" si="244"/>
        <v>0</v>
      </c>
      <c r="Q1184" s="31">
        <f t="shared" si="246"/>
        <v>848340.75061972369</v>
      </c>
    </row>
    <row r="1185" spans="1:17" x14ac:dyDescent="0.25">
      <c r="A1185" s="6">
        <f t="shared" si="245"/>
        <v>79259</v>
      </c>
      <c r="B1185" s="30">
        <f>IFERROR(VLOOKUP(A1185, Data!$L$3:$N$123, 3),1)*Pension</f>
        <v>2676898.467187155</v>
      </c>
      <c r="C1185" s="37">
        <f t="shared" si="234"/>
        <v>98.502395619438744</v>
      </c>
      <c r="D1185" s="37">
        <f>IFERROR(VLOOKUP(A1185,Data!$I$3:$J$1442,2),0)</f>
        <v>7.8069901999999997E-2</v>
      </c>
      <c r="E1185" s="37">
        <f t="shared" si="235"/>
        <v>7.7869901999999991E-2</v>
      </c>
      <c r="F1185" s="37">
        <f t="shared" si="240"/>
        <v>4.6644432376081871E-4</v>
      </c>
      <c r="G1185" s="30">
        <f t="shared" si="241"/>
        <v>1248.6240953034846</v>
      </c>
      <c r="H1185" s="38">
        <f t="shared" si="236"/>
        <v>194</v>
      </c>
      <c r="I1185" s="39">
        <f t="shared" si="237"/>
        <v>194.12731006160163</v>
      </c>
      <c r="J1185" s="40">
        <f t="shared" si="238"/>
        <v>99</v>
      </c>
      <c r="K1185" s="43">
        <f>VLOOKUP(J1185,Data!$Z$3:$AA$122,2)</f>
        <v>0</v>
      </c>
      <c r="L1185" s="41">
        <f t="shared" si="239"/>
        <v>0.12731006160163361</v>
      </c>
      <c r="M1185" s="43">
        <f>VLOOKUP(H1185,Data!$P$3:$X$122,9)</f>
        <v>0</v>
      </c>
      <c r="N1185" s="43">
        <f t="shared" si="242"/>
        <v>0</v>
      </c>
      <c r="O1185" s="43">
        <f t="shared" si="243"/>
        <v>0</v>
      </c>
      <c r="P1185" s="30">
        <f t="shared" si="244"/>
        <v>0</v>
      </c>
      <c r="Q1185" s="31">
        <f t="shared" si="246"/>
        <v>848340.75061972369</v>
      </c>
    </row>
    <row r="1186" spans="1:17" x14ac:dyDescent="0.25">
      <c r="A1186" s="6">
        <f t="shared" si="245"/>
        <v>79290</v>
      </c>
      <c r="B1186" s="30">
        <f>IFERROR(VLOOKUP(A1186, Data!$L$3:$N$123, 3),1)*Pension</f>
        <v>2676898.467187155</v>
      </c>
      <c r="C1186" s="37">
        <f t="shared" si="234"/>
        <v>98.587268993839842</v>
      </c>
      <c r="D1186" s="37">
        <f>IFERROR(VLOOKUP(A1186,Data!$I$3:$J$1442,2),0)</f>
        <v>7.8062954000000004E-2</v>
      </c>
      <c r="E1186" s="37">
        <f t="shared" si="235"/>
        <v>7.7862953999999998E-2</v>
      </c>
      <c r="F1186" s="37">
        <f t="shared" si="240"/>
        <v>4.6368923111631585E-4</v>
      </c>
      <c r="G1186" s="30">
        <f t="shared" si="241"/>
        <v>1241.2489920264563</v>
      </c>
      <c r="H1186" s="38">
        <f t="shared" si="236"/>
        <v>194</v>
      </c>
      <c r="I1186" s="39">
        <f t="shared" si="237"/>
        <v>194.21218343600273</v>
      </c>
      <c r="J1186" s="40">
        <f t="shared" si="238"/>
        <v>99</v>
      </c>
      <c r="K1186" s="43">
        <f>VLOOKUP(J1186,Data!$Z$3:$AA$122,2)</f>
        <v>0</v>
      </c>
      <c r="L1186" s="41">
        <f t="shared" si="239"/>
        <v>0.21218343600273215</v>
      </c>
      <c r="M1186" s="43">
        <f>VLOOKUP(H1186,Data!$P$3:$X$122,9)</f>
        <v>0</v>
      </c>
      <c r="N1186" s="43">
        <f t="shared" si="242"/>
        <v>0</v>
      </c>
      <c r="O1186" s="43">
        <f t="shared" si="243"/>
        <v>0</v>
      </c>
      <c r="P1186" s="30">
        <f t="shared" si="244"/>
        <v>0</v>
      </c>
      <c r="Q1186" s="31">
        <f t="shared" si="246"/>
        <v>848340.75061972369</v>
      </c>
    </row>
    <row r="1187" spans="1:17" x14ac:dyDescent="0.25">
      <c r="A1187" s="6">
        <f t="shared" si="245"/>
        <v>79318</v>
      </c>
      <c r="B1187" s="30">
        <f>IFERROR(VLOOKUP(A1187, Data!$L$3:$N$123, 3),1)*Pension</f>
        <v>2676898.467187155</v>
      </c>
      <c r="C1187" s="37">
        <f t="shared" si="234"/>
        <v>98.66392881587953</v>
      </c>
      <c r="D1187" s="37">
        <f>IFERROR(VLOOKUP(A1187,Data!$I$3:$J$1442,2),0)</f>
        <v>7.8056689999999998E-2</v>
      </c>
      <c r="E1187" s="37">
        <f t="shared" si="235"/>
        <v>7.7856689999999992E-2</v>
      </c>
      <c r="F1187" s="37">
        <f t="shared" si="240"/>
        <v>4.6121468925531612E-4</v>
      </c>
      <c r="G1187" s="30">
        <f t="shared" si="241"/>
        <v>1234.6248947117558</v>
      </c>
      <c r="H1187" s="38">
        <f t="shared" si="236"/>
        <v>194</v>
      </c>
      <c r="I1187" s="39">
        <f t="shared" si="237"/>
        <v>194.28884325804245</v>
      </c>
      <c r="J1187" s="40">
        <f t="shared" si="238"/>
        <v>99</v>
      </c>
      <c r="K1187" s="43">
        <f>VLOOKUP(J1187,Data!$Z$3:$AA$122,2)</f>
        <v>0</v>
      </c>
      <c r="L1187" s="41">
        <f t="shared" si="239"/>
        <v>0.28884325804244781</v>
      </c>
      <c r="M1187" s="43">
        <f>VLOOKUP(H1187,Data!$P$3:$X$122,9)</f>
        <v>0</v>
      </c>
      <c r="N1187" s="43">
        <f t="shared" si="242"/>
        <v>0</v>
      </c>
      <c r="O1187" s="43">
        <f t="shared" si="243"/>
        <v>0</v>
      </c>
      <c r="P1187" s="30">
        <f t="shared" si="244"/>
        <v>0</v>
      </c>
      <c r="Q1187" s="31">
        <f t="shared" si="246"/>
        <v>848340.75061972369</v>
      </c>
    </row>
    <row r="1188" spans="1:17" x14ac:dyDescent="0.25">
      <c r="A1188" s="6">
        <f t="shared" si="245"/>
        <v>79349</v>
      </c>
      <c r="B1188" s="30">
        <f>IFERROR(VLOOKUP(A1188, Data!$L$3:$N$123, 3),1)*Pension</f>
        <v>2676898.467187155</v>
      </c>
      <c r="C1188" s="37">
        <f t="shared" si="234"/>
        <v>98.748802190280628</v>
      </c>
      <c r="D1188" s="37">
        <f>IFERROR(VLOOKUP(A1188,Data!$I$3:$J$1442,2),0)</f>
        <v>7.8049764999999993E-2</v>
      </c>
      <c r="E1188" s="37">
        <f t="shared" si="235"/>
        <v>7.7849764999999987E-2</v>
      </c>
      <c r="F1188" s="37">
        <f t="shared" si="240"/>
        <v>4.5849047325893539E-4</v>
      </c>
      <c r="G1188" s="30">
        <f t="shared" si="241"/>
        <v>1227.3324450867574</v>
      </c>
      <c r="H1188" s="38">
        <f t="shared" si="236"/>
        <v>194</v>
      </c>
      <c r="I1188" s="39">
        <f t="shared" si="237"/>
        <v>194.37371663244352</v>
      </c>
      <c r="J1188" s="40">
        <f t="shared" si="238"/>
        <v>99</v>
      </c>
      <c r="K1188" s="43">
        <f>VLOOKUP(J1188,Data!$Z$3:$AA$122,2)</f>
        <v>0</v>
      </c>
      <c r="L1188" s="41">
        <f t="shared" si="239"/>
        <v>0.37371663244351794</v>
      </c>
      <c r="M1188" s="43">
        <f>VLOOKUP(H1188,Data!$P$3:$X$122,9)</f>
        <v>0</v>
      </c>
      <c r="N1188" s="43">
        <f t="shared" si="242"/>
        <v>0</v>
      </c>
      <c r="O1188" s="43">
        <f t="shared" si="243"/>
        <v>0</v>
      </c>
      <c r="P1188" s="30">
        <f t="shared" si="244"/>
        <v>0</v>
      </c>
      <c r="Q1188" s="31">
        <f t="shared" si="246"/>
        <v>848340.75061972369</v>
      </c>
    </row>
    <row r="1189" spans="1:17" x14ac:dyDescent="0.25">
      <c r="A1189" s="6">
        <f t="shared" si="245"/>
        <v>79379</v>
      </c>
      <c r="B1189" s="30">
        <f>IFERROR(VLOOKUP(A1189, Data!$L$3:$N$123, 3),1)*Pension</f>
        <v>2676898.467187155</v>
      </c>
      <c r="C1189" s="37">
        <f t="shared" si="234"/>
        <v>98.830937713894599</v>
      </c>
      <c r="D1189" s="37">
        <f>IFERROR(VLOOKUP(A1189,Data!$I$3:$J$1442,2),0)</f>
        <v>7.8043076000000003E-2</v>
      </c>
      <c r="E1189" s="37">
        <f t="shared" si="235"/>
        <v>7.7843075999999997E-2</v>
      </c>
      <c r="F1189" s="37">
        <f t="shared" si="240"/>
        <v>4.5586939879924631E-4</v>
      </c>
      <c r="G1189" s="30">
        <f t="shared" si="241"/>
        <v>1220.3160948832324</v>
      </c>
      <c r="H1189" s="38">
        <f t="shared" si="236"/>
        <v>194</v>
      </c>
      <c r="I1189" s="39">
        <f t="shared" si="237"/>
        <v>194.45585215605749</v>
      </c>
      <c r="J1189" s="40">
        <f t="shared" si="238"/>
        <v>99</v>
      </c>
      <c r="K1189" s="43">
        <f>VLOOKUP(J1189,Data!$Z$3:$AA$122,2)</f>
        <v>0</v>
      </c>
      <c r="L1189" s="41">
        <f t="shared" si="239"/>
        <v>0.45585215605748886</v>
      </c>
      <c r="M1189" s="43">
        <f>VLOOKUP(H1189,Data!$P$3:$X$122,9)</f>
        <v>0</v>
      </c>
      <c r="N1189" s="43">
        <f t="shared" si="242"/>
        <v>0</v>
      </c>
      <c r="O1189" s="43">
        <f t="shared" si="243"/>
        <v>0</v>
      </c>
      <c r="P1189" s="30">
        <f t="shared" si="244"/>
        <v>0</v>
      </c>
      <c r="Q1189" s="31">
        <f t="shared" si="246"/>
        <v>848340.75061972369</v>
      </c>
    </row>
    <row r="1190" spans="1:17" x14ac:dyDescent="0.25">
      <c r="A1190" s="6">
        <f t="shared" si="245"/>
        <v>79410</v>
      </c>
      <c r="B1190" s="30">
        <f>IFERROR(VLOOKUP(A1190, Data!$L$3:$N$123, 3),1)*Pension</f>
        <v>2676898.467187155</v>
      </c>
      <c r="C1190" s="37">
        <f t="shared" si="234"/>
        <v>98.915811088295683</v>
      </c>
      <c r="D1190" s="37">
        <f>IFERROR(VLOOKUP(A1190,Data!$I$3:$J$1442,2),0)</f>
        <v>7.8036174999999999E-2</v>
      </c>
      <c r="E1190" s="37">
        <f t="shared" si="235"/>
        <v>7.7836174999999994E-2</v>
      </c>
      <c r="F1190" s="37">
        <f t="shared" si="240"/>
        <v>4.5317672727063576E-4</v>
      </c>
      <c r="G1190" s="30">
        <f t="shared" si="241"/>
        <v>1213.1080865956562</v>
      </c>
      <c r="H1190" s="38">
        <f t="shared" si="236"/>
        <v>194</v>
      </c>
      <c r="I1190" s="39">
        <f t="shared" si="237"/>
        <v>194.54072553045859</v>
      </c>
      <c r="J1190" s="40">
        <f t="shared" si="238"/>
        <v>99</v>
      </c>
      <c r="K1190" s="43">
        <f>VLOOKUP(J1190,Data!$Z$3:$AA$122,2)</f>
        <v>0</v>
      </c>
      <c r="L1190" s="41">
        <f t="shared" si="239"/>
        <v>0.5407255304585874</v>
      </c>
      <c r="M1190" s="43">
        <f>VLOOKUP(H1190,Data!$P$3:$X$122,9)</f>
        <v>0</v>
      </c>
      <c r="N1190" s="43">
        <f t="shared" si="242"/>
        <v>0</v>
      </c>
      <c r="O1190" s="43">
        <f t="shared" si="243"/>
        <v>0</v>
      </c>
      <c r="P1190" s="30">
        <f t="shared" si="244"/>
        <v>0</v>
      </c>
      <c r="Q1190" s="31">
        <f t="shared" si="246"/>
        <v>848340.75061972369</v>
      </c>
    </row>
    <row r="1191" spans="1:17" x14ac:dyDescent="0.25">
      <c r="A1191" s="6">
        <f t="shared" si="245"/>
        <v>79440</v>
      </c>
      <c r="B1191" s="30">
        <f>IFERROR(VLOOKUP(A1191, Data!$L$3:$N$123, 3),1)*Pension</f>
        <v>2676898.467187155</v>
      </c>
      <c r="C1191" s="37">
        <f t="shared" si="234"/>
        <v>98.997946611909654</v>
      </c>
      <c r="D1191" s="37">
        <f>IFERROR(VLOOKUP(A1191,Data!$I$3:$J$1442,2),0)</f>
        <v>7.8029506999999998E-2</v>
      </c>
      <c r="E1191" s="37">
        <f t="shared" si="235"/>
        <v>7.7829506999999992E-2</v>
      </c>
      <c r="F1191" s="37">
        <f t="shared" si="240"/>
        <v>4.5058609972209126E-4</v>
      </c>
      <c r="G1191" s="30">
        <f t="shared" si="241"/>
        <v>1206.1732396819048</v>
      </c>
      <c r="H1191" s="38">
        <f t="shared" si="236"/>
        <v>194</v>
      </c>
      <c r="I1191" s="39">
        <f t="shared" si="237"/>
        <v>194.62286105407256</v>
      </c>
      <c r="J1191" s="40">
        <f t="shared" si="238"/>
        <v>99</v>
      </c>
      <c r="K1191" s="43">
        <f>VLOOKUP(J1191,Data!$Z$3:$AA$122,2)</f>
        <v>0</v>
      </c>
      <c r="L1191" s="41">
        <f t="shared" si="239"/>
        <v>0.62286105407255832</v>
      </c>
      <c r="M1191" s="43">
        <f>VLOOKUP(H1191,Data!$P$3:$X$122,9)</f>
        <v>0</v>
      </c>
      <c r="N1191" s="43">
        <f t="shared" si="242"/>
        <v>0</v>
      </c>
      <c r="O1191" s="43">
        <f t="shared" si="243"/>
        <v>0</v>
      </c>
      <c r="P1191" s="30">
        <f t="shared" si="244"/>
        <v>0</v>
      </c>
      <c r="Q1191" s="31">
        <f t="shared" si="246"/>
        <v>848340.75061972369</v>
      </c>
    </row>
    <row r="1192" spans="1:17" x14ac:dyDescent="0.25">
      <c r="A1192" s="6">
        <f t="shared" si="245"/>
        <v>79471</v>
      </c>
      <c r="B1192" s="30">
        <f>IFERROR(VLOOKUP(A1192, Data!$L$3:$N$123, 3),1)*Pension</f>
        <v>2676898.467187155</v>
      </c>
      <c r="C1192" s="37">
        <f t="shared" si="234"/>
        <v>99.082819986310753</v>
      </c>
      <c r="D1192" s="37">
        <f>IFERROR(VLOOKUP(A1192,Data!$I$3:$J$1442,2),0)</f>
        <v>7.8022629999999996E-2</v>
      </c>
      <c r="E1192" s="37">
        <f t="shared" si="235"/>
        <v>7.782262999999999E-2</v>
      </c>
      <c r="F1192" s="37">
        <f t="shared" si="240"/>
        <v>4.479246018517595E-4</v>
      </c>
      <c r="G1192" s="30">
        <f t="shared" si="241"/>
        <v>1199.0486801123918</v>
      </c>
      <c r="H1192" s="38">
        <f t="shared" si="236"/>
        <v>194</v>
      </c>
      <c r="I1192" s="39">
        <f t="shared" si="237"/>
        <v>194.70773442847366</v>
      </c>
      <c r="J1192" s="40">
        <f t="shared" si="238"/>
        <v>99</v>
      </c>
      <c r="K1192" s="43">
        <f>VLOOKUP(J1192,Data!$Z$3:$AA$122,2)</f>
        <v>0</v>
      </c>
      <c r="L1192" s="41">
        <f t="shared" si="239"/>
        <v>0.70773442847365686</v>
      </c>
      <c r="M1192" s="43">
        <f>VLOOKUP(H1192,Data!$P$3:$X$122,9)</f>
        <v>0</v>
      </c>
      <c r="N1192" s="43">
        <f t="shared" si="242"/>
        <v>0</v>
      </c>
      <c r="O1192" s="43">
        <f t="shared" si="243"/>
        <v>0</v>
      </c>
      <c r="P1192" s="30">
        <f t="shared" si="244"/>
        <v>0</v>
      </c>
      <c r="Q1192" s="31">
        <f t="shared" si="246"/>
        <v>848340.75061972369</v>
      </c>
    </row>
    <row r="1193" spans="1:17" x14ac:dyDescent="0.25">
      <c r="A1193" s="6">
        <f t="shared" si="245"/>
        <v>79502</v>
      </c>
      <c r="B1193" s="30">
        <f>IFERROR(VLOOKUP(A1193, Data!$L$3:$N$123, 3),1)*Pension</f>
        <v>2676898.467187155</v>
      </c>
      <c r="C1193" s="37">
        <f t="shared" si="234"/>
        <v>99.167693360711837</v>
      </c>
      <c r="D1193" s="37">
        <f>IFERROR(VLOOKUP(A1193,Data!$I$3:$J$1442,2),0)</f>
        <v>7.8015764000000001E-2</v>
      </c>
      <c r="E1193" s="37">
        <f t="shared" si="235"/>
        <v>7.7815763999999996E-2</v>
      </c>
      <c r="F1193" s="37">
        <f t="shared" si="240"/>
        <v>4.4527885884018236E-4</v>
      </c>
      <c r="G1193" s="30">
        <f t="shared" si="241"/>
        <v>1191.9662947001298</v>
      </c>
      <c r="H1193" s="38">
        <f t="shared" si="236"/>
        <v>194</v>
      </c>
      <c r="I1193" s="39">
        <f t="shared" si="237"/>
        <v>194.79260780287476</v>
      </c>
      <c r="J1193" s="40">
        <f t="shared" si="238"/>
        <v>99</v>
      </c>
      <c r="K1193" s="43">
        <f>VLOOKUP(J1193,Data!$Z$3:$AA$122,2)</f>
        <v>0</v>
      </c>
      <c r="L1193" s="41">
        <f t="shared" si="239"/>
        <v>0.79260780287475541</v>
      </c>
      <c r="M1193" s="43">
        <f>VLOOKUP(H1193,Data!$P$3:$X$122,9)</f>
        <v>0</v>
      </c>
      <c r="N1193" s="43">
        <f t="shared" si="242"/>
        <v>0</v>
      </c>
      <c r="O1193" s="43">
        <f t="shared" si="243"/>
        <v>0</v>
      </c>
      <c r="P1193" s="30">
        <f t="shared" si="244"/>
        <v>0</v>
      </c>
      <c r="Q1193" s="31">
        <f t="shared" si="246"/>
        <v>848340.75061972369</v>
      </c>
    </row>
    <row r="1194" spans="1:17" x14ac:dyDescent="0.25">
      <c r="A1194" s="6">
        <f t="shared" si="245"/>
        <v>79532</v>
      </c>
      <c r="B1194" s="30">
        <f>IFERROR(VLOOKUP(A1194, Data!$L$3:$N$123, 3),1)*Pension</f>
        <v>2676898.467187155</v>
      </c>
      <c r="C1194" s="37">
        <f t="shared" si="234"/>
        <v>99.249828884325808</v>
      </c>
      <c r="D1194" s="37">
        <f>IFERROR(VLOOKUP(A1194,Data!$I$3:$J$1442,2),0)</f>
        <v>7.8009129999999996E-2</v>
      </c>
      <c r="E1194" s="37">
        <f t="shared" si="235"/>
        <v>7.780912999999999E-2</v>
      </c>
      <c r="F1194" s="37">
        <f t="shared" si="240"/>
        <v>4.4273337202269846E-4</v>
      </c>
      <c r="G1194" s="30">
        <f t="shared" si="241"/>
        <v>1185.152284940162</v>
      </c>
      <c r="H1194" s="38">
        <f t="shared" si="236"/>
        <v>194</v>
      </c>
      <c r="I1194" s="39">
        <f t="shared" si="237"/>
        <v>194.8747433264887</v>
      </c>
      <c r="J1194" s="40">
        <f t="shared" si="238"/>
        <v>99</v>
      </c>
      <c r="K1194" s="43">
        <f>VLOOKUP(J1194,Data!$Z$3:$AA$122,2)</f>
        <v>0</v>
      </c>
      <c r="L1194" s="41">
        <f t="shared" si="239"/>
        <v>0.8747433264886979</v>
      </c>
      <c r="M1194" s="43">
        <f>VLOOKUP(H1194,Data!$P$3:$X$122,9)</f>
        <v>0</v>
      </c>
      <c r="N1194" s="43">
        <f t="shared" si="242"/>
        <v>0</v>
      </c>
      <c r="O1194" s="43">
        <f t="shared" si="243"/>
        <v>0</v>
      </c>
      <c r="P1194" s="30">
        <f t="shared" si="244"/>
        <v>0</v>
      </c>
      <c r="Q1194" s="31">
        <f t="shared" si="246"/>
        <v>848340.75061972369</v>
      </c>
    </row>
    <row r="1195" spans="1:17" x14ac:dyDescent="0.25">
      <c r="A1195" s="6">
        <f t="shared" si="245"/>
        <v>79563</v>
      </c>
      <c r="B1195" s="30">
        <f>IFERROR(VLOOKUP(A1195, Data!$L$3:$N$123, 3),1)*Pension</f>
        <v>2676898.467187155</v>
      </c>
      <c r="C1195" s="37">
        <f t="shared" si="234"/>
        <v>99.334702258726892</v>
      </c>
      <c r="D1195" s="37">
        <f>IFERROR(VLOOKUP(A1195,Data!$I$3:$J$1442,2),0)</f>
        <v>7.8002287000000003E-2</v>
      </c>
      <c r="E1195" s="37">
        <f t="shared" si="235"/>
        <v>7.7802286999999998E-2</v>
      </c>
      <c r="F1195" s="37">
        <f t="shared" si="240"/>
        <v>4.4011829531711324E-4</v>
      </c>
      <c r="G1195" s="30">
        <f t="shared" si="241"/>
        <v>1178.151990115404</v>
      </c>
      <c r="H1195" s="38">
        <f t="shared" si="236"/>
        <v>194</v>
      </c>
      <c r="I1195" s="39">
        <f t="shared" si="237"/>
        <v>194.9596167008898</v>
      </c>
      <c r="J1195" s="40">
        <f t="shared" si="238"/>
        <v>99</v>
      </c>
      <c r="K1195" s="43">
        <f>VLOOKUP(J1195,Data!$Z$3:$AA$122,2)</f>
        <v>0</v>
      </c>
      <c r="L1195" s="41">
        <f t="shared" si="239"/>
        <v>0.95961670088979645</v>
      </c>
      <c r="M1195" s="43">
        <f>VLOOKUP(H1195,Data!$P$3:$X$122,9)</f>
        <v>0</v>
      </c>
      <c r="N1195" s="43">
        <f t="shared" si="242"/>
        <v>0</v>
      </c>
      <c r="O1195" s="43">
        <f t="shared" si="243"/>
        <v>0</v>
      </c>
      <c r="P1195" s="30">
        <f t="shared" si="244"/>
        <v>0</v>
      </c>
      <c r="Q1195" s="31">
        <f t="shared" si="246"/>
        <v>848340.75061972369</v>
      </c>
    </row>
    <row r="1196" spans="1:17" x14ac:dyDescent="0.25">
      <c r="A1196" s="6">
        <f t="shared" si="245"/>
        <v>79593</v>
      </c>
      <c r="B1196" s="30">
        <f>IFERROR(VLOOKUP(A1196, Data!$L$3:$N$123, 3),1)*Pension</f>
        <v>2676898.467187155</v>
      </c>
      <c r="C1196" s="37">
        <f t="shared" si="234"/>
        <v>99.416837782340863</v>
      </c>
      <c r="D1196" s="37">
        <f>IFERROR(VLOOKUP(A1196,Data!$I$3:$J$1442,2),0)</f>
        <v>7.7995676E-2</v>
      </c>
      <c r="E1196" s="37">
        <f t="shared" si="235"/>
        <v>7.7795675999999994E-2</v>
      </c>
      <c r="F1196" s="37">
        <f t="shared" si="240"/>
        <v>4.3760227806267699E-4</v>
      </c>
      <c r="G1196" s="30">
        <f t="shared" si="241"/>
        <v>1171.4168673835873</v>
      </c>
      <c r="H1196" s="38">
        <f t="shared" si="236"/>
        <v>195</v>
      </c>
      <c r="I1196" s="39">
        <f t="shared" si="237"/>
        <v>195.04175222450377</v>
      </c>
      <c r="J1196" s="40">
        <f t="shared" si="238"/>
        <v>100</v>
      </c>
      <c r="K1196" s="43">
        <f>VLOOKUP(J1196,Data!$Z$3:$AA$122,2)</f>
        <v>0</v>
      </c>
      <c r="L1196" s="41">
        <f t="shared" si="239"/>
        <v>4.1752224503767366E-2</v>
      </c>
      <c r="M1196" s="43">
        <f>VLOOKUP(H1196,Data!$P$3:$X$122,9)</f>
        <v>0</v>
      </c>
      <c r="N1196" s="43">
        <f t="shared" si="242"/>
        <v>0</v>
      </c>
      <c r="O1196" s="43">
        <f t="shared" si="243"/>
        <v>0</v>
      </c>
      <c r="P1196" s="30">
        <f t="shared" si="244"/>
        <v>0</v>
      </c>
      <c r="Q1196" s="31">
        <f t="shared" si="246"/>
        <v>848340.75061972369</v>
      </c>
    </row>
    <row r="1197" spans="1:17" x14ac:dyDescent="0.25">
      <c r="A1197" s="6">
        <f t="shared" si="245"/>
        <v>79624</v>
      </c>
      <c r="B1197" s="30">
        <f>IFERROR(VLOOKUP(A1197, Data!$L$3:$N$123, 3),1)*Pension</f>
        <v>2810743.3905465119</v>
      </c>
      <c r="C1197" s="37">
        <f t="shared" si="234"/>
        <v>99.501711156741962</v>
      </c>
      <c r="D1197" s="37">
        <f>IFERROR(VLOOKUP(A1197,Data!$I$3:$J$1442,2),0)</f>
        <v>7.7988855999999995E-2</v>
      </c>
      <c r="E1197" s="37">
        <f t="shared" si="235"/>
        <v>7.778885599999999E-2</v>
      </c>
      <c r="F1197" s="37">
        <f t="shared" si="240"/>
        <v>4.3501750734063315E-4</v>
      </c>
      <c r="G1197" s="30">
        <f t="shared" si="241"/>
        <v>1222.7225835297033</v>
      </c>
      <c r="H1197" s="38">
        <f t="shared" si="236"/>
        <v>195</v>
      </c>
      <c r="I1197" s="39">
        <f t="shared" si="237"/>
        <v>195.12662559890487</v>
      </c>
      <c r="J1197" s="40">
        <f t="shared" si="238"/>
        <v>100</v>
      </c>
      <c r="K1197" s="43">
        <f>VLOOKUP(J1197,Data!$Z$3:$AA$122,2)</f>
        <v>0</v>
      </c>
      <c r="L1197" s="41">
        <f t="shared" si="239"/>
        <v>0.12662559890486591</v>
      </c>
      <c r="M1197" s="43">
        <f>VLOOKUP(H1197,Data!$P$3:$X$122,9)</f>
        <v>0</v>
      </c>
      <c r="N1197" s="43">
        <f t="shared" si="242"/>
        <v>0</v>
      </c>
      <c r="O1197" s="43">
        <f t="shared" si="243"/>
        <v>0</v>
      </c>
      <c r="P1197" s="30">
        <f t="shared" si="244"/>
        <v>0</v>
      </c>
      <c r="Q1197" s="31">
        <f t="shared" si="246"/>
        <v>848340.75061972369</v>
      </c>
    </row>
    <row r="1198" spans="1:17" x14ac:dyDescent="0.25">
      <c r="A1198" s="6">
        <f t="shared" si="245"/>
        <v>79655</v>
      </c>
      <c r="B1198" s="30">
        <f>IFERROR(VLOOKUP(A1198, Data!$L$3:$N$123, 3),1)*Pension</f>
        <v>2810743.3905465119</v>
      </c>
      <c r="C1198" s="37">
        <f t="shared" si="234"/>
        <v>99.586584531143046</v>
      </c>
      <c r="D1198" s="37">
        <f>IFERROR(VLOOKUP(A1198,Data!$I$3:$J$1442,2),0)</f>
        <v>7.7982047999999998E-2</v>
      </c>
      <c r="E1198" s="37">
        <f t="shared" si="235"/>
        <v>7.7782047999999993E-2</v>
      </c>
      <c r="F1198" s="37">
        <f t="shared" si="240"/>
        <v>4.3244798783832522E-4</v>
      </c>
      <c r="G1198" s="30">
        <f t="shared" si="241"/>
        <v>1215.5003235717109</v>
      </c>
      <c r="H1198" s="38">
        <f t="shared" si="236"/>
        <v>195</v>
      </c>
      <c r="I1198" s="39">
        <f t="shared" si="237"/>
        <v>195.21149897330596</v>
      </c>
      <c r="J1198" s="40">
        <f t="shared" si="238"/>
        <v>100</v>
      </c>
      <c r="K1198" s="43">
        <f>VLOOKUP(J1198,Data!$Z$3:$AA$122,2)</f>
        <v>0</v>
      </c>
      <c r="L1198" s="41">
        <f t="shared" si="239"/>
        <v>0.21149897330596445</v>
      </c>
      <c r="M1198" s="43">
        <f>VLOOKUP(H1198,Data!$P$3:$X$122,9)</f>
        <v>0</v>
      </c>
      <c r="N1198" s="43">
        <f t="shared" si="242"/>
        <v>0</v>
      </c>
      <c r="O1198" s="43">
        <f t="shared" si="243"/>
        <v>0</v>
      </c>
      <c r="P1198" s="30">
        <f t="shared" si="244"/>
        <v>0</v>
      </c>
      <c r="Q1198" s="31">
        <f t="shared" si="246"/>
        <v>848340.75061972369</v>
      </c>
    </row>
    <row r="1199" spans="1:17" x14ac:dyDescent="0.25">
      <c r="A1199" s="6">
        <f t="shared" si="245"/>
        <v>79683</v>
      </c>
      <c r="B1199" s="30">
        <f>IFERROR(VLOOKUP(A1199, Data!$L$3:$N$123, 3),1)*Pension</f>
        <v>2810743.3905465119</v>
      </c>
      <c r="C1199" s="37">
        <f t="shared" si="234"/>
        <v>99.663244353182748</v>
      </c>
      <c r="D1199" s="37">
        <f>IFERROR(VLOOKUP(A1199,Data!$I$3:$J$1442,2),0)</f>
        <v>7.7975907999999997E-2</v>
      </c>
      <c r="E1199" s="37">
        <f t="shared" si="235"/>
        <v>7.7775907999999991E-2</v>
      </c>
      <c r="F1199" s="37">
        <f t="shared" si="240"/>
        <v>4.3014021381265868E-4</v>
      </c>
      <c r="G1199" s="30">
        <f t="shared" si="241"/>
        <v>1209.0137629821938</v>
      </c>
      <c r="H1199" s="38">
        <f t="shared" si="236"/>
        <v>195</v>
      </c>
      <c r="I1199" s="39">
        <f t="shared" si="237"/>
        <v>195.28815879534565</v>
      </c>
      <c r="J1199" s="40">
        <f t="shared" si="238"/>
        <v>100</v>
      </c>
      <c r="K1199" s="43">
        <f>VLOOKUP(J1199,Data!$Z$3:$AA$122,2)</f>
        <v>0</v>
      </c>
      <c r="L1199" s="41">
        <f t="shared" si="239"/>
        <v>0.2881587953456517</v>
      </c>
      <c r="M1199" s="43">
        <f>VLOOKUP(H1199,Data!$P$3:$X$122,9)</f>
        <v>0</v>
      </c>
      <c r="N1199" s="43">
        <f t="shared" si="242"/>
        <v>0</v>
      </c>
      <c r="O1199" s="43">
        <f t="shared" si="243"/>
        <v>0</v>
      </c>
      <c r="P1199" s="30">
        <f t="shared" si="244"/>
        <v>0</v>
      </c>
      <c r="Q1199" s="31">
        <f t="shared" si="246"/>
        <v>848340.75061972369</v>
      </c>
    </row>
    <row r="1200" spans="1:17" x14ac:dyDescent="0.25">
      <c r="A1200" s="6">
        <f t="shared" si="245"/>
        <v>79714</v>
      </c>
      <c r="B1200" s="30">
        <f>IFERROR(VLOOKUP(A1200, Data!$L$3:$N$123, 3),1)*Pension</f>
        <v>2810743.3905465119</v>
      </c>
      <c r="C1200" s="37">
        <f t="shared" si="234"/>
        <v>99.748117727583846</v>
      </c>
      <c r="D1200" s="37">
        <f>IFERROR(VLOOKUP(A1200,Data!$I$3:$J$1442,2),0)</f>
        <v>7.7969122000000002E-2</v>
      </c>
      <c r="E1200" s="37">
        <f t="shared" si="235"/>
        <v>7.7769121999999996E-2</v>
      </c>
      <c r="F1200" s="37">
        <f t="shared" si="240"/>
        <v>4.2759950483373696E-4</v>
      </c>
      <c r="G1200" s="30">
        <f t="shared" si="241"/>
        <v>1201.8724820123873</v>
      </c>
      <c r="H1200" s="38">
        <f t="shared" si="236"/>
        <v>195</v>
      </c>
      <c r="I1200" s="39">
        <f t="shared" si="237"/>
        <v>195.37303216974675</v>
      </c>
      <c r="J1200" s="40">
        <f t="shared" si="238"/>
        <v>100</v>
      </c>
      <c r="K1200" s="43">
        <f>VLOOKUP(J1200,Data!$Z$3:$AA$122,2)</f>
        <v>0</v>
      </c>
      <c r="L1200" s="41">
        <f t="shared" si="239"/>
        <v>0.37303216974675024</v>
      </c>
      <c r="M1200" s="43">
        <f>VLOOKUP(H1200,Data!$P$3:$X$122,9)</f>
        <v>0</v>
      </c>
      <c r="N1200" s="43">
        <f t="shared" si="242"/>
        <v>0</v>
      </c>
      <c r="O1200" s="43">
        <f t="shared" si="243"/>
        <v>0</v>
      </c>
      <c r="P1200" s="30">
        <f t="shared" si="244"/>
        <v>0</v>
      </c>
      <c r="Q1200" s="31">
        <f t="shared" si="246"/>
        <v>848340.75061972369</v>
      </c>
    </row>
    <row r="1201" spans="1:17" x14ac:dyDescent="0.25">
      <c r="A1201" s="6">
        <f t="shared" si="245"/>
        <v>79744</v>
      </c>
      <c r="B1201" s="30">
        <f>IFERROR(VLOOKUP(A1201, Data!$L$3:$N$123, 3),1)*Pension</f>
        <v>2810743.3905465119</v>
      </c>
      <c r="C1201" s="37">
        <f t="shared" si="234"/>
        <v>99.830253251197803</v>
      </c>
      <c r="D1201" s="37">
        <f>IFERROR(VLOOKUP(A1201,Data!$I$3:$J$1442,2),0)</f>
        <v>7.7962565999999997E-2</v>
      </c>
      <c r="E1201" s="37">
        <f t="shared" si="235"/>
        <v>7.7762565999999991E-2</v>
      </c>
      <c r="F1201" s="37">
        <f t="shared" si="240"/>
        <v>4.2515503928583173E-4</v>
      </c>
      <c r="G1201" s="30">
        <f t="shared" si="241"/>
        <v>1195.0017166301941</v>
      </c>
      <c r="H1201" s="38">
        <f t="shared" si="236"/>
        <v>195</v>
      </c>
      <c r="I1201" s="39">
        <f t="shared" si="237"/>
        <v>195.45516769336072</v>
      </c>
      <c r="J1201" s="40">
        <f t="shared" si="238"/>
        <v>100</v>
      </c>
      <c r="K1201" s="43">
        <f>VLOOKUP(J1201,Data!$Z$3:$AA$122,2)</f>
        <v>0</v>
      </c>
      <c r="L1201" s="41">
        <f t="shared" si="239"/>
        <v>0.45516769336072116</v>
      </c>
      <c r="M1201" s="43">
        <f>VLOOKUP(H1201,Data!$P$3:$X$122,9)</f>
        <v>0</v>
      </c>
      <c r="N1201" s="43">
        <f t="shared" si="242"/>
        <v>0</v>
      </c>
      <c r="O1201" s="43">
        <f t="shared" si="243"/>
        <v>0</v>
      </c>
      <c r="P1201" s="30">
        <f t="shared" si="244"/>
        <v>0</v>
      </c>
      <c r="Q1201" s="31">
        <f t="shared" si="246"/>
        <v>848340.75061972369</v>
      </c>
    </row>
    <row r="1202" spans="1:17" x14ac:dyDescent="0.25">
      <c r="A1202" s="6">
        <f t="shared" si="245"/>
        <v>79775</v>
      </c>
      <c r="B1202" s="30">
        <f>IFERROR(VLOOKUP(A1202, Data!$L$3:$N$123, 3),1)*Pension</f>
        <v>2810743.3905465119</v>
      </c>
      <c r="C1202" s="37">
        <f t="shared" si="234"/>
        <v>99.915126625598901</v>
      </c>
      <c r="D1202" s="37">
        <f>IFERROR(VLOOKUP(A1202,Data!$I$3:$J$1442,2),0)</f>
        <v>7.7955802000000005E-2</v>
      </c>
      <c r="E1202" s="37">
        <f t="shared" si="235"/>
        <v>7.7755801999999999E-2</v>
      </c>
      <c r="F1202" s="37">
        <f t="shared" si="240"/>
        <v>4.2264380479282212E-4</v>
      </c>
      <c r="G1202" s="30">
        <f t="shared" si="241"/>
        <v>1187.9432808768549</v>
      </c>
      <c r="H1202" s="38">
        <f t="shared" si="236"/>
        <v>195</v>
      </c>
      <c r="I1202" s="39">
        <f t="shared" si="237"/>
        <v>195.54004106776182</v>
      </c>
      <c r="J1202" s="40">
        <f t="shared" si="238"/>
        <v>100</v>
      </c>
      <c r="K1202" s="43">
        <f>VLOOKUP(J1202,Data!$Z$3:$AA$122,2)</f>
        <v>0</v>
      </c>
      <c r="L1202" s="41">
        <f t="shared" si="239"/>
        <v>0.5400410677618197</v>
      </c>
      <c r="M1202" s="43">
        <f>VLOOKUP(H1202,Data!$P$3:$X$122,9)</f>
        <v>0</v>
      </c>
      <c r="N1202" s="43">
        <f t="shared" si="242"/>
        <v>0</v>
      </c>
      <c r="O1202" s="43">
        <f t="shared" si="243"/>
        <v>0</v>
      </c>
      <c r="P1202" s="30">
        <f t="shared" si="244"/>
        <v>0</v>
      </c>
      <c r="Q1202" s="31">
        <f t="shared" si="246"/>
        <v>848340.75061972369</v>
      </c>
    </row>
    <row r="1203" spans="1:17" x14ac:dyDescent="0.25">
      <c r="A1203" s="6">
        <f t="shared" si="245"/>
        <v>79805</v>
      </c>
      <c r="B1203" s="30">
        <f>IFERROR(VLOOKUP(A1203, Data!$L$3:$N$123, 3),1)*Pension</f>
        <v>2810743.3905465119</v>
      </c>
      <c r="C1203" s="37">
        <f t="shared" si="234"/>
        <v>99.997262149212872</v>
      </c>
      <c r="D1203" s="37">
        <f>IFERROR(VLOOKUP(A1203,Data!$I$3:$J$1442,2),0)</f>
        <v>7.7949267000000003E-2</v>
      </c>
      <c r="E1203" s="37">
        <f t="shared" si="235"/>
        <v>7.7749266999999997E-2</v>
      </c>
      <c r="F1203" s="37">
        <f t="shared" si="240"/>
        <v>4.202277069875113E-4</v>
      </c>
      <c r="G1203" s="30">
        <f t="shared" si="241"/>
        <v>1181.1522499396635</v>
      </c>
      <c r="H1203" s="38">
        <f t="shared" si="236"/>
        <v>195</v>
      </c>
      <c r="I1203" s="39">
        <f t="shared" si="237"/>
        <v>195.62217659137576</v>
      </c>
      <c r="J1203" s="40">
        <f t="shared" si="238"/>
        <v>100</v>
      </c>
      <c r="K1203" s="43">
        <f>VLOOKUP(J1203,Data!$Z$3:$AA$122,2)</f>
        <v>0</v>
      </c>
      <c r="L1203" s="41">
        <f t="shared" si="239"/>
        <v>0.6221765913757622</v>
      </c>
      <c r="M1203" s="43">
        <f>VLOOKUP(H1203,Data!$P$3:$X$122,9)</f>
        <v>0</v>
      </c>
      <c r="N1203" s="43">
        <f t="shared" si="242"/>
        <v>0</v>
      </c>
      <c r="O1203" s="43">
        <f t="shared" si="243"/>
        <v>0</v>
      </c>
      <c r="P1203" s="30">
        <f t="shared" si="244"/>
        <v>0</v>
      </c>
      <c r="Q1203" s="31">
        <f t="shared" si="246"/>
        <v>848340.75061972369</v>
      </c>
    </row>
    <row r="1204" spans="1:17" x14ac:dyDescent="0.25">
      <c r="A1204" s="6">
        <f t="shared" si="245"/>
        <v>79836</v>
      </c>
      <c r="B1204" s="30">
        <f>IFERROR(VLOOKUP(A1204, Data!$L$3:$N$123, 3),1)*Pension</f>
        <v>2810743.3905465119</v>
      </c>
      <c r="C1204" s="37">
        <f t="shared" si="234"/>
        <v>100.08213552361396</v>
      </c>
      <c r="D1204" s="37">
        <f>IFERROR(VLOOKUP(A1204,Data!$I$3:$J$1442,2),0)</f>
        <v>7.7942525999999998E-2</v>
      </c>
      <c r="E1204" s="37">
        <f t="shared" si="235"/>
        <v>7.7742525999999992E-2</v>
      </c>
      <c r="F1204" s="37">
        <f t="shared" si="240"/>
        <v>4.1774555825859405E-4</v>
      </c>
      <c r="G1204" s="30">
        <f t="shared" si="241"/>
        <v>1174.1755668055059</v>
      </c>
      <c r="H1204" s="38">
        <f t="shared" si="236"/>
        <v>195</v>
      </c>
      <c r="I1204" s="39">
        <f t="shared" si="237"/>
        <v>195.70704996577686</v>
      </c>
      <c r="J1204" s="40">
        <f t="shared" si="238"/>
        <v>100</v>
      </c>
      <c r="K1204" s="43">
        <f>VLOOKUP(J1204,Data!$Z$3:$AA$122,2)</f>
        <v>0</v>
      </c>
      <c r="L1204" s="41">
        <f t="shared" si="239"/>
        <v>0.70704996577686074</v>
      </c>
      <c r="M1204" s="43">
        <f>VLOOKUP(H1204,Data!$P$3:$X$122,9)</f>
        <v>0</v>
      </c>
      <c r="N1204" s="43">
        <f t="shared" si="242"/>
        <v>0</v>
      </c>
      <c r="O1204" s="43">
        <f t="shared" si="243"/>
        <v>0</v>
      </c>
      <c r="P1204" s="30">
        <f t="shared" si="244"/>
        <v>0</v>
      </c>
      <c r="Q1204" s="31">
        <f t="shared" si="246"/>
        <v>848340.75061972369</v>
      </c>
    </row>
    <row r="1205" spans="1:17" x14ac:dyDescent="0.25">
      <c r="A1205" s="6">
        <f t="shared" si="245"/>
        <v>79867</v>
      </c>
      <c r="B1205" s="30">
        <f>IFERROR(VLOOKUP(A1205, Data!$L$3:$N$123, 3),1)*Pension</f>
        <v>2810743.3905465119</v>
      </c>
      <c r="C1205" s="37">
        <f t="shared" si="234"/>
        <v>100.16700889801506</v>
      </c>
      <c r="D1205" s="37">
        <f>IFERROR(VLOOKUP(A1205,Data!$I$3:$J$1442,2),0)</f>
        <v>7.7935797000000001E-2</v>
      </c>
      <c r="E1205" s="37">
        <f t="shared" si="235"/>
        <v>7.7735796999999995E-2</v>
      </c>
      <c r="F1205" s="37">
        <f t="shared" si="240"/>
        <v>4.1527804679823954E-4</v>
      </c>
      <c r="G1205" s="30">
        <f t="shared" si="241"/>
        <v>1167.2400252772168</v>
      </c>
      <c r="H1205" s="38">
        <f t="shared" si="236"/>
        <v>195</v>
      </c>
      <c r="I1205" s="39">
        <f t="shared" si="237"/>
        <v>195.79192334017796</v>
      </c>
      <c r="J1205" s="40">
        <f t="shared" si="238"/>
        <v>100</v>
      </c>
      <c r="K1205" s="43">
        <f>VLOOKUP(J1205,Data!$Z$3:$AA$122,2)</f>
        <v>0</v>
      </c>
      <c r="L1205" s="41">
        <f t="shared" si="239"/>
        <v>0.79192334017795929</v>
      </c>
      <c r="M1205" s="43">
        <f>VLOOKUP(H1205,Data!$P$3:$X$122,9)</f>
        <v>0</v>
      </c>
      <c r="N1205" s="43">
        <f t="shared" si="242"/>
        <v>0</v>
      </c>
      <c r="O1205" s="43">
        <f t="shared" si="243"/>
        <v>0</v>
      </c>
      <c r="P1205" s="30">
        <f t="shared" si="244"/>
        <v>0</v>
      </c>
      <c r="Q1205" s="31">
        <f t="shared" si="246"/>
        <v>848340.75061972369</v>
      </c>
    </row>
    <row r="1206" spans="1:17" x14ac:dyDescent="0.25">
      <c r="A1206" s="6">
        <f t="shared" si="245"/>
        <v>79897</v>
      </c>
      <c r="B1206" s="30">
        <f>IFERROR(VLOOKUP(A1206, Data!$L$3:$N$123, 3),1)*Pension</f>
        <v>2810743.3905465119</v>
      </c>
      <c r="C1206" s="37">
        <f t="shared" si="234"/>
        <v>100.24914442162903</v>
      </c>
      <c r="D1206" s="37">
        <f>IFERROR(VLOOKUP(A1206,Data!$I$3:$J$1442,2),0)</f>
        <v>7.7929294999999996E-2</v>
      </c>
      <c r="E1206" s="37">
        <f t="shared" si="235"/>
        <v>7.772929499999999E-2</v>
      </c>
      <c r="F1206" s="37">
        <f t="shared" si="240"/>
        <v>4.129040484324298E-4</v>
      </c>
      <c r="G1206" s="30">
        <f t="shared" si="241"/>
        <v>1160.5673250613488</v>
      </c>
      <c r="H1206" s="38">
        <f t="shared" si="236"/>
        <v>195</v>
      </c>
      <c r="I1206" s="39">
        <f t="shared" si="237"/>
        <v>195.87405886379193</v>
      </c>
      <c r="J1206" s="40">
        <f t="shared" si="238"/>
        <v>100</v>
      </c>
      <c r="K1206" s="43">
        <f>VLOOKUP(J1206,Data!$Z$3:$AA$122,2)</f>
        <v>0</v>
      </c>
      <c r="L1206" s="41">
        <f t="shared" si="239"/>
        <v>0.87405886379193021</v>
      </c>
      <c r="M1206" s="43">
        <f>VLOOKUP(H1206,Data!$P$3:$X$122,9)</f>
        <v>0</v>
      </c>
      <c r="N1206" s="43">
        <f t="shared" si="242"/>
        <v>0</v>
      </c>
      <c r="O1206" s="43">
        <f t="shared" si="243"/>
        <v>0</v>
      </c>
      <c r="P1206" s="30">
        <f t="shared" si="244"/>
        <v>0</v>
      </c>
      <c r="Q1206" s="31">
        <f t="shared" si="246"/>
        <v>848340.75061972369</v>
      </c>
    </row>
    <row r="1207" spans="1:17" x14ac:dyDescent="0.25">
      <c r="A1207" s="6">
        <f t="shared" si="245"/>
        <v>79928</v>
      </c>
      <c r="B1207" s="30">
        <f>IFERROR(VLOOKUP(A1207, Data!$L$3:$N$123, 3),1)*Pension</f>
        <v>2810743.3905465119</v>
      </c>
      <c r="C1207" s="37">
        <f t="shared" si="234"/>
        <v>100.33401779603011</v>
      </c>
      <c r="D1207" s="37">
        <f>IFERROR(VLOOKUP(A1207,Data!$I$3:$J$1442,2),0)</f>
        <v>7.7922588000000001E-2</v>
      </c>
      <c r="E1207" s="37">
        <f t="shared" si="235"/>
        <v>7.7722587999999995E-2</v>
      </c>
      <c r="F1207" s="37">
        <f t="shared" si="240"/>
        <v>4.104651506558849E-4</v>
      </c>
      <c r="G1207" s="30">
        <f t="shared" si="241"/>
        <v>1153.7122092557067</v>
      </c>
      <c r="H1207" s="38">
        <f t="shared" si="236"/>
        <v>195</v>
      </c>
      <c r="I1207" s="39">
        <f t="shared" si="237"/>
        <v>195.95893223819303</v>
      </c>
      <c r="J1207" s="40">
        <f t="shared" si="238"/>
        <v>100</v>
      </c>
      <c r="K1207" s="43">
        <f>VLOOKUP(J1207,Data!$Z$3:$AA$122,2)</f>
        <v>0</v>
      </c>
      <c r="L1207" s="41">
        <f t="shared" si="239"/>
        <v>0.95893223819302875</v>
      </c>
      <c r="M1207" s="43">
        <f>VLOOKUP(H1207,Data!$P$3:$X$122,9)</f>
        <v>0</v>
      </c>
      <c r="N1207" s="43">
        <f t="shared" si="242"/>
        <v>0</v>
      </c>
      <c r="O1207" s="43">
        <f t="shared" si="243"/>
        <v>0</v>
      </c>
      <c r="P1207" s="30">
        <f t="shared" si="244"/>
        <v>0</v>
      </c>
      <c r="Q1207" s="31">
        <f t="shared" si="246"/>
        <v>848340.75061972369</v>
      </c>
    </row>
    <row r="1208" spans="1:17" x14ac:dyDescent="0.25">
      <c r="A1208" s="6">
        <f t="shared" si="245"/>
        <v>79958</v>
      </c>
      <c r="B1208" s="30">
        <f>IFERROR(VLOOKUP(A1208, Data!$L$3:$N$123, 3),1)*Pension</f>
        <v>2810743.3905465119</v>
      </c>
      <c r="C1208" s="37">
        <f t="shared" si="234"/>
        <v>100.41615331964408</v>
      </c>
      <c r="D1208" s="37">
        <f>IFERROR(VLOOKUP(A1208,Data!$I$3:$J$1442,2),0)</f>
        <v>7.7916106999999998E-2</v>
      </c>
      <c r="E1208" s="37">
        <f t="shared" si="235"/>
        <v>7.7716106999999993E-2</v>
      </c>
      <c r="F1208" s="37">
        <f t="shared" si="240"/>
        <v>4.0811869125892397E-4</v>
      </c>
      <c r="G1208" s="30">
        <f t="shared" si="241"/>
        <v>1147.116914014513</v>
      </c>
      <c r="H1208" s="38">
        <f t="shared" si="236"/>
        <v>196</v>
      </c>
      <c r="I1208" s="39">
        <f t="shared" si="237"/>
        <v>196.04106776180697</v>
      </c>
      <c r="J1208" s="40">
        <f t="shared" si="238"/>
        <v>101</v>
      </c>
      <c r="K1208" s="43">
        <f>VLOOKUP(J1208,Data!$Z$3:$AA$122,2)</f>
        <v>0</v>
      </c>
      <c r="L1208" s="41">
        <f t="shared" si="239"/>
        <v>4.1067761806971248E-2</v>
      </c>
      <c r="M1208" s="43">
        <f>VLOOKUP(H1208,Data!$P$3:$X$122,9)</f>
        <v>0</v>
      </c>
      <c r="N1208" s="43">
        <f t="shared" si="242"/>
        <v>0</v>
      </c>
      <c r="O1208" s="43">
        <f t="shared" si="243"/>
        <v>0</v>
      </c>
      <c r="P1208" s="30">
        <f t="shared" si="244"/>
        <v>0</v>
      </c>
      <c r="Q1208" s="31">
        <f t="shared" si="246"/>
        <v>848340.75061972369</v>
      </c>
    </row>
    <row r="1209" spans="1:17" x14ac:dyDescent="0.25">
      <c r="A1209" s="6">
        <f t="shared" si="245"/>
        <v>79989</v>
      </c>
      <c r="B1209" s="30">
        <f>IFERROR(VLOOKUP(A1209, Data!$L$3:$N$123, 3),1)*Pension</f>
        <v>2951280.5600738381</v>
      </c>
      <c r="C1209" s="37">
        <f t="shared" si="234"/>
        <v>100.50102669404518</v>
      </c>
      <c r="D1209" s="37">
        <f>IFERROR(VLOOKUP(A1209,Data!$I$3:$J$1442,2),0)</f>
        <v>7.7909422000000006E-2</v>
      </c>
      <c r="E1209" s="37">
        <f t="shared" si="235"/>
        <v>7.7709422E-2</v>
      </c>
      <c r="F1209" s="37">
        <f t="shared" si="240"/>
        <v>4.0570807065051572E-4</v>
      </c>
      <c r="G1209" s="30">
        <f t="shared" si="241"/>
        <v>1197.3583419759302</v>
      </c>
      <c r="H1209" s="38">
        <f t="shared" si="236"/>
        <v>196</v>
      </c>
      <c r="I1209" s="39">
        <f t="shared" si="237"/>
        <v>196.12594113620807</v>
      </c>
      <c r="J1209" s="40">
        <f t="shared" si="238"/>
        <v>101</v>
      </c>
      <c r="K1209" s="43">
        <f>VLOOKUP(J1209,Data!$Z$3:$AA$122,2)</f>
        <v>0</v>
      </c>
      <c r="L1209" s="41">
        <f t="shared" si="239"/>
        <v>0.12594113620806979</v>
      </c>
      <c r="M1209" s="43">
        <f>VLOOKUP(H1209,Data!$P$3:$X$122,9)</f>
        <v>0</v>
      </c>
      <c r="N1209" s="43">
        <f t="shared" si="242"/>
        <v>0</v>
      </c>
      <c r="O1209" s="43">
        <f t="shared" si="243"/>
        <v>0</v>
      </c>
      <c r="P1209" s="30">
        <f t="shared" si="244"/>
        <v>0</v>
      </c>
      <c r="Q1209" s="31">
        <f t="shared" si="246"/>
        <v>848340.75061972369</v>
      </c>
    </row>
    <row r="1210" spans="1:17" x14ac:dyDescent="0.25">
      <c r="A1210" s="6">
        <f t="shared" si="245"/>
        <v>80020</v>
      </c>
      <c r="B1210" s="30">
        <f>IFERROR(VLOOKUP(A1210, Data!$L$3:$N$123, 3),1)*Pension</f>
        <v>2951280.5600738381</v>
      </c>
      <c r="C1210" s="37">
        <f t="shared" si="234"/>
        <v>100.58590006844626</v>
      </c>
      <c r="D1210" s="37">
        <f>IFERROR(VLOOKUP(A1210,Data!$I$3:$J$1442,2),0)</f>
        <v>7.7902748999999993E-2</v>
      </c>
      <c r="E1210" s="37">
        <f t="shared" si="235"/>
        <v>7.7702748999999988E-2</v>
      </c>
      <c r="F1210" s="37">
        <f t="shared" si="240"/>
        <v>4.0331165962291624E-4</v>
      </c>
      <c r="G1210" s="30">
        <f t="shared" si="241"/>
        <v>1190.2858606962293</v>
      </c>
      <c r="H1210" s="38">
        <f t="shared" si="236"/>
        <v>196</v>
      </c>
      <c r="I1210" s="39">
        <f t="shared" si="237"/>
        <v>196.21081451060917</v>
      </c>
      <c r="J1210" s="40">
        <f t="shared" si="238"/>
        <v>101</v>
      </c>
      <c r="K1210" s="43">
        <f>VLOOKUP(J1210,Data!$Z$3:$AA$122,2)</f>
        <v>0</v>
      </c>
      <c r="L1210" s="41">
        <f t="shared" si="239"/>
        <v>0.21081451060916834</v>
      </c>
      <c r="M1210" s="43">
        <f>VLOOKUP(H1210,Data!$P$3:$X$122,9)</f>
        <v>0</v>
      </c>
      <c r="N1210" s="43">
        <f t="shared" si="242"/>
        <v>0</v>
      </c>
      <c r="O1210" s="43">
        <f t="shared" si="243"/>
        <v>0</v>
      </c>
      <c r="P1210" s="30">
        <f t="shared" si="244"/>
        <v>0</v>
      </c>
      <c r="Q1210" s="31">
        <f t="shared" si="246"/>
        <v>848340.75061972369</v>
      </c>
    </row>
    <row r="1211" spans="1:17" x14ac:dyDescent="0.25">
      <c r="A1211" s="6">
        <f t="shared" si="245"/>
        <v>80048</v>
      </c>
      <c r="B1211" s="30">
        <f>IFERROR(VLOOKUP(A1211, Data!$L$3:$N$123, 3),1)*Pension</f>
        <v>2951280.5600738381</v>
      </c>
      <c r="C1211" s="37">
        <f t="shared" si="234"/>
        <v>100.66255989048597</v>
      </c>
      <c r="D1211" s="37">
        <f>IFERROR(VLOOKUP(A1211,Data!$I$3:$J$1442,2),0)</f>
        <v>7.7896730999999997E-2</v>
      </c>
      <c r="E1211" s="37">
        <f t="shared" si="235"/>
        <v>7.7696730999999991E-2</v>
      </c>
      <c r="F1211" s="37">
        <f t="shared" si="240"/>
        <v>4.0115934617463643E-4</v>
      </c>
      <c r="G1211" s="30">
        <f t="shared" si="241"/>
        <v>1183.9337798571357</v>
      </c>
      <c r="H1211" s="38">
        <f t="shared" si="236"/>
        <v>196</v>
      </c>
      <c r="I1211" s="39">
        <f t="shared" si="237"/>
        <v>196.28747433264888</v>
      </c>
      <c r="J1211" s="40">
        <f t="shared" si="238"/>
        <v>101</v>
      </c>
      <c r="K1211" s="43">
        <f>VLOOKUP(J1211,Data!$Z$3:$AA$122,2)</f>
        <v>0</v>
      </c>
      <c r="L1211" s="41">
        <f t="shared" si="239"/>
        <v>0.287474332648884</v>
      </c>
      <c r="M1211" s="43">
        <f>VLOOKUP(H1211,Data!$P$3:$X$122,9)</f>
        <v>0</v>
      </c>
      <c r="N1211" s="43">
        <f t="shared" si="242"/>
        <v>0</v>
      </c>
      <c r="O1211" s="43">
        <f t="shared" si="243"/>
        <v>0</v>
      </c>
      <c r="P1211" s="30">
        <f t="shared" si="244"/>
        <v>0</v>
      </c>
      <c r="Q1211" s="31">
        <f t="shared" si="246"/>
        <v>848340.75061972369</v>
      </c>
    </row>
    <row r="1212" spans="1:17" x14ac:dyDescent="0.25">
      <c r="A1212" s="6">
        <f t="shared" si="245"/>
        <v>80079</v>
      </c>
      <c r="B1212" s="30">
        <f>IFERROR(VLOOKUP(A1212, Data!$L$3:$N$123, 3),1)*Pension</f>
        <v>2951280.5600738381</v>
      </c>
      <c r="C1212" s="37">
        <f t="shared" si="234"/>
        <v>100.74743326488706</v>
      </c>
      <c r="D1212" s="37">
        <f>IFERROR(VLOOKUP(A1212,Data!$I$3:$J$1442,2),0)</f>
        <v>7.7890078000000001E-2</v>
      </c>
      <c r="E1212" s="37">
        <f t="shared" si="235"/>
        <v>7.7690077999999996E-2</v>
      </c>
      <c r="F1212" s="37">
        <f t="shared" si="240"/>
        <v>3.9878985913455037E-4</v>
      </c>
      <c r="G1212" s="30">
        <f t="shared" si="241"/>
        <v>1176.9407588183828</v>
      </c>
      <c r="H1212" s="38">
        <f t="shared" si="236"/>
        <v>196</v>
      </c>
      <c r="I1212" s="39">
        <f t="shared" si="237"/>
        <v>196.37234770704995</v>
      </c>
      <c r="J1212" s="40">
        <f t="shared" si="238"/>
        <v>101</v>
      </c>
      <c r="K1212" s="43">
        <f>VLOOKUP(J1212,Data!$Z$3:$AA$122,2)</f>
        <v>0</v>
      </c>
      <c r="L1212" s="41">
        <f t="shared" si="239"/>
        <v>0.37234770704995412</v>
      </c>
      <c r="M1212" s="43">
        <f>VLOOKUP(H1212,Data!$P$3:$X$122,9)</f>
        <v>0</v>
      </c>
      <c r="N1212" s="43">
        <f t="shared" si="242"/>
        <v>0</v>
      </c>
      <c r="O1212" s="43">
        <f t="shared" si="243"/>
        <v>0</v>
      </c>
      <c r="P1212" s="30">
        <f t="shared" si="244"/>
        <v>0</v>
      </c>
      <c r="Q1212" s="31">
        <f t="shared" si="246"/>
        <v>848340.75061972369</v>
      </c>
    </row>
    <row r="1213" spans="1:17" x14ac:dyDescent="0.25">
      <c r="A1213" s="6">
        <f t="shared" si="245"/>
        <v>80109</v>
      </c>
      <c r="B1213" s="30">
        <f>IFERROR(VLOOKUP(A1213, Data!$L$3:$N$123, 3),1)*Pension</f>
        <v>2951280.5600738381</v>
      </c>
      <c r="C1213" s="37">
        <f t="shared" si="234"/>
        <v>100.82956878850102</v>
      </c>
      <c r="D1213" s="37">
        <f>IFERROR(VLOOKUP(A1213,Data!$I$3:$J$1442,2),0)</f>
        <v>7.7883650999999998E-2</v>
      </c>
      <c r="E1213" s="37">
        <f t="shared" si="235"/>
        <v>7.7683650999999992E-2</v>
      </c>
      <c r="F1213" s="37">
        <f t="shared" si="240"/>
        <v>3.9651010478969383E-4</v>
      </c>
      <c r="G1213" s="30">
        <f t="shared" si="241"/>
        <v>1170.2125641386638</v>
      </c>
      <c r="H1213" s="38">
        <f t="shared" si="236"/>
        <v>196</v>
      </c>
      <c r="I1213" s="39">
        <f t="shared" si="237"/>
        <v>196.45448323066393</v>
      </c>
      <c r="J1213" s="40">
        <f t="shared" si="238"/>
        <v>101</v>
      </c>
      <c r="K1213" s="43">
        <f>VLOOKUP(J1213,Data!$Z$3:$AA$122,2)</f>
        <v>0</v>
      </c>
      <c r="L1213" s="41">
        <f t="shared" si="239"/>
        <v>0.45448323066392504</v>
      </c>
      <c r="M1213" s="43">
        <f>VLOOKUP(H1213,Data!$P$3:$X$122,9)</f>
        <v>0</v>
      </c>
      <c r="N1213" s="43">
        <f t="shared" si="242"/>
        <v>0</v>
      </c>
      <c r="O1213" s="43">
        <f t="shared" si="243"/>
        <v>0</v>
      </c>
      <c r="P1213" s="30">
        <f t="shared" si="244"/>
        <v>0</v>
      </c>
      <c r="Q1213" s="31">
        <f t="shared" si="246"/>
        <v>848340.75061972369</v>
      </c>
    </row>
    <row r="1214" spans="1:17" x14ac:dyDescent="0.25">
      <c r="A1214" s="6">
        <f t="shared" si="245"/>
        <v>80140</v>
      </c>
      <c r="B1214" s="30">
        <f>IFERROR(VLOOKUP(A1214, Data!$L$3:$N$123, 3),1)*Pension</f>
        <v>2951280.5600738381</v>
      </c>
      <c r="C1214" s="37">
        <f t="shared" si="234"/>
        <v>100.91444216290212</v>
      </c>
      <c r="D1214" s="37">
        <f>IFERROR(VLOOKUP(A1214,Data!$I$3:$J$1442,2),0)</f>
        <v>7.7877021000000005E-2</v>
      </c>
      <c r="E1214" s="37">
        <f t="shared" si="235"/>
        <v>7.7677020999999999E-2</v>
      </c>
      <c r="F1214" s="37">
        <f t="shared" si="240"/>
        <v>3.9416803962064051E-4</v>
      </c>
      <c r="G1214" s="30">
        <f t="shared" si="241"/>
        <v>1163.3004727348107</v>
      </c>
      <c r="H1214" s="38">
        <f t="shared" si="236"/>
        <v>196</v>
      </c>
      <c r="I1214" s="39">
        <f t="shared" si="237"/>
        <v>196.53935660506502</v>
      </c>
      <c r="J1214" s="40">
        <f t="shared" si="238"/>
        <v>101</v>
      </c>
      <c r="K1214" s="43">
        <f>VLOOKUP(J1214,Data!$Z$3:$AA$122,2)</f>
        <v>0</v>
      </c>
      <c r="L1214" s="41">
        <f t="shared" si="239"/>
        <v>0.53935660506502359</v>
      </c>
      <c r="M1214" s="43">
        <f>VLOOKUP(H1214,Data!$P$3:$X$122,9)</f>
        <v>0</v>
      </c>
      <c r="N1214" s="43">
        <f t="shared" si="242"/>
        <v>0</v>
      </c>
      <c r="O1214" s="43">
        <f t="shared" si="243"/>
        <v>0</v>
      </c>
      <c r="P1214" s="30">
        <f t="shared" si="244"/>
        <v>0</v>
      </c>
      <c r="Q1214" s="31">
        <f t="shared" si="246"/>
        <v>848340.75061972369</v>
      </c>
    </row>
    <row r="1215" spans="1:17" x14ac:dyDescent="0.25">
      <c r="A1215" s="6">
        <f t="shared" si="245"/>
        <v>80170</v>
      </c>
      <c r="B1215" s="30">
        <f>IFERROR(VLOOKUP(A1215, Data!$L$3:$N$123, 3),1)*Pension</f>
        <v>2951280.5600738381</v>
      </c>
      <c r="C1215" s="37">
        <f t="shared" si="234"/>
        <v>100.99657768651609</v>
      </c>
      <c r="D1215" s="37">
        <f>IFERROR(VLOOKUP(A1215,Data!$I$3:$J$1442,2),0)</f>
        <v>7.7870615000000004E-2</v>
      </c>
      <c r="E1215" s="37">
        <f t="shared" si="235"/>
        <v>7.7670614999999998E-2</v>
      </c>
      <c r="F1215" s="37">
        <f t="shared" si="240"/>
        <v>3.9191471649428127E-4</v>
      </c>
      <c r="G1215" s="30">
        <f t="shared" si="241"/>
        <v>1156.6502839964219</v>
      </c>
      <c r="H1215" s="38">
        <f t="shared" si="236"/>
        <v>196</v>
      </c>
      <c r="I1215" s="39">
        <f t="shared" si="237"/>
        <v>196.62149212867899</v>
      </c>
      <c r="J1215" s="40">
        <f t="shared" si="238"/>
        <v>101</v>
      </c>
      <c r="K1215" s="43">
        <f>VLOOKUP(J1215,Data!$Z$3:$AA$122,2)</f>
        <v>0</v>
      </c>
      <c r="L1215" s="41">
        <f t="shared" si="239"/>
        <v>0.6214921286789945</v>
      </c>
      <c r="M1215" s="43">
        <f>VLOOKUP(H1215,Data!$P$3:$X$122,9)</f>
        <v>0</v>
      </c>
      <c r="N1215" s="43">
        <f t="shared" si="242"/>
        <v>0</v>
      </c>
      <c r="O1215" s="43">
        <f t="shared" si="243"/>
        <v>0</v>
      </c>
      <c r="P1215" s="30">
        <f t="shared" si="244"/>
        <v>0</v>
      </c>
      <c r="Q1215" s="31">
        <f t="shared" si="246"/>
        <v>848340.75061972369</v>
      </c>
    </row>
    <row r="1216" spans="1:17" x14ac:dyDescent="0.25">
      <c r="A1216" s="6">
        <f t="shared" si="245"/>
        <v>80201</v>
      </c>
      <c r="B1216" s="30">
        <f>IFERROR(VLOOKUP(A1216, Data!$L$3:$N$123, 3),1)*Pension</f>
        <v>2951280.5600738381</v>
      </c>
      <c r="C1216" s="37">
        <f t="shared" si="234"/>
        <v>101.08145106091717</v>
      </c>
      <c r="D1216" s="37">
        <f>IFERROR(VLOOKUP(A1216,Data!$I$3:$J$1442,2),0)</f>
        <v>7.7864006999999999E-2</v>
      </c>
      <c r="E1216" s="37">
        <f t="shared" si="235"/>
        <v>7.7664006999999993E-2</v>
      </c>
      <c r="F1216" s="37">
        <f t="shared" si="240"/>
        <v>3.8959979095264341E-4</v>
      </c>
      <c r="G1216" s="30">
        <f t="shared" si="241"/>
        <v>1149.8182892473676</v>
      </c>
      <c r="H1216" s="38">
        <f t="shared" si="236"/>
        <v>196</v>
      </c>
      <c r="I1216" s="39">
        <f t="shared" si="237"/>
        <v>196.70636550308009</v>
      </c>
      <c r="J1216" s="40">
        <f t="shared" si="238"/>
        <v>101</v>
      </c>
      <c r="K1216" s="43">
        <f>VLOOKUP(J1216,Data!$Z$3:$AA$122,2)</f>
        <v>0</v>
      </c>
      <c r="L1216" s="41">
        <f t="shared" si="239"/>
        <v>0.70636550308009305</v>
      </c>
      <c r="M1216" s="43">
        <f>VLOOKUP(H1216,Data!$P$3:$X$122,9)</f>
        <v>0</v>
      </c>
      <c r="N1216" s="43">
        <f t="shared" si="242"/>
        <v>0</v>
      </c>
      <c r="O1216" s="43">
        <f t="shared" si="243"/>
        <v>0</v>
      </c>
      <c r="P1216" s="30">
        <f t="shared" si="244"/>
        <v>0</v>
      </c>
      <c r="Q1216" s="31">
        <f t="shared" si="246"/>
        <v>848340.75061972369</v>
      </c>
    </row>
    <row r="1217" spans="1:17" x14ac:dyDescent="0.25">
      <c r="A1217" s="6">
        <f t="shared" si="245"/>
        <v>80232</v>
      </c>
      <c r="B1217" s="30">
        <f>IFERROR(VLOOKUP(A1217, Data!$L$3:$N$123, 3),1)*Pension</f>
        <v>2951280.5600738381</v>
      </c>
      <c r="C1217" s="37">
        <f t="shared" si="234"/>
        <v>101.16632443531827</v>
      </c>
      <c r="D1217" s="37">
        <f>IFERROR(VLOOKUP(A1217,Data!$I$3:$J$1442,2),0)</f>
        <v>7.7857409000000002E-2</v>
      </c>
      <c r="E1217" s="37">
        <f t="shared" si="235"/>
        <v>7.7657408999999997E-2</v>
      </c>
      <c r="F1217" s="37">
        <f t="shared" si="240"/>
        <v>3.8729858161060175E-4</v>
      </c>
      <c r="G1217" s="30">
        <f t="shared" si="241"/>
        <v>1143.0267748515398</v>
      </c>
      <c r="H1217" s="38">
        <f t="shared" si="236"/>
        <v>196</v>
      </c>
      <c r="I1217" s="39">
        <f t="shared" si="237"/>
        <v>196.79123887748116</v>
      </c>
      <c r="J1217" s="40">
        <f t="shared" si="238"/>
        <v>101</v>
      </c>
      <c r="K1217" s="43">
        <f>VLOOKUP(J1217,Data!$Z$3:$AA$122,2)</f>
        <v>0</v>
      </c>
      <c r="L1217" s="41">
        <f t="shared" si="239"/>
        <v>0.79123887748116317</v>
      </c>
      <c r="M1217" s="43">
        <f>VLOOKUP(H1217,Data!$P$3:$X$122,9)</f>
        <v>0</v>
      </c>
      <c r="N1217" s="43">
        <f t="shared" si="242"/>
        <v>0</v>
      </c>
      <c r="O1217" s="43">
        <f t="shared" si="243"/>
        <v>0</v>
      </c>
      <c r="P1217" s="30">
        <f t="shared" si="244"/>
        <v>0</v>
      </c>
      <c r="Q1217" s="31">
        <f t="shared" si="246"/>
        <v>848340.75061972369</v>
      </c>
    </row>
    <row r="1218" spans="1:17" x14ac:dyDescent="0.25">
      <c r="A1218" s="6">
        <f t="shared" si="245"/>
        <v>80262</v>
      </c>
      <c r="B1218" s="30">
        <f>IFERROR(VLOOKUP(A1218, Data!$L$3:$N$123, 3),1)*Pension</f>
        <v>2951280.5600738381</v>
      </c>
      <c r="C1218" s="37">
        <f t="shared" si="234"/>
        <v>101.24845995893224</v>
      </c>
      <c r="D1218" s="37">
        <f>IFERROR(VLOOKUP(A1218,Data!$I$3:$J$1442,2),0)</f>
        <v>7.7851034999999999E-2</v>
      </c>
      <c r="E1218" s="37">
        <f t="shared" si="235"/>
        <v>7.7651034999999993E-2</v>
      </c>
      <c r="F1218" s="37">
        <f t="shared" si="240"/>
        <v>3.8508452282480201E-4</v>
      </c>
      <c r="G1218" s="30">
        <f t="shared" si="241"/>
        <v>1136.4924661981483</v>
      </c>
      <c r="H1218" s="38">
        <f t="shared" si="236"/>
        <v>196</v>
      </c>
      <c r="I1218" s="39">
        <f t="shared" si="237"/>
        <v>196.87337440109513</v>
      </c>
      <c r="J1218" s="40">
        <f t="shared" si="238"/>
        <v>101</v>
      </c>
      <c r="K1218" s="43">
        <f>VLOOKUP(J1218,Data!$Z$3:$AA$122,2)</f>
        <v>0</v>
      </c>
      <c r="L1218" s="41">
        <f t="shared" si="239"/>
        <v>0.87337440109513409</v>
      </c>
      <c r="M1218" s="43">
        <f>VLOOKUP(H1218,Data!$P$3:$X$122,9)</f>
        <v>0</v>
      </c>
      <c r="N1218" s="43">
        <f t="shared" si="242"/>
        <v>0</v>
      </c>
      <c r="O1218" s="43">
        <f t="shared" si="243"/>
        <v>0</v>
      </c>
      <c r="P1218" s="30">
        <f t="shared" si="244"/>
        <v>0</v>
      </c>
      <c r="Q1218" s="31">
        <f t="shared" si="246"/>
        <v>848340.75061972369</v>
      </c>
    </row>
    <row r="1219" spans="1:17" x14ac:dyDescent="0.25">
      <c r="A1219" s="6">
        <f t="shared" si="245"/>
        <v>80293</v>
      </c>
      <c r="B1219" s="30">
        <f>IFERROR(VLOOKUP(A1219, Data!$L$3:$N$123, 3),1)*Pension</f>
        <v>2951280.5600738381</v>
      </c>
      <c r="C1219" s="37">
        <f t="shared" ref="C1219:C1282" si="247">(A1219-EffDate)/365.25</f>
        <v>101.33333333333333</v>
      </c>
      <c r="D1219" s="37">
        <f>IFERROR(VLOOKUP(A1219,Data!$I$3:$J$1442,2),0)</f>
        <v>7.7844460000000004E-2</v>
      </c>
      <c r="E1219" s="37">
        <f t="shared" ref="E1219:E1282" si="248">D1219-Fees</f>
        <v>7.7644459999999998E-2</v>
      </c>
      <c r="F1219" s="37">
        <f t="shared" si="240"/>
        <v>3.8280993444686755E-4</v>
      </c>
      <c r="G1219" s="30">
        <f t="shared" si="241"/>
        <v>1129.7795177361804</v>
      </c>
      <c r="H1219" s="38">
        <f t="shared" ref="H1219:H1282" si="249">IF(OR(A1219 = DATE(YEAR(A1219), MONTH(Date_of_Birth), DAY(Date_of_Birth)),AND(A1219 = DATE(YEAR(A1219), MONTH(Date_of_Birth), DAY(Date_of_Birth)-1), AND(MONTH(Date_of_Birth)=2, DAY(Date_of_Birth) = 29))), ROUND((A1219-Date_of_Birth)/365.25,0),ROUNDDOWN((A1219-Date_of_Birth)/365.25,0))</f>
        <v>196</v>
      </c>
      <c r="I1219" s="39">
        <f t="shared" ref="I1219:I1282" si="250">IF(OR(A1219 = DATE(YEAR(A1219), MONTH(Date_of_Birth), DAY(Date_of_Birth)),AND(A1219 = DATE(YEAR(A1219), MONTH(Date_of_Birth), DAY(Date_of_Birth)-1), AND(MONTH(Date_of_Birth)=2, DAY(Date_of_Birth) = 29))), ROUND((A1219-Date_of_Birth)/365.25,0),(A1219-Date_of_Birth)/365.25)</f>
        <v>196.95824777549623</v>
      </c>
      <c r="J1219" s="40">
        <f t="shared" ref="J1219:J1282" si="251">H1219-StartAge</f>
        <v>101</v>
      </c>
      <c r="K1219" s="43">
        <f>VLOOKUP(J1219,Data!$Z$3:$AA$122,2)</f>
        <v>0</v>
      </c>
      <c r="L1219" s="41">
        <f t="shared" ref="L1219:L1282" si="252">IF(A1219&lt;=NextBirth,(A1219-EffDate)/365.25,(I1219-H1219))</f>
        <v>0.95824777549623263</v>
      </c>
      <c r="M1219" s="43">
        <f>VLOOKUP(H1219,Data!$P$3:$X$122,9)</f>
        <v>0</v>
      </c>
      <c r="N1219" s="43">
        <f t="shared" si="242"/>
        <v>0</v>
      </c>
      <c r="O1219" s="43">
        <f t="shared" si="243"/>
        <v>0</v>
      </c>
      <c r="P1219" s="30">
        <f t="shared" si="244"/>
        <v>0</v>
      </c>
      <c r="Q1219" s="31">
        <f t="shared" si="246"/>
        <v>848340.75061972369</v>
      </c>
    </row>
    <row r="1220" spans="1:17" x14ac:dyDescent="0.25">
      <c r="A1220" s="6">
        <f t="shared" si="245"/>
        <v>80323</v>
      </c>
      <c r="B1220" s="30">
        <f>IFERROR(VLOOKUP(A1220, Data!$L$3:$N$123, 3),1)*Pension</f>
        <v>2951280.5600738381</v>
      </c>
      <c r="C1220" s="37">
        <f t="shared" si="247"/>
        <v>101.4154688569473</v>
      </c>
      <c r="D1220" s="37">
        <f>IFERROR(VLOOKUP(A1220,Data!$I$3:$J$1442,2),0)</f>
        <v>7.7838107000000004E-2</v>
      </c>
      <c r="E1220" s="37">
        <f t="shared" si="248"/>
        <v>7.7638106999999998E-2</v>
      </c>
      <c r="F1220" s="37">
        <f t="shared" ref="F1220:F1283" si="253">EXP(-E1220*C1220)</f>
        <v>3.8062153515947391E-4</v>
      </c>
      <c r="G1220" s="30">
        <f t="shared" ref="G1220:G1283" si="254">B1220*F1220</f>
        <v>1123.3209374616163</v>
      </c>
      <c r="H1220" s="38">
        <f t="shared" si="249"/>
        <v>197</v>
      </c>
      <c r="I1220" s="39">
        <f t="shared" si="250"/>
        <v>197.0403832991102</v>
      </c>
      <c r="J1220" s="40">
        <f t="shared" si="251"/>
        <v>102</v>
      </c>
      <c r="K1220" s="43">
        <f>VLOOKUP(J1220,Data!$Z$3:$AA$122,2)</f>
        <v>0</v>
      </c>
      <c r="L1220" s="41">
        <f t="shared" si="252"/>
        <v>4.0383299110203552E-2</v>
      </c>
      <c r="M1220" s="43">
        <f>VLOOKUP(H1220,Data!$P$3:$X$122,9)</f>
        <v>0</v>
      </c>
      <c r="N1220" s="43">
        <f t="shared" ref="N1220:N1283" si="255">IF(M1220=0, 0, EXP(-L1220*M1220))</f>
        <v>0</v>
      </c>
      <c r="O1220" s="43">
        <f t="shared" ref="O1220:O1283" si="256">K1220*N1220</f>
        <v>0</v>
      </c>
      <c r="P1220" s="30">
        <f t="shared" ref="P1220:P1283" si="257">G1220*O1220</f>
        <v>0</v>
      </c>
      <c r="Q1220" s="31">
        <f t="shared" si="246"/>
        <v>848340.75061972369</v>
      </c>
    </row>
    <row r="1221" spans="1:17" x14ac:dyDescent="0.25">
      <c r="A1221" s="6">
        <f t="shared" ref="A1221:A1284" si="258">EOMONTH(A1220,1)</f>
        <v>80354</v>
      </c>
      <c r="B1221" s="30">
        <f>IFERROR(VLOOKUP(A1221, Data!$L$3:$N$123, 3),1)*Pension</f>
        <v>3098844.5880775293</v>
      </c>
      <c r="C1221" s="37">
        <f t="shared" si="247"/>
        <v>101.5003422313484</v>
      </c>
      <c r="D1221" s="37">
        <f>IFERROR(VLOOKUP(A1221,Data!$I$3:$J$1442,2),0)</f>
        <v>7.7831552999999998E-2</v>
      </c>
      <c r="E1221" s="37">
        <f t="shared" si="248"/>
        <v>7.7631552999999992E-2</v>
      </c>
      <c r="F1221" s="37">
        <f t="shared" si="253"/>
        <v>3.7837333256987641E-4</v>
      </c>
      <c r="G1221" s="30">
        <f t="shared" si="254"/>
        <v>1172.5201539070206</v>
      </c>
      <c r="H1221" s="38">
        <f t="shared" si="249"/>
        <v>197</v>
      </c>
      <c r="I1221" s="39">
        <f t="shared" si="250"/>
        <v>197.1252566735113</v>
      </c>
      <c r="J1221" s="40">
        <f t="shared" si="251"/>
        <v>102</v>
      </c>
      <c r="K1221" s="43">
        <f>VLOOKUP(J1221,Data!$Z$3:$AA$122,2)</f>
        <v>0</v>
      </c>
      <c r="L1221" s="41">
        <f t="shared" si="252"/>
        <v>0.1252566735113021</v>
      </c>
      <c r="M1221" s="43">
        <f>VLOOKUP(H1221,Data!$P$3:$X$122,9)</f>
        <v>0</v>
      </c>
      <c r="N1221" s="43">
        <f t="shared" si="255"/>
        <v>0</v>
      </c>
      <c r="O1221" s="43">
        <f t="shared" si="256"/>
        <v>0</v>
      </c>
      <c r="P1221" s="30">
        <f t="shared" si="257"/>
        <v>0</v>
      </c>
      <c r="Q1221" s="31">
        <f t="shared" ref="Q1221:Q1284" si="259">Q1220+P1221</f>
        <v>848340.75061972369</v>
      </c>
    </row>
    <row r="1222" spans="1:17" x14ac:dyDescent="0.25">
      <c r="A1222" s="6">
        <f t="shared" si="258"/>
        <v>80385</v>
      </c>
      <c r="B1222" s="30">
        <f>IFERROR(VLOOKUP(A1222, Data!$L$3:$N$123, 3),1)*Pension</f>
        <v>3098844.5880775293</v>
      </c>
      <c r="C1222" s="37">
        <f t="shared" si="247"/>
        <v>101.58521560574948</v>
      </c>
      <c r="D1222" s="37">
        <f>IFERROR(VLOOKUP(A1222,Data!$I$3:$J$1442,2),0)</f>
        <v>7.782501E-2</v>
      </c>
      <c r="E1222" s="37">
        <f t="shared" si="248"/>
        <v>7.7625009999999994E-2</v>
      </c>
      <c r="F1222" s="37">
        <f t="shared" si="253"/>
        <v>3.7613840750254742E-4</v>
      </c>
      <c r="G1222" s="30">
        <f t="shared" si="254"/>
        <v>1165.5944684573694</v>
      </c>
      <c r="H1222" s="38">
        <f t="shared" si="249"/>
        <v>197</v>
      </c>
      <c r="I1222" s="39">
        <f t="shared" si="250"/>
        <v>197.2101300479124</v>
      </c>
      <c r="J1222" s="40">
        <f t="shared" si="251"/>
        <v>102</v>
      </c>
      <c r="K1222" s="43">
        <f>VLOOKUP(J1222,Data!$Z$3:$AA$122,2)</f>
        <v>0</v>
      </c>
      <c r="L1222" s="41">
        <f t="shared" si="252"/>
        <v>0.21013004791240064</v>
      </c>
      <c r="M1222" s="43">
        <f>VLOOKUP(H1222,Data!$P$3:$X$122,9)</f>
        <v>0</v>
      </c>
      <c r="N1222" s="43">
        <f t="shared" si="255"/>
        <v>0</v>
      </c>
      <c r="O1222" s="43">
        <f t="shared" si="256"/>
        <v>0</v>
      </c>
      <c r="P1222" s="30">
        <f t="shared" si="257"/>
        <v>0</v>
      </c>
      <c r="Q1222" s="31">
        <f t="shared" si="259"/>
        <v>848340.75061972369</v>
      </c>
    </row>
    <row r="1223" spans="1:17" x14ac:dyDescent="0.25">
      <c r="A1223" s="6">
        <f t="shared" si="258"/>
        <v>80414</v>
      </c>
      <c r="B1223" s="30">
        <f>IFERROR(VLOOKUP(A1223, Data!$L$3:$N$123, 3),1)*Pension</f>
        <v>3098844.5880775293</v>
      </c>
      <c r="C1223" s="37">
        <f t="shared" si="247"/>
        <v>101.66461327857631</v>
      </c>
      <c r="D1223" s="37">
        <f>IFERROR(VLOOKUP(A1223,Data!$I$3:$J$1442,2),0)</f>
        <v>7.7818898999999997E-2</v>
      </c>
      <c r="E1223" s="37">
        <f t="shared" si="248"/>
        <v>7.7618898999999991E-2</v>
      </c>
      <c r="F1223" s="37">
        <f t="shared" si="253"/>
        <v>3.740596243188432E-4</v>
      </c>
      <c r="G1223" s="30">
        <f t="shared" si="254"/>
        <v>1159.1526424387609</v>
      </c>
      <c r="H1223" s="38">
        <f t="shared" si="249"/>
        <v>197</v>
      </c>
      <c r="I1223" s="39">
        <f t="shared" si="250"/>
        <v>197.28952772073922</v>
      </c>
      <c r="J1223" s="40">
        <f t="shared" si="251"/>
        <v>102</v>
      </c>
      <c r="K1223" s="43">
        <f>VLOOKUP(J1223,Data!$Z$3:$AA$122,2)</f>
        <v>0</v>
      </c>
      <c r="L1223" s="41">
        <f t="shared" si="252"/>
        <v>0.28952772073921551</v>
      </c>
      <c r="M1223" s="43">
        <f>VLOOKUP(H1223,Data!$P$3:$X$122,9)</f>
        <v>0</v>
      </c>
      <c r="N1223" s="43">
        <f t="shared" si="255"/>
        <v>0</v>
      </c>
      <c r="O1223" s="43">
        <f t="shared" si="256"/>
        <v>0</v>
      </c>
      <c r="P1223" s="30">
        <f t="shared" si="257"/>
        <v>0</v>
      </c>
      <c r="Q1223" s="31">
        <f t="shared" si="259"/>
        <v>848340.75061972369</v>
      </c>
    </row>
    <row r="1224" spans="1:17" x14ac:dyDescent="0.25">
      <c r="A1224" s="6">
        <f t="shared" si="258"/>
        <v>80445</v>
      </c>
      <c r="B1224" s="30">
        <f>IFERROR(VLOOKUP(A1224, Data!$L$3:$N$123, 3),1)*Pension</f>
        <v>3098844.5880775293</v>
      </c>
      <c r="C1224" s="37">
        <f t="shared" si="247"/>
        <v>101.74948665297741</v>
      </c>
      <c r="D1224" s="37">
        <f>IFERROR(VLOOKUP(A1224,Data!$I$3:$J$1442,2),0)</f>
        <v>7.7812377000000002E-2</v>
      </c>
      <c r="E1224" s="37">
        <f t="shared" si="248"/>
        <v>7.7612376999999996E-2</v>
      </c>
      <c r="F1224" s="37">
        <f t="shared" si="253"/>
        <v>3.7185018337698576E-4</v>
      </c>
      <c r="G1224" s="30">
        <f t="shared" si="254"/>
        <v>1152.3059283334092</v>
      </c>
      <c r="H1224" s="38">
        <f t="shared" si="249"/>
        <v>197</v>
      </c>
      <c r="I1224" s="39">
        <f t="shared" si="250"/>
        <v>197.37440109514031</v>
      </c>
      <c r="J1224" s="40">
        <f t="shared" si="251"/>
        <v>102</v>
      </c>
      <c r="K1224" s="43">
        <f>VLOOKUP(J1224,Data!$Z$3:$AA$122,2)</f>
        <v>0</v>
      </c>
      <c r="L1224" s="41">
        <f t="shared" si="252"/>
        <v>0.37440109514031406</v>
      </c>
      <c r="M1224" s="43">
        <f>VLOOKUP(H1224,Data!$P$3:$X$122,9)</f>
        <v>0</v>
      </c>
      <c r="N1224" s="43">
        <f t="shared" si="255"/>
        <v>0</v>
      </c>
      <c r="O1224" s="43">
        <f t="shared" si="256"/>
        <v>0</v>
      </c>
      <c r="P1224" s="30">
        <f t="shared" si="257"/>
        <v>0</v>
      </c>
      <c r="Q1224" s="31">
        <f t="shared" si="259"/>
        <v>848340.75061972369</v>
      </c>
    </row>
    <row r="1225" spans="1:17" x14ac:dyDescent="0.25">
      <c r="A1225" s="6">
        <f t="shared" si="258"/>
        <v>80475</v>
      </c>
      <c r="B1225" s="30">
        <f>IFERROR(VLOOKUP(A1225, Data!$L$3:$N$123, 3),1)*Pension</f>
        <v>3098844.5880775293</v>
      </c>
      <c r="C1225" s="37">
        <f t="shared" si="247"/>
        <v>101.83162217659138</v>
      </c>
      <c r="D1225" s="37">
        <f>IFERROR(VLOOKUP(A1225,Data!$I$3:$J$1442,2),0)</f>
        <v>7.7806076000000002E-2</v>
      </c>
      <c r="E1225" s="37">
        <f t="shared" si="248"/>
        <v>7.7606075999999996E-2</v>
      </c>
      <c r="F1225" s="37">
        <f t="shared" si="253"/>
        <v>3.6972443138986154E-4</v>
      </c>
      <c r="G1225" s="30">
        <f t="shared" si="254"/>
        <v>1145.7185532925141</v>
      </c>
      <c r="H1225" s="38">
        <f t="shared" si="249"/>
        <v>197</v>
      </c>
      <c r="I1225" s="39">
        <f t="shared" si="250"/>
        <v>197.45653661875428</v>
      </c>
      <c r="J1225" s="40">
        <f t="shared" si="251"/>
        <v>102</v>
      </c>
      <c r="K1225" s="43">
        <f>VLOOKUP(J1225,Data!$Z$3:$AA$122,2)</f>
        <v>0</v>
      </c>
      <c r="L1225" s="41">
        <f t="shared" si="252"/>
        <v>0.45653661875428497</v>
      </c>
      <c r="M1225" s="43">
        <f>VLOOKUP(H1225,Data!$P$3:$X$122,9)</f>
        <v>0</v>
      </c>
      <c r="N1225" s="43">
        <f t="shared" si="255"/>
        <v>0</v>
      </c>
      <c r="O1225" s="43">
        <f t="shared" si="256"/>
        <v>0</v>
      </c>
      <c r="P1225" s="30">
        <f t="shared" si="257"/>
        <v>0</v>
      </c>
      <c r="Q1225" s="31">
        <f t="shared" si="259"/>
        <v>848340.75061972369</v>
      </c>
    </row>
    <row r="1226" spans="1:17" x14ac:dyDescent="0.25">
      <c r="A1226" s="6">
        <f t="shared" si="258"/>
        <v>80506</v>
      </c>
      <c r="B1226" s="30">
        <f>IFERROR(VLOOKUP(A1226, Data!$L$3:$N$123, 3),1)*Pension</f>
        <v>3098844.5880775293</v>
      </c>
      <c r="C1226" s="37">
        <f t="shared" si="247"/>
        <v>101.91649555099247</v>
      </c>
      <c r="D1226" s="37">
        <f>IFERROR(VLOOKUP(A1226,Data!$I$3:$J$1442,2),0)</f>
        <v>7.7799574999999996E-2</v>
      </c>
      <c r="E1226" s="37">
        <f t="shared" si="248"/>
        <v>7.759957499999999E-2</v>
      </c>
      <c r="F1226" s="37">
        <f t="shared" si="253"/>
        <v>3.6754061065005729E-4</v>
      </c>
      <c r="G1226" s="30">
        <f t="shared" si="254"/>
        <v>1138.9512322116404</v>
      </c>
      <c r="H1226" s="38">
        <f t="shared" si="249"/>
        <v>197</v>
      </c>
      <c r="I1226" s="39">
        <f t="shared" si="250"/>
        <v>197.54140999315538</v>
      </c>
      <c r="J1226" s="40">
        <f t="shared" si="251"/>
        <v>102</v>
      </c>
      <c r="K1226" s="43">
        <f>VLOOKUP(J1226,Data!$Z$3:$AA$122,2)</f>
        <v>0</v>
      </c>
      <c r="L1226" s="41">
        <f t="shared" si="252"/>
        <v>0.54140999315538352</v>
      </c>
      <c r="M1226" s="43">
        <f>VLOOKUP(H1226,Data!$P$3:$X$122,9)</f>
        <v>0</v>
      </c>
      <c r="N1226" s="43">
        <f t="shared" si="255"/>
        <v>0</v>
      </c>
      <c r="O1226" s="43">
        <f t="shared" si="256"/>
        <v>0</v>
      </c>
      <c r="P1226" s="30">
        <f t="shared" si="257"/>
        <v>0</v>
      </c>
      <c r="Q1226" s="31">
        <f t="shared" si="259"/>
        <v>848340.75061972369</v>
      </c>
    </row>
    <row r="1227" spans="1:17" x14ac:dyDescent="0.25">
      <c r="A1227" s="6">
        <f t="shared" si="258"/>
        <v>80536</v>
      </c>
      <c r="B1227" s="30">
        <f>IFERROR(VLOOKUP(A1227, Data!$L$3:$N$123, 3),1)*Pension</f>
        <v>3098844.5880775293</v>
      </c>
      <c r="C1227" s="37">
        <f t="shared" si="247"/>
        <v>101.99863107460644</v>
      </c>
      <c r="D1227" s="37">
        <f>IFERROR(VLOOKUP(A1227,Data!$I$3:$J$1442,2),0)</f>
        <v>7.7793294999999998E-2</v>
      </c>
      <c r="E1227" s="37">
        <f t="shared" si="248"/>
        <v>7.7593294999999993E-2</v>
      </c>
      <c r="F1227" s="37">
        <f t="shared" si="253"/>
        <v>3.6543948121026197E-4</v>
      </c>
      <c r="G1227" s="30">
        <f t="shared" si="254"/>
        <v>1132.4401586182803</v>
      </c>
      <c r="H1227" s="38">
        <f t="shared" si="249"/>
        <v>197</v>
      </c>
      <c r="I1227" s="39">
        <f t="shared" si="250"/>
        <v>197.62354551676933</v>
      </c>
      <c r="J1227" s="40">
        <f t="shared" si="251"/>
        <v>102</v>
      </c>
      <c r="K1227" s="43">
        <f>VLOOKUP(J1227,Data!$Z$3:$AA$122,2)</f>
        <v>0</v>
      </c>
      <c r="L1227" s="41">
        <f t="shared" si="252"/>
        <v>0.62354551676932601</v>
      </c>
      <c r="M1227" s="43">
        <f>VLOOKUP(H1227,Data!$P$3:$X$122,9)</f>
        <v>0</v>
      </c>
      <c r="N1227" s="43">
        <f t="shared" si="255"/>
        <v>0</v>
      </c>
      <c r="O1227" s="43">
        <f t="shared" si="256"/>
        <v>0</v>
      </c>
      <c r="P1227" s="30">
        <f t="shared" si="257"/>
        <v>0</v>
      </c>
      <c r="Q1227" s="31">
        <f t="shared" si="259"/>
        <v>848340.75061972369</v>
      </c>
    </row>
    <row r="1228" spans="1:17" x14ac:dyDescent="0.25">
      <c r="A1228" s="6">
        <f t="shared" si="258"/>
        <v>80567</v>
      </c>
      <c r="B1228" s="30">
        <f>IFERROR(VLOOKUP(A1228, Data!$L$3:$N$123, 3),1)*Pension</f>
        <v>3098844.5880775293</v>
      </c>
      <c r="C1228" s="37">
        <f t="shared" si="247"/>
        <v>102.08350444900753</v>
      </c>
      <c r="D1228" s="37">
        <f>IFERROR(VLOOKUP(A1228,Data!$I$3:$J$1442,2),0)</f>
        <v>7.7786814999999995E-2</v>
      </c>
      <c r="E1228" s="37">
        <f t="shared" si="248"/>
        <v>7.758681499999999E-2</v>
      </c>
      <c r="F1228" s="37">
        <f t="shared" si="253"/>
        <v>3.632809797448689E-4</v>
      </c>
      <c r="G1228" s="30">
        <f t="shared" si="254"/>
        <v>1125.7512980338895</v>
      </c>
      <c r="H1228" s="38">
        <f t="shared" si="249"/>
        <v>197</v>
      </c>
      <c r="I1228" s="39">
        <f t="shared" si="250"/>
        <v>197.70841889117042</v>
      </c>
      <c r="J1228" s="40">
        <f t="shared" si="251"/>
        <v>102</v>
      </c>
      <c r="K1228" s="43">
        <f>VLOOKUP(J1228,Data!$Z$3:$AA$122,2)</f>
        <v>0</v>
      </c>
      <c r="L1228" s="41">
        <f t="shared" si="252"/>
        <v>0.70841889117042456</v>
      </c>
      <c r="M1228" s="43">
        <f>VLOOKUP(H1228,Data!$P$3:$X$122,9)</f>
        <v>0</v>
      </c>
      <c r="N1228" s="43">
        <f t="shared" si="255"/>
        <v>0</v>
      </c>
      <c r="O1228" s="43">
        <f t="shared" si="256"/>
        <v>0</v>
      </c>
      <c r="P1228" s="30">
        <f t="shared" si="257"/>
        <v>0</v>
      </c>
      <c r="Q1228" s="31">
        <f t="shared" si="259"/>
        <v>848340.75061972369</v>
      </c>
    </row>
    <row r="1229" spans="1:17" x14ac:dyDescent="0.25">
      <c r="A1229" s="6">
        <f t="shared" si="258"/>
        <v>80598</v>
      </c>
      <c r="B1229" s="30">
        <f>IFERROR(VLOOKUP(A1229, Data!$L$3:$N$123, 3),1)*Pension</f>
        <v>3098844.5880775293</v>
      </c>
      <c r="C1229" s="37">
        <f t="shared" si="247"/>
        <v>102.16837782340862</v>
      </c>
      <c r="D1229" s="37">
        <f>IFERROR(VLOOKUP(A1229,Data!$I$3:$J$1442,2),0)</f>
        <v>7.7780347E-2</v>
      </c>
      <c r="E1229" s="37">
        <f t="shared" si="248"/>
        <v>7.7580346999999994E-2</v>
      </c>
      <c r="F1229" s="37">
        <f t="shared" si="253"/>
        <v>3.6113518213901785E-4</v>
      </c>
      <c r="G1229" s="30">
        <f t="shared" si="254"/>
        <v>1119.1018047358882</v>
      </c>
      <c r="H1229" s="38">
        <f t="shared" si="249"/>
        <v>197</v>
      </c>
      <c r="I1229" s="39">
        <f t="shared" si="250"/>
        <v>197.79329226557152</v>
      </c>
      <c r="J1229" s="40">
        <f t="shared" si="251"/>
        <v>102</v>
      </c>
      <c r="K1229" s="43">
        <f>VLOOKUP(J1229,Data!$Z$3:$AA$122,2)</f>
        <v>0</v>
      </c>
      <c r="L1229" s="41">
        <f t="shared" si="252"/>
        <v>0.7932922655715231</v>
      </c>
      <c r="M1229" s="43">
        <f>VLOOKUP(H1229,Data!$P$3:$X$122,9)</f>
        <v>0</v>
      </c>
      <c r="N1229" s="43">
        <f t="shared" si="255"/>
        <v>0</v>
      </c>
      <c r="O1229" s="43">
        <f t="shared" si="256"/>
        <v>0</v>
      </c>
      <c r="P1229" s="30">
        <f t="shared" si="257"/>
        <v>0</v>
      </c>
      <c r="Q1229" s="31">
        <f t="shared" si="259"/>
        <v>848340.75061972369</v>
      </c>
    </row>
    <row r="1230" spans="1:17" x14ac:dyDescent="0.25">
      <c r="A1230" s="6">
        <f t="shared" si="258"/>
        <v>80628</v>
      </c>
      <c r="B1230" s="30">
        <f>IFERROR(VLOOKUP(A1230, Data!$L$3:$N$123, 3),1)*Pension</f>
        <v>3098844.5880775293</v>
      </c>
      <c r="C1230" s="37">
        <f t="shared" si="247"/>
        <v>102.25051334702259</v>
      </c>
      <c r="D1230" s="37">
        <f>IFERROR(VLOOKUP(A1230,Data!$I$3:$J$1442,2),0)</f>
        <v>7.7774097E-2</v>
      </c>
      <c r="E1230" s="37">
        <f t="shared" si="248"/>
        <v>7.7574096999999995E-2</v>
      </c>
      <c r="F1230" s="37">
        <f t="shared" si="253"/>
        <v>3.5907070439878075E-4</v>
      </c>
      <c r="G1230" s="30">
        <f t="shared" si="254"/>
        <v>1112.7043090633481</v>
      </c>
      <c r="H1230" s="38">
        <f t="shared" si="249"/>
        <v>197</v>
      </c>
      <c r="I1230" s="39">
        <f t="shared" si="250"/>
        <v>197.87542778918549</v>
      </c>
      <c r="J1230" s="40">
        <f t="shared" si="251"/>
        <v>102</v>
      </c>
      <c r="K1230" s="43">
        <f>VLOOKUP(J1230,Data!$Z$3:$AA$122,2)</f>
        <v>0</v>
      </c>
      <c r="L1230" s="41">
        <f t="shared" si="252"/>
        <v>0.87542778918549402</v>
      </c>
      <c r="M1230" s="43">
        <f>VLOOKUP(H1230,Data!$P$3:$X$122,9)</f>
        <v>0</v>
      </c>
      <c r="N1230" s="43">
        <f t="shared" si="255"/>
        <v>0</v>
      </c>
      <c r="O1230" s="43">
        <f t="shared" si="256"/>
        <v>0</v>
      </c>
      <c r="P1230" s="30">
        <f t="shared" si="257"/>
        <v>0</v>
      </c>
      <c r="Q1230" s="31">
        <f t="shared" si="259"/>
        <v>848340.75061972369</v>
      </c>
    </row>
    <row r="1231" spans="1:17" x14ac:dyDescent="0.25">
      <c r="A1231" s="6">
        <f t="shared" si="258"/>
        <v>80659</v>
      </c>
      <c r="B1231" s="30">
        <f>IFERROR(VLOOKUP(A1231, Data!$L$3:$N$123, 3),1)*Pension</f>
        <v>3098844.5880775293</v>
      </c>
      <c r="C1231" s="37">
        <f t="shared" si="247"/>
        <v>102.33538672142369</v>
      </c>
      <c r="D1231" s="37">
        <f>IFERROR(VLOOKUP(A1231,Data!$I$3:$J$1442,2),0)</f>
        <v>7.7767649999999994E-2</v>
      </c>
      <c r="E1231" s="37">
        <f t="shared" si="248"/>
        <v>7.7567649999999988E-2</v>
      </c>
      <c r="F1231" s="37">
        <f t="shared" si="253"/>
        <v>3.5694977947413261E-4</v>
      </c>
      <c r="G1231" s="30">
        <f t="shared" si="254"/>
        <v>1106.1318923388833</v>
      </c>
      <c r="H1231" s="38">
        <f t="shared" si="249"/>
        <v>197</v>
      </c>
      <c r="I1231" s="39">
        <f t="shared" si="250"/>
        <v>197.96030116358659</v>
      </c>
      <c r="J1231" s="40">
        <f t="shared" si="251"/>
        <v>102</v>
      </c>
      <c r="K1231" s="43">
        <f>VLOOKUP(J1231,Data!$Z$3:$AA$122,2)</f>
        <v>0</v>
      </c>
      <c r="L1231" s="41">
        <f t="shared" si="252"/>
        <v>0.96030116358659257</v>
      </c>
      <c r="M1231" s="43">
        <f>VLOOKUP(H1231,Data!$P$3:$X$122,9)</f>
        <v>0</v>
      </c>
      <c r="N1231" s="43">
        <f t="shared" si="255"/>
        <v>0</v>
      </c>
      <c r="O1231" s="43">
        <f t="shared" si="256"/>
        <v>0</v>
      </c>
      <c r="P1231" s="30">
        <f t="shared" si="257"/>
        <v>0</v>
      </c>
      <c r="Q1231" s="31">
        <f t="shared" si="259"/>
        <v>848340.75061972369</v>
      </c>
    </row>
    <row r="1232" spans="1:17" x14ac:dyDescent="0.25">
      <c r="A1232" s="6">
        <f t="shared" si="258"/>
        <v>80689</v>
      </c>
      <c r="B1232" s="30">
        <f>IFERROR(VLOOKUP(A1232, Data!$L$3:$N$123, 3),1)*Pension</f>
        <v>3098844.5880775293</v>
      </c>
      <c r="C1232" s="37">
        <f t="shared" si="247"/>
        <v>102.41752224503765</v>
      </c>
      <c r="D1232" s="37">
        <f>IFERROR(VLOOKUP(A1232,Data!$I$3:$J$1442,2),0)</f>
        <v>7.7761420999999997E-2</v>
      </c>
      <c r="E1232" s="37">
        <f t="shared" si="248"/>
        <v>7.7561420999999992E-2</v>
      </c>
      <c r="F1232" s="37">
        <f t="shared" si="253"/>
        <v>3.5490920540471005E-4</v>
      </c>
      <c r="G1232" s="30">
        <f t="shared" si="254"/>
        <v>1099.8084704272819</v>
      </c>
      <c r="H1232" s="38">
        <f t="shared" si="249"/>
        <v>198</v>
      </c>
      <c r="I1232" s="39">
        <f t="shared" si="250"/>
        <v>198.04243668720054</v>
      </c>
      <c r="J1232" s="40">
        <f t="shared" si="251"/>
        <v>103</v>
      </c>
      <c r="K1232" s="43">
        <f>VLOOKUP(J1232,Data!$Z$3:$AA$122,2)</f>
        <v>0</v>
      </c>
      <c r="L1232" s="41">
        <f t="shared" si="252"/>
        <v>4.2436687200535061E-2</v>
      </c>
      <c r="M1232" s="43">
        <f>VLOOKUP(H1232,Data!$P$3:$X$122,9)</f>
        <v>0</v>
      </c>
      <c r="N1232" s="43">
        <f t="shared" si="255"/>
        <v>0</v>
      </c>
      <c r="O1232" s="43">
        <f t="shared" si="256"/>
        <v>0</v>
      </c>
      <c r="P1232" s="30">
        <f t="shared" si="257"/>
        <v>0</v>
      </c>
      <c r="Q1232" s="31">
        <f t="shared" si="259"/>
        <v>848340.75061972369</v>
      </c>
    </row>
    <row r="1233" spans="1:17" x14ac:dyDescent="0.25">
      <c r="A1233" s="6">
        <f t="shared" si="258"/>
        <v>80720</v>
      </c>
      <c r="B1233" s="30">
        <f>IFERROR(VLOOKUP(A1233, Data!$L$3:$N$123, 3),1)*Pension</f>
        <v>3253786.8174814065</v>
      </c>
      <c r="C1233" s="37">
        <f t="shared" si="247"/>
        <v>102.50239561943874</v>
      </c>
      <c r="D1233" s="37">
        <f>IFERROR(VLOOKUP(A1233,Data!$I$3:$J$1442,2),0)</f>
        <v>7.7754993999999994E-2</v>
      </c>
      <c r="E1233" s="37">
        <f t="shared" si="248"/>
        <v>7.7554993999999988E-2</v>
      </c>
      <c r="F1233" s="37">
        <f t="shared" si="253"/>
        <v>3.5281289739732039E-4</v>
      </c>
      <c r="G1233" s="30">
        <f t="shared" si="254"/>
        <v>1147.9779545888211</v>
      </c>
      <c r="H1233" s="38">
        <f t="shared" si="249"/>
        <v>198</v>
      </c>
      <c r="I1233" s="39">
        <f t="shared" si="250"/>
        <v>198.12731006160163</v>
      </c>
      <c r="J1233" s="40">
        <f t="shared" si="251"/>
        <v>103</v>
      </c>
      <c r="K1233" s="43">
        <f>VLOOKUP(J1233,Data!$Z$3:$AA$122,2)</f>
        <v>0</v>
      </c>
      <c r="L1233" s="41">
        <f t="shared" si="252"/>
        <v>0.12731006160163361</v>
      </c>
      <c r="M1233" s="43">
        <f>VLOOKUP(H1233,Data!$P$3:$X$122,9)</f>
        <v>0</v>
      </c>
      <c r="N1233" s="43">
        <f t="shared" si="255"/>
        <v>0</v>
      </c>
      <c r="O1233" s="43">
        <f t="shared" si="256"/>
        <v>0</v>
      </c>
      <c r="P1233" s="30">
        <f t="shared" si="257"/>
        <v>0</v>
      </c>
      <c r="Q1233" s="31">
        <f t="shared" si="259"/>
        <v>848340.75061972369</v>
      </c>
    </row>
    <row r="1234" spans="1:17" x14ac:dyDescent="0.25">
      <c r="A1234" s="6">
        <f t="shared" si="258"/>
        <v>80751</v>
      </c>
      <c r="B1234" s="30">
        <f>IFERROR(VLOOKUP(A1234, Data!$L$3:$N$123, 3),1)*Pension</f>
        <v>3253786.8174814065</v>
      </c>
      <c r="C1234" s="37">
        <f t="shared" si="247"/>
        <v>102.58726899383984</v>
      </c>
      <c r="D1234" s="37">
        <f>IFERROR(VLOOKUP(A1234,Data!$I$3:$J$1442,2),0)</f>
        <v>7.7748578999999998E-2</v>
      </c>
      <c r="E1234" s="37">
        <f t="shared" si="248"/>
        <v>7.7548578999999992E-2</v>
      </c>
      <c r="F1234" s="37">
        <f t="shared" si="253"/>
        <v>3.5072892231863457E-4</v>
      </c>
      <c r="G1234" s="30">
        <f t="shared" si="254"/>
        <v>1141.1971439498334</v>
      </c>
      <c r="H1234" s="38">
        <f t="shared" si="249"/>
        <v>198</v>
      </c>
      <c r="I1234" s="39">
        <f t="shared" si="250"/>
        <v>198.21218343600273</v>
      </c>
      <c r="J1234" s="40">
        <f t="shared" si="251"/>
        <v>103</v>
      </c>
      <c r="K1234" s="43">
        <f>VLOOKUP(J1234,Data!$Z$3:$AA$122,2)</f>
        <v>0</v>
      </c>
      <c r="L1234" s="41">
        <f t="shared" si="252"/>
        <v>0.21218343600273215</v>
      </c>
      <c r="M1234" s="43">
        <f>VLOOKUP(H1234,Data!$P$3:$X$122,9)</f>
        <v>0</v>
      </c>
      <c r="N1234" s="43">
        <f t="shared" si="255"/>
        <v>0</v>
      </c>
      <c r="O1234" s="43">
        <f t="shared" si="256"/>
        <v>0</v>
      </c>
      <c r="P1234" s="30">
        <f t="shared" si="257"/>
        <v>0</v>
      </c>
      <c r="Q1234" s="31">
        <f t="shared" si="259"/>
        <v>848340.75061972369</v>
      </c>
    </row>
    <row r="1235" spans="1:17" x14ac:dyDescent="0.25">
      <c r="A1235" s="6">
        <f t="shared" si="258"/>
        <v>80779</v>
      </c>
      <c r="B1235" s="30">
        <f>IFERROR(VLOOKUP(A1235, Data!$L$3:$N$123, 3),1)*Pension</f>
        <v>3253786.8174814065</v>
      </c>
      <c r="C1235" s="37">
        <f t="shared" si="247"/>
        <v>102.66392881587953</v>
      </c>
      <c r="D1235" s="37">
        <f>IFERROR(VLOOKUP(A1235,Data!$I$3:$J$1442,2),0)</f>
        <v>7.7742793000000004E-2</v>
      </c>
      <c r="E1235" s="37">
        <f t="shared" si="248"/>
        <v>7.7542792999999999E-2</v>
      </c>
      <c r="F1235" s="37">
        <f t="shared" si="253"/>
        <v>3.488572376111012E-4</v>
      </c>
      <c r="G1235" s="30">
        <f t="shared" si="254"/>
        <v>1135.1070809219798</v>
      </c>
      <c r="H1235" s="38">
        <f t="shared" si="249"/>
        <v>198</v>
      </c>
      <c r="I1235" s="39">
        <f t="shared" si="250"/>
        <v>198.28884325804245</v>
      </c>
      <c r="J1235" s="40">
        <f t="shared" si="251"/>
        <v>103</v>
      </c>
      <c r="K1235" s="43">
        <f>VLOOKUP(J1235,Data!$Z$3:$AA$122,2)</f>
        <v>0</v>
      </c>
      <c r="L1235" s="41">
        <f t="shared" si="252"/>
        <v>0.28884325804244781</v>
      </c>
      <c r="M1235" s="43">
        <f>VLOOKUP(H1235,Data!$P$3:$X$122,9)</f>
        <v>0</v>
      </c>
      <c r="N1235" s="43">
        <f t="shared" si="255"/>
        <v>0</v>
      </c>
      <c r="O1235" s="43">
        <f t="shared" si="256"/>
        <v>0</v>
      </c>
      <c r="P1235" s="30">
        <f t="shared" si="257"/>
        <v>0</v>
      </c>
      <c r="Q1235" s="31">
        <f t="shared" si="259"/>
        <v>848340.75061972369</v>
      </c>
    </row>
    <row r="1236" spans="1:17" x14ac:dyDescent="0.25">
      <c r="A1236" s="6">
        <f t="shared" si="258"/>
        <v>80810</v>
      </c>
      <c r="B1236" s="30">
        <f>IFERROR(VLOOKUP(A1236, Data!$L$3:$N$123, 3),1)*Pension</f>
        <v>3253786.8174814065</v>
      </c>
      <c r="C1236" s="37">
        <f t="shared" si="247"/>
        <v>102.74880219028063</v>
      </c>
      <c r="D1236" s="37">
        <f>IFERROR(VLOOKUP(A1236,Data!$I$3:$J$1442,2),0)</f>
        <v>7.7736396999999999E-2</v>
      </c>
      <c r="E1236" s="37">
        <f t="shared" si="248"/>
        <v>7.7536396999999993E-2</v>
      </c>
      <c r="F1236" s="37">
        <f t="shared" si="253"/>
        <v>3.4679666905672849E-4</v>
      </c>
      <c r="G1236" s="30">
        <f t="shared" si="254"/>
        <v>1128.4024301232453</v>
      </c>
      <c r="H1236" s="38">
        <f t="shared" si="249"/>
        <v>198</v>
      </c>
      <c r="I1236" s="39">
        <f t="shared" si="250"/>
        <v>198.37371663244352</v>
      </c>
      <c r="J1236" s="40">
        <f t="shared" si="251"/>
        <v>103</v>
      </c>
      <c r="K1236" s="43">
        <f>VLOOKUP(J1236,Data!$Z$3:$AA$122,2)</f>
        <v>0</v>
      </c>
      <c r="L1236" s="41">
        <f t="shared" si="252"/>
        <v>0.37371663244351794</v>
      </c>
      <c r="M1236" s="43">
        <f>VLOOKUP(H1236,Data!$P$3:$X$122,9)</f>
        <v>0</v>
      </c>
      <c r="N1236" s="43">
        <f t="shared" si="255"/>
        <v>0</v>
      </c>
      <c r="O1236" s="43">
        <f t="shared" si="256"/>
        <v>0</v>
      </c>
      <c r="P1236" s="30">
        <f t="shared" si="257"/>
        <v>0</v>
      </c>
      <c r="Q1236" s="31">
        <f t="shared" si="259"/>
        <v>848340.75061972369</v>
      </c>
    </row>
    <row r="1237" spans="1:17" x14ac:dyDescent="0.25">
      <c r="A1237" s="6">
        <f t="shared" si="258"/>
        <v>80840</v>
      </c>
      <c r="B1237" s="30">
        <f>IFERROR(VLOOKUP(A1237, Data!$L$3:$N$123, 3),1)*Pension</f>
        <v>3253786.8174814065</v>
      </c>
      <c r="C1237" s="37">
        <f t="shared" si="247"/>
        <v>102.8309377138946</v>
      </c>
      <c r="D1237" s="37">
        <f>IFERROR(VLOOKUP(A1237,Data!$I$3:$J$1442,2),0)</f>
        <v>7.7730218000000004E-2</v>
      </c>
      <c r="E1237" s="37">
        <f t="shared" si="248"/>
        <v>7.7530217999999998E-2</v>
      </c>
      <c r="F1237" s="37">
        <f t="shared" si="253"/>
        <v>3.4481413745947206E-4</v>
      </c>
      <c r="G1237" s="30">
        <f t="shared" si="254"/>
        <v>1121.9516949468518</v>
      </c>
      <c r="H1237" s="38">
        <f t="shared" si="249"/>
        <v>198</v>
      </c>
      <c r="I1237" s="39">
        <f t="shared" si="250"/>
        <v>198.45585215605749</v>
      </c>
      <c r="J1237" s="40">
        <f t="shared" si="251"/>
        <v>103</v>
      </c>
      <c r="K1237" s="43">
        <f>VLOOKUP(J1237,Data!$Z$3:$AA$122,2)</f>
        <v>0</v>
      </c>
      <c r="L1237" s="41">
        <f t="shared" si="252"/>
        <v>0.45585215605748886</v>
      </c>
      <c r="M1237" s="43">
        <f>VLOOKUP(H1237,Data!$P$3:$X$122,9)</f>
        <v>0</v>
      </c>
      <c r="N1237" s="43">
        <f t="shared" si="255"/>
        <v>0</v>
      </c>
      <c r="O1237" s="43">
        <f t="shared" si="256"/>
        <v>0</v>
      </c>
      <c r="P1237" s="30">
        <f t="shared" si="257"/>
        <v>0</v>
      </c>
      <c r="Q1237" s="31">
        <f t="shared" si="259"/>
        <v>848340.75061972369</v>
      </c>
    </row>
    <row r="1238" spans="1:17" x14ac:dyDescent="0.25">
      <c r="A1238" s="6">
        <f t="shared" si="258"/>
        <v>80871</v>
      </c>
      <c r="B1238" s="30">
        <f>IFERROR(VLOOKUP(A1238, Data!$L$3:$N$123, 3),1)*Pension</f>
        <v>3253786.8174814065</v>
      </c>
      <c r="C1238" s="37">
        <f t="shared" si="247"/>
        <v>102.91581108829568</v>
      </c>
      <c r="D1238" s="37">
        <f>IFERROR(VLOOKUP(A1238,Data!$I$3:$J$1442,2),0)</f>
        <v>7.7723843000000001E-2</v>
      </c>
      <c r="E1238" s="37">
        <f t="shared" si="248"/>
        <v>7.7523842999999995E-2</v>
      </c>
      <c r="F1238" s="37">
        <f t="shared" si="253"/>
        <v>3.4277744114764885E-4</v>
      </c>
      <c r="G1238" s="30">
        <f t="shared" si="254"/>
        <v>1115.3247193362286</v>
      </c>
      <c r="H1238" s="38">
        <f t="shared" si="249"/>
        <v>198</v>
      </c>
      <c r="I1238" s="39">
        <f t="shared" si="250"/>
        <v>198.54072553045859</v>
      </c>
      <c r="J1238" s="40">
        <f t="shared" si="251"/>
        <v>103</v>
      </c>
      <c r="K1238" s="43">
        <f>VLOOKUP(J1238,Data!$Z$3:$AA$122,2)</f>
        <v>0</v>
      </c>
      <c r="L1238" s="41">
        <f t="shared" si="252"/>
        <v>0.5407255304585874</v>
      </c>
      <c r="M1238" s="43">
        <f>VLOOKUP(H1238,Data!$P$3:$X$122,9)</f>
        <v>0</v>
      </c>
      <c r="N1238" s="43">
        <f t="shared" si="255"/>
        <v>0</v>
      </c>
      <c r="O1238" s="43">
        <f t="shared" si="256"/>
        <v>0</v>
      </c>
      <c r="P1238" s="30">
        <f t="shared" si="257"/>
        <v>0</v>
      </c>
      <c r="Q1238" s="31">
        <f t="shared" si="259"/>
        <v>848340.75061972369</v>
      </c>
    </row>
    <row r="1239" spans="1:17" x14ac:dyDescent="0.25">
      <c r="A1239" s="6">
        <f t="shared" si="258"/>
        <v>80901</v>
      </c>
      <c r="B1239" s="30">
        <f>IFERROR(VLOOKUP(A1239, Data!$L$3:$N$123, 3),1)*Pension</f>
        <v>3253786.8174814065</v>
      </c>
      <c r="C1239" s="37">
        <f t="shared" si="247"/>
        <v>102.99794661190965</v>
      </c>
      <c r="D1239" s="37">
        <f>IFERROR(VLOOKUP(A1239,Data!$I$3:$J$1442,2),0)</f>
        <v>7.7717683999999995E-2</v>
      </c>
      <c r="E1239" s="37">
        <f t="shared" si="248"/>
        <v>7.7517683999999989E-2</v>
      </c>
      <c r="F1239" s="37">
        <f t="shared" si="253"/>
        <v>3.4081788732272022E-4</v>
      </c>
      <c r="G1239" s="30">
        <f t="shared" si="254"/>
        <v>1108.9487489325304</v>
      </c>
      <c r="H1239" s="38">
        <f t="shared" si="249"/>
        <v>198</v>
      </c>
      <c r="I1239" s="39">
        <f t="shared" si="250"/>
        <v>198.62286105407256</v>
      </c>
      <c r="J1239" s="40">
        <f t="shared" si="251"/>
        <v>103</v>
      </c>
      <c r="K1239" s="43">
        <f>VLOOKUP(J1239,Data!$Z$3:$AA$122,2)</f>
        <v>0</v>
      </c>
      <c r="L1239" s="41">
        <f t="shared" si="252"/>
        <v>0.62286105407255832</v>
      </c>
      <c r="M1239" s="43">
        <f>VLOOKUP(H1239,Data!$P$3:$X$122,9)</f>
        <v>0</v>
      </c>
      <c r="N1239" s="43">
        <f t="shared" si="255"/>
        <v>0</v>
      </c>
      <c r="O1239" s="43">
        <f t="shared" si="256"/>
        <v>0</v>
      </c>
      <c r="P1239" s="30">
        <f t="shared" si="257"/>
        <v>0</v>
      </c>
      <c r="Q1239" s="31">
        <f t="shared" si="259"/>
        <v>848340.75061972369</v>
      </c>
    </row>
    <row r="1240" spans="1:17" x14ac:dyDescent="0.25">
      <c r="A1240" s="6">
        <f t="shared" si="258"/>
        <v>80932</v>
      </c>
      <c r="B1240" s="30">
        <f>IFERROR(VLOOKUP(A1240, Data!$L$3:$N$123, 3),1)*Pension</f>
        <v>3253786.8174814065</v>
      </c>
      <c r="C1240" s="37">
        <f t="shared" si="247"/>
        <v>103.08281998631075</v>
      </c>
      <c r="D1240" s="37">
        <f>IFERROR(VLOOKUP(A1240,Data!$I$3:$J$1442,2),0)</f>
        <v>7.7711329999999995E-2</v>
      </c>
      <c r="E1240" s="37">
        <f t="shared" si="248"/>
        <v>7.7511329999999989E-2</v>
      </c>
      <c r="F1240" s="37">
        <f t="shared" si="253"/>
        <v>3.3880478317721623E-4</v>
      </c>
      <c r="G1240" s="30">
        <f t="shared" si="254"/>
        <v>1102.3985372016723</v>
      </c>
      <c r="H1240" s="38">
        <f t="shared" si="249"/>
        <v>198</v>
      </c>
      <c r="I1240" s="39">
        <f t="shared" si="250"/>
        <v>198.70773442847366</v>
      </c>
      <c r="J1240" s="40">
        <f t="shared" si="251"/>
        <v>103</v>
      </c>
      <c r="K1240" s="43">
        <f>VLOOKUP(J1240,Data!$Z$3:$AA$122,2)</f>
        <v>0</v>
      </c>
      <c r="L1240" s="41">
        <f t="shared" si="252"/>
        <v>0.70773442847365686</v>
      </c>
      <c r="M1240" s="43">
        <f>VLOOKUP(H1240,Data!$P$3:$X$122,9)</f>
        <v>0</v>
      </c>
      <c r="N1240" s="43">
        <f t="shared" si="255"/>
        <v>0</v>
      </c>
      <c r="O1240" s="43">
        <f t="shared" si="256"/>
        <v>0</v>
      </c>
      <c r="P1240" s="30">
        <f t="shared" si="257"/>
        <v>0</v>
      </c>
      <c r="Q1240" s="31">
        <f t="shared" si="259"/>
        <v>848340.75061972369</v>
      </c>
    </row>
    <row r="1241" spans="1:17" x14ac:dyDescent="0.25">
      <c r="A1241" s="6">
        <f t="shared" si="258"/>
        <v>80963</v>
      </c>
      <c r="B1241" s="30">
        <f>IFERROR(VLOOKUP(A1241, Data!$L$3:$N$123, 3),1)*Pension</f>
        <v>3253786.8174814065</v>
      </c>
      <c r="C1241" s="37">
        <f t="shared" si="247"/>
        <v>103.16769336071184</v>
      </c>
      <c r="D1241" s="37">
        <f>IFERROR(VLOOKUP(A1241,Data!$I$3:$J$1442,2),0)</f>
        <v>7.7704986000000004E-2</v>
      </c>
      <c r="E1241" s="37">
        <f t="shared" si="248"/>
        <v>7.7504985999999998E-2</v>
      </c>
      <c r="F1241" s="37">
        <f t="shared" si="253"/>
        <v>3.3680358559924135E-4</v>
      </c>
      <c r="G1241" s="30">
        <f t="shared" si="254"/>
        <v>1095.8870669032819</v>
      </c>
      <c r="H1241" s="38">
        <f t="shared" si="249"/>
        <v>198</v>
      </c>
      <c r="I1241" s="39">
        <f t="shared" si="250"/>
        <v>198.79260780287476</v>
      </c>
      <c r="J1241" s="40">
        <f t="shared" si="251"/>
        <v>103</v>
      </c>
      <c r="K1241" s="43">
        <f>VLOOKUP(J1241,Data!$Z$3:$AA$122,2)</f>
        <v>0</v>
      </c>
      <c r="L1241" s="41">
        <f t="shared" si="252"/>
        <v>0.79260780287475541</v>
      </c>
      <c r="M1241" s="43">
        <f>VLOOKUP(H1241,Data!$P$3:$X$122,9)</f>
        <v>0</v>
      </c>
      <c r="N1241" s="43">
        <f t="shared" si="255"/>
        <v>0</v>
      </c>
      <c r="O1241" s="43">
        <f t="shared" si="256"/>
        <v>0</v>
      </c>
      <c r="P1241" s="30">
        <f t="shared" si="257"/>
        <v>0</v>
      </c>
      <c r="Q1241" s="31">
        <f t="shared" si="259"/>
        <v>848340.75061972369</v>
      </c>
    </row>
    <row r="1242" spans="1:17" x14ac:dyDescent="0.25">
      <c r="A1242" s="6">
        <f t="shared" si="258"/>
        <v>80993</v>
      </c>
      <c r="B1242" s="30">
        <f>IFERROR(VLOOKUP(A1242, Data!$L$3:$N$123, 3),1)*Pension</f>
        <v>3253786.8174814065</v>
      </c>
      <c r="C1242" s="37">
        <f t="shared" si="247"/>
        <v>103.24982888432581</v>
      </c>
      <c r="D1242" s="37">
        <f>IFERROR(VLOOKUP(A1242,Data!$I$3:$J$1442,2),0)</f>
        <v>7.7698856999999996E-2</v>
      </c>
      <c r="E1242" s="37">
        <f t="shared" si="248"/>
        <v>7.749885699999999E-2</v>
      </c>
      <c r="F1242" s="37">
        <f t="shared" si="253"/>
        <v>3.3487818337661954E-4</v>
      </c>
      <c r="G1242" s="30">
        <f t="shared" si="254"/>
        <v>1089.6222185329657</v>
      </c>
      <c r="H1242" s="38">
        <f t="shared" si="249"/>
        <v>198</v>
      </c>
      <c r="I1242" s="39">
        <f t="shared" si="250"/>
        <v>198.8747433264887</v>
      </c>
      <c r="J1242" s="40">
        <f t="shared" si="251"/>
        <v>103</v>
      </c>
      <c r="K1242" s="43">
        <f>VLOOKUP(J1242,Data!$Z$3:$AA$122,2)</f>
        <v>0</v>
      </c>
      <c r="L1242" s="41">
        <f t="shared" si="252"/>
        <v>0.8747433264886979</v>
      </c>
      <c r="M1242" s="43">
        <f>VLOOKUP(H1242,Data!$P$3:$X$122,9)</f>
        <v>0</v>
      </c>
      <c r="N1242" s="43">
        <f t="shared" si="255"/>
        <v>0</v>
      </c>
      <c r="O1242" s="43">
        <f t="shared" si="256"/>
        <v>0</v>
      </c>
      <c r="P1242" s="30">
        <f t="shared" si="257"/>
        <v>0</v>
      </c>
      <c r="Q1242" s="31">
        <f t="shared" si="259"/>
        <v>848340.75061972369</v>
      </c>
    </row>
    <row r="1243" spans="1:17" x14ac:dyDescent="0.25">
      <c r="A1243" s="6">
        <f t="shared" si="258"/>
        <v>81024</v>
      </c>
      <c r="B1243" s="30">
        <f>IFERROR(VLOOKUP(A1243, Data!$L$3:$N$123, 3),1)*Pension</f>
        <v>3253786.8174814065</v>
      </c>
      <c r="C1243" s="37">
        <f t="shared" si="247"/>
        <v>103.33470225872689</v>
      </c>
      <c r="D1243" s="37">
        <f>IFERROR(VLOOKUP(A1243,Data!$I$3:$J$1442,2),0)</f>
        <v>7.7692533999999994E-2</v>
      </c>
      <c r="E1243" s="37">
        <f t="shared" si="248"/>
        <v>7.7492533999999988E-2</v>
      </c>
      <c r="F1243" s="37">
        <f t="shared" si="253"/>
        <v>3.3290016152945302E-4</v>
      </c>
      <c r="G1243" s="30">
        <f t="shared" si="254"/>
        <v>1083.1861571219652</v>
      </c>
      <c r="H1243" s="38">
        <f t="shared" si="249"/>
        <v>198</v>
      </c>
      <c r="I1243" s="39">
        <f t="shared" si="250"/>
        <v>198.9596167008898</v>
      </c>
      <c r="J1243" s="40">
        <f t="shared" si="251"/>
        <v>103</v>
      </c>
      <c r="K1243" s="43">
        <f>VLOOKUP(J1243,Data!$Z$3:$AA$122,2)</f>
        <v>0</v>
      </c>
      <c r="L1243" s="41">
        <f t="shared" si="252"/>
        <v>0.95961670088979645</v>
      </c>
      <c r="M1243" s="43">
        <f>VLOOKUP(H1243,Data!$P$3:$X$122,9)</f>
        <v>0</v>
      </c>
      <c r="N1243" s="43">
        <f t="shared" si="255"/>
        <v>0</v>
      </c>
      <c r="O1243" s="43">
        <f t="shared" si="256"/>
        <v>0</v>
      </c>
      <c r="P1243" s="30">
        <f t="shared" si="257"/>
        <v>0</v>
      </c>
      <c r="Q1243" s="31">
        <f t="shared" si="259"/>
        <v>848340.75061972369</v>
      </c>
    </row>
    <row r="1244" spans="1:17" x14ac:dyDescent="0.25">
      <c r="A1244" s="6">
        <f t="shared" si="258"/>
        <v>81054</v>
      </c>
      <c r="B1244" s="30">
        <f>IFERROR(VLOOKUP(A1244, Data!$L$3:$N$123, 3),1)*Pension</f>
        <v>3253786.8174814065</v>
      </c>
      <c r="C1244" s="37">
        <f t="shared" si="247"/>
        <v>103.41683778234086</v>
      </c>
      <c r="D1244" s="37">
        <f>IFERROR(VLOOKUP(A1244,Data!$I$3:$J$1442,2),0)</f>
        <v>7.7686424000000004E-2</v>
      </c>
      <c r="E1244" s="37">
        <f t="shared" si="248"/>
        <v>7.7486423999999998E-2</v>
      </c>
      <c r="F1244" s="37">
        <f t="shared" si="253"/>
        <v>3.309971009311652E-4</v>
      </c>
      <c r="G1244" s="30">
        <f t="shared" si="254"/>
        <v>1076.9940036343878</v>
      </c>
      <c r="H1244" s="38">
        <f t="shared" si="249"/>
        <v>199</v>
      </c>
      <c r="I1244" s="39">
        <f t="shared" si="250"/>
        <v>199.04175222450377</v>
      </c>
      <c r="J1244" s="40">
        <f t="shared" si="251"/>
        <v>104</v>
      </c>
      <c r="K1244" s="43">
        <f>VLOOKUP(J1244,Data!$Z$3:$AA$122,2)</f>
        <v>0</v>
      </c>
      <c r="L1244" s="41">
        <f t="shared" si="252"/>
        <v>4.1752224503767366E-2</v>
      </c>
      <c r="M1244" s="43">
        <f>VLOOKUP(H1244,Data!$P$3:$X$122,9)</f>
        <v>0</v>
      </c>
      <c r="N1244" s="43">
        <f t="shared" si="255"/>
        <v>0</v>
      </c>
      <c r="O1244" s="43">
        <f t="shared" si="256"/>
        <v>0</v>
      </c>
      <c r="P1244" s="30">
        <f t="shared" si="257"/>
        <v>0</v>
      </c>
      <c r="Q1244" s="31">
        <f t="shared" si="259"/>
        <v>848340.75061972369</v>
      </c>
    </row>
    <row r="1245" spans="1:17" x14ac:dyDescent="0.25">
      <c r="A1245" s="6">
        <f t="shared" si="258"/>
        <v>81085</v>
      </c>
      <c r="B1245" s="30">
        <f>IFERROR(VLOOKUP(A1245, Data!$L$3:$N$123, 3),1)*Pension</f>
        <v>3416476.1583554768</v>
      </c>
      <c r="C1245" s="37">
        <f t="shared" si="247"/>
        <v>103.50171115674196</v>
      </c>
      <c r="D1245" s="37">
        <f>IFERROR(VLOOKUP(A1245,Data!$I$3:$J$1442,2),0)</f>
        <v>7.7680121000000005E-2</v>
      </c>
      <c r="E1245" s="37">
        <f t="shared" si="248"/>
        <v>7.7480120999999999E-2</v>
      </c>
      <c r="F1245" s="37">
        <f t="shared" si="253"/>
        <v>3.2904201699199504E-4</v>
      </c>
      <c r="G1245" s="30">
        <f t="shared" si="254"/>
        <v>1124.1642061503487</v>
      </c>
      <c r="H1245" s="38">
        <f t="shared" si="249"/>
        <v>199</v>
      </c>
      <c r="I1245" s="39">
        <f t="shared" si="250"/>
        <v>199.12662559890487</v>
      </c>
      <c r="J1245" s="40">
        <f t="shared" si="251"/>
        <v>104</v>
      </c>
      <c r="K1245" s="43">
        <f>VLOOKUP(J1245,Data!$Z$3:$AA$122,2)</f>
        <v>0</v>
      </c>
      <c r="L1245" s="41">
        <f t="shared" si="252"/>
        <v>0.12662559890486591</v>
      </c>
      <c r="M1245" s="43">
        <f>VLOOKUP(H1245,Data!$P$3:$X$122,9)</f>
        <v>0</v>
      </c>
      <c r="N1245" s="43">
        <f t="shared" si="255"/>
        <v>0</v>
      </c>
      <c r="O1245" s="43">
        <f t="shared" si="256"/>
        <v>0</v>
      </c>
      <c r="P1245" s="30">
        <f t="shared" si="257"/>
        <v>0</v>
      </c>
      <c r="Q1245" s="31">
        <f t="shared" si="259"/>
        <v>848340.75061972369</v>
      </c>
    </row>
    <row r="1246" spans="1:17" x14ac:dyDescent="0.25">
      <c r="A1246" s="6">
        <f t="shared" si="258"/>
        <v>81116</v>
      </c>
      <c r="B1246" s="30">
        <f>IFERROR(VLOOKUP(A1246, Data!$L$3:$N$123, 3),1)*Pension</f>
        <v>3416476.1583554768</v>
      </c>
      <c r="C1246" s="37">
        <f t="shared" si="247"/>
        <v>103.58658453114305</v>
      </c>
      <c r="D1246" s="37">
        <f>IFERROR(VLOOKUP(A1246,Data!$I$3:$J$1442,2),0)</f>
        <v>7.7673829E-2</v>
      </c>
      <c r="E1246" s="37">
        <f t="shared" si="248"/>
        <v>7.7473828999999994E-2</v>
      </c>
      <c r="F1246" s="37">
        <f t="shared" si="253"/>
        <v>3.2709845830286691E-4</v>
      </c>
      <c r="G1246" s="30">
        <f t="shared" si="254"/>
        <v>1117.5240842265778</v>
      </c>
      <c r="H1246" s="38">
        <f t="shared" si="249"/>
        <v>199</v>
      </c>
      <c r="I1246" s="39">
        <f t="shared" si="250"/>
        <v>199.21149897330596</v>
      </c>
      <c r="J1246" s="40">
        <f t="shared" si="251"/>
        <v>104</v>
      </c>
      <c r="K1246" s="43">
        <f>VLOOKUP(J1246,Data!$Z$3:$AA$122,2)</f>
        <v>0</v>
      </c>
      <c r="L1246" s="41">
        <f t="shared" si="252"/>
        <v>0.21149897330596445</v>
      </c>
      <c r="M1246" s="43">
        <f>VLOOKUP(H1246,Data!$P$3:$X$122,9)</f>
        <v>0</v>
      </c>
      <c r="N1246" s="43">
        <f t="shared" si="255"/>
        <v>0</v>
      </c>
      <c r="O1246" s="43">
        <f t="shared" si="256"/>
        <v>0</v>
      </c>
      <c r="P1246" s="30">
        <f t="shared" si="257"/>
        <v>0</v>
      </c>
      <c r="Q1246" s="31">
        <f t="shared" si="259"/>
        <v>848340.75061972369</v>
      </c>
    </row>
    <row r="1247" spans="1:17" x14ac:dyDescent="0.25">
      <c r="A1247" s="6">
        <f t="shared" si="258"/>
        <v>81144</v>
      </c>
      <c r="B1247" s="30">
        <f>IFERROR(VLOOKUP(A1247, Data!$L$3:$N$123, 3),1)*Pension</f>
        <v>3416476.1583554768</v>
      </c>
      <c r="C1247" s="37">
        <f t="shared" si="247"/>
        <v>103.66324435318275</v>
      </c>
      <c r="D1247" s="37">
        <f>IFERROR(VLOOKUP(A1247,Data!$I$3:$J$1442,2),0)</f>
        <v>7.7668154000000003E-2</v>
      </c>
      <c r="E1247" s="37">
        <f t="shared" si="248"/>
        <v>7.7468153999999997E-2</v>
      </c>
      <c r="F1247" s="37">
        <f t="shared" si="253"/>
        <v>3.2535288076943893E-4</v>
      </c>
      <c r="G1247" s="30">
        <f t="shared" si="254"/>
        <v>1111.5603602010601</v>
      </c>
      <c r="H1247" s="38">
        <f t="shared" si="249"/>
        <v>199</v>
      </c>
      <c r="I1247" s="39">
        <f t="shared" si="250"/>
        <v>199.28815879534565</v>
      </c>
      <c r="J1247" s="40">
        <f t="shared" si="251"/>
        <v>104</v>
      </c>
      <c r="K1247" s="43">
        <f>VLOOKUP(J1247,Data!$Z$3:$AA$122,2)</f>
        <v>0</v>
      </c>
      <c r="L1247" s="41">
        <f t="shared" si="252"/>
        <v>0.2881587953456517</v>
      </c>
      <c r="M1247" s="43">
        <f>VLOOKUP(H1247,Data!$P$3:$X$122,9)</f>
        <v>0</v>
      </c>
      <c r="N1247" s="43">
        <f t="shared" si="255"/>
        <v>0</v>
      </c>
      <c r="O1247" s="43">
        <f t="shared" si="256"/>
        <v>0</v>
      </c>
      <c r="P1247" s="30">
        <f t="shared" si="257"/>
        <v>0</v>
      </c>
      <c r="Q1247" s="31">
        <f t="shared" si="259"/>
        <v>848340.75061972369</v>
      </c>
    </row>
    <row r="1248" spans="1:17" x14ac:dyDescent="0.25">
      <c r="A1248" s="6">
        <f t="shared" si="258"/>
        <v>81175</v>
      </c>
      <c r="B1248" s="30">
        <f>IFERROR(VLOOKUP(A1248, Data!$L$3:$N$123, 3),1)*Pension</f>
        <v>3416476.1583554768</v>
      </c>
      <c r="C1248" s="37">
        <f t="shared" si="247"/>
        <v>103.74811772758385</v>
      </c>
      <c r="D1248" s="37">
        <f>IFERROR(VLOOKUP(A1248,Data!$I$3:$J$1442,2),0)</f>
        <v>7.7661881000000002E-2</v>
      </c>
      <c r="E1248" s="37">
        <f t="shared" si="248"/>
        <v>7.7461880999999996E-2</v>
      </c>
      <c r="F1248" s="37">
        <f t="shared" si="253"/>
        <v>3.2343113244589252E-4</v>
      </c>
      <c r="G1248" s="30">
        <f t="shared" si="254"/>
        <v>1104.9947528713044</v>
      </c>
      <c r="H1248" s="38">
        <f t="shared" si="249"/>
        <v>199</v>
      </c>
      <c r="I1248" s="39">
        <f t="shared" si="250"/>
        <v>199.37303216974675</v>
      </c>
      <c r="J1248" s="40">
        <f t="shared" si="251"/>
        <v>104</v>
      </c>
      <c r="K1248" s="43">
        <f>VLOOKUP(J1248,Data!$Z$3:$AA$122,2)</f>
        <v>0</v>
      </c>
      <c r="L1248" s="41">
        <f t="shared" si="252"/>
        <v>0.37303216974675024</v>
      </c>
      <c r="M1248" s="43">
        <f>VLOOKUP(H1248,Data!$P$3:$X$122,9)</f>
        <v>0</v>
      </c>
      <c r="N1248" s="43">
        <f t="shared" si="255"/>
        <v>0</v>
      </c>
      <c r="O1248" s="43">
        <f t="shared" si="256"/>
        <v>0</v>
      </c>
      <c r="P1248" s="30">
        <f t="shared" si="257"/>
        <v>0</v>
      </c>
      <c r="Q1248" s="31">
        <f t="shared" si="259"/>
        <v>848340.75061972369</v>
      </c>
    </row>
    <row r="1249" spans="1:17" x14ac:dyDescent="0.25">
      <c r="A1249" s="6">
        <f t="shared" si="258"/>
        <v>81205</v>
      </c>
      <c r="B1249" s="30">
        <f>IFERROR(VLOOKUP(A1249, Data!$L$3:$N$123, 3),1)*Pension</f>
        <v>3416476.1583554768</v>
      </c>
      <c r="C1249" s="37">
        <f t="shared" si="247"/>
        <v>103.8302532511978</v>
      </c>
      <c r="D1249" s="37">
        <f>IFERROR(VLOOKUP(A1249,Data!$I$3:$J$1442,2),0)</f>
        <v>7.765582E-2</v>
      </c>
      <c r="E1249" s="37">
        <f t="shared" si="248"/>
        <v>7.7455819999999995E-2</v>
      </c>
      <c r="F1249" s="37">
        <f t="shared" si="253"/>
        <v>3.2158218844579288E-4</v>
      </c>
      <c r="G1249" s="30">
        <f t="shared" si="254"/>
        <v>1098.6778797768295</v>
      </c>
      <c r="H1249" s="38">
        <f t="shared" si="249"/>
        <v>199</v>
      </c>
      <c r="I1249" s="39">
        <f t="shared" si="250"/>
        <v>199.45516769336072</v>
      </c>
      <c r="J1249" s="40">
        <f t="shared" si="251"/>
        <v>104</v>
      </c>
      <c r="K1249" s="43">
        <f>VLOOKUP(J1249,Data!$Z$3:$AA$122,2)</f>
        <v>0</v>
      </c>
      <c r="L1249" s="41">
        <f t="shared" si="252"/>
        <v>0.45516769336072116</v>
      </c>
      <c r="M1249" s="43">
        <f>VLOOKUP(H1249,Data!$P$3:$X$122,9)</f>
        <v>0</v>
      </c>
      <c r="N1249" s="43">
        <f t="shared" si="255"/>
        <v>0</v>
      </c>
      <c r="O1249" s="43">
        <f t="shared" si="256"/>
        <v>0</v>
      </c>
      <c r="P1249" s="30">
        <f t="shared" si="257"/>
        <v>0</v>
      </c>
      <c r="Q1249" s="31">
        <f t="shared" si="259"/>
        <v>848340.75061972369</v>
      </c>
    </row>
    <row r="1250" spans="1:17" x14ac:dyDescent="0.25">
      <c r="A1250" s="6">
        <f t="shared" si="258"/>
        <v>81236</v>
      </c>
      <c r="B1250" s="30">
        <f>IFERROR(VLOOKUP(A1250, Data!$L$3:$N$123, 3),1)*Pension</f>
        <v>3416476.1583554768</v>
      </c>
      <c r="C1250" s="37">
        <f t="shared" si="247"/>
        <v>103.9151266255989</v>
      </c>
      <c r="D1250" s="37">
        <f>IFERROR(VLOOKUP(A1250,Data!$I$3:$J$1442,2),0)</f>
        <v>7.7649568000000002E-2</v>
      </c>
      <c r="E1250" s="37">
        <f t="shared" si="248"/>
        <v>7.7449567999999996E-2</v>
      </c>
      <c r="F1250" s="37">
        <f t="shared" si="253"/>
        <v>3.1968268426389897E-4</v>
      </c>
      <c r="G1250" s="30">
        <f t="shared" si="254"/>
        <v>1092.1882690266923</v>
      </c>
      <c r="H1250" s="38">
        <f t="shared" si="249"/>
        <v>199</v>
      </c>
      <c r="I1250" s="39">
        <f t="shared" si="250"/>
        <v>199.54004106776182</v>
      </c>
      <c r="J1250" s="40">
        <f t="shared" si="251"/>
        <v>104</v>
      </c>
      <c r="K1250" s="43">
        <f>VLOOKUP(J1250,Data!$Z$3:$AA$122,2)</f>
        <v>0</v>
      </c>
      <c r="L1250" s="41">
        <f t="shared" si="252"/>
        <v>0.5400410677618197</v>
      </c>
      <c r="M1250" s="43">
        <f>VLOOKUP(H1250,Data!$P$3:$X$122,9)</f>
        <v>0</v>
      </c>
      <c r="N1250" s="43">
        <f t="shared" si="255"/>
        <v>0</v>
      </c>
      <c r="O1250" s="43">
        <f t="shared" si="256"/>
        <v>0</v>
      </c>
      <c r="P1250" s="30">
        <f t="shared" si="257"/>
        <v>0</v>
      </c>
      <c r="Q1250" s="31">
        <f t="shared" si="259"/>
        <v>848340.75061972369</v>
      </c>
    </row>
    <row r="1251" spans="1:17" x14ac:dyDescent="0.25">
      <c r="A1251" s="6">
        <f t="shared" si="258"/>
        <v>81266</v>
      </c>
      <c r="B1251" s="30">
        <f>IFERROR(VLOOKUP(A1251, Data!$L$3:$N$123, 3),1)*Pension</f>
        <v>3416476.1583554768</v>
      </c>
      <c r="C1251" s="37">
        <f t="shared" si="247"/>
        <v>103.99726214921287</v>
      </c>
      <c r="D1251" s="37">
        <f>IFERROR(VLOOKUP(A1251,Data!$I$3:$J$1442,2),0)</f>
        <v>7.7643526000000004E-2</v>
      </c>
      <c r="E1251" s="37">
        <f t="shared" si="248"/>
        <v>7.7443525999999999E-2</v>
      </c>
      <c r="F1251" s="37">
        <f t="shared" si="253"/>
        <v>3.1785518398521403E-4</v>
      </c>
      <c r="G1251" s="30">
        <f t="shared" si="254"/>
        <v>1085.9446578951772</v>
      </c>
      <c r="H1251" s="38">
        <f t="shared" si="249"/>
        <v>199</v>
      </c>
      <c r="I1251" s="39">
        <f t="shared" si="250"/>
        <v>199.62217659137576</v>
      </c>
      <c r="J1251" s="40">
        <f t="shared" si="251"/>
        <v>104</v>
      </c>
      <c r="K1251" s="43">
        <f>VLOOKUP(J1251,Data!$Z$3:$AA$122,2)</f>
        <v>0</v>
      </c>
      <c r="L1251" s="41">
        <f t="shared" si="252"/>
        <v>0.6221765913757622</v>
      </c>
      <c r="M1251" s="43">
        <f>VLOOKUP(H1251,Data!$P$3:$X$122,9)</f>
        <v>0</v>
      </c>
      <c r="N1251" s="43">
        <f t="shared" si="255"/>
        <v>0</v>
      </c>
      <c r="O1251" s="43">
        <f t="shared" si="256"/>
        <v>0</v>
      </c>
      <c r="P1251" s="30">
        <f t="shared" si="257"/>
        <v>0</v>
      </c>
      <c r="Q1251" s="31">
        <f t="shared" si="259"/>
        <v>848340.75061972369</v>
      </c>
    </row>
    <row r="1252" spans="1:17" x14ac:dyDescent="0.25">
      <c r="A1252" s="6">
        <f t="shared" si="258"/>
        <v>81297</v>
      </c>
      <c r="B1252" s="30">
        <f>IFERROR(VLOOKUP(A1252, Data!$L$3:$N$123, 3),1)*Pension</f>
        <v>3416476.1583554768</v>
      </c>
      <c r="C1252" s="37">
        <f t="shared" si="247"/>
        <v>104.08213552361396</v>
      </c>
      <c r="D1252" s="37">
        <f>IFERROR(VLOOKUP(A1252,Data!$I$3:$J$1442,2),0)</f>
        <v>7.7637293999999996E-2</v>
      </c>
      <c r="E1252" s="37">
        <f t="shared" si="248"/>
        <v>7.743729399999999E-2</v>
      </c>
      <c r="F1252" s="37">
        <f t="shared" si="253"/>
        <v>3.1597769614438687E-4</v>
      </c>
      <c r="G1252" s="30">
        <f t="shared" si="254"/>
        <v>1079.5302654493889</v>
      </c>
      <c r="H1252" s="38">
        <f t="shared" si="249"/>
        <v>199</v>
      </c>
      <c r="I1252" s="39">
        <f t="shared" si="250"/>
        <v>199.70704996577686</v>
      </c>
      <c r="J1252" s="40">
        <f t="shared" si="251"/>
        <v>104</v>
      </c>
      <c r="K1252" s="43">
        <f>VLOOKUP(J1252,Data!$Z$3:$AA$122,2)</f>
        <v>0</v>
      </c>
      <c r="L1252" s="41">
        <f t="shared" si="252"/>
        <v>0.70704996577686074</v>
      </c>
      <c r="M1252" s="43">
        <f>VLOOKUP(H1252,Data!$P$3:$X$122,9)</f>
        <v>0</v>
      </c>
      <c r="N1252" s="43">
        <f t="shared" si="255"/>
        <v>0</v>
      </c>
      <c r="O1252" s="43">
        <f t="shared" si="256"/>
        <v>0</v>
      </c>
      <c r="P1252" s="30">
        <f t="shared" si="257"/>
        <v>0</v>
      </c>
      <c r="Q1252" s="31">
        <f t="shared" si="259"/>
        <v>848340.75061972369</v>
      </c>
    </row>
    <row r="1253" spans="1:17" x14ac:dyDescent="0.25">
      <c r="A1253" s="6">
        <f t="shared" si="258"/>
        <v>81328</v>
      </c>
      <c r="B1253" s="30">
        <f>IFERROR(VLOOKUP(A1253, Data!$L$3:$N$123, 3),1)*Pension</f>
        <v>3416476.1583554768</v>
      </c>
      <c r="C1253" s="37">
        <f t="shared" si="247"/>
        <v>104.16700889801506</v>
      </c>
      <c r="D1253" s="37">
        <f>IFERROR(VLOOKUP(A1253,Data!$I$3:$J$1442,2),0)</f>
        <v>7.7631070999999996E-2</v>
      </c>
      <c r="E1253" s="37">
        <f t="shared" si="248"/>
        <v>7.743107099999999E-2</v>
      </c>
      <c r="F1253" s="37">
        <f t="shared" si="253"/>
        <v>3.1411133594158065E-4</v>
      </c>
      <c r="G1253" s="30">
        <f t="shared" si="254"/>
        <v>1073.1538903135981</v>
      </c>
      <c r="H1253" s="38">
        <f t="shared" si="249"/>
        <v>199</v>
      </c>
      <c r="I1253" s="39">
        <f t="shared" si="250"/>
        <v>199.79192334017796</v>
      </c>
      <c r="J1253" s="40">
        <f t="shared" si="251"/>
        <v>104</v>
      </c>
      <c r="K1253" s="43">
        <f>VLOOKUP(J1253,Data!$Z$3:$AA$122,2)</f>
        <v>0</v>
      </c>
      <c r="L1253" s="41">
        <f t="shared" si="252"/>
        <v>0.79192334017795929</v>
      </c>
      <c r="M1253" s="43">
        <f>VLOOKUP(H1253,Data!$P$3:$X$122,9)</f>
        <v>0</v>
      </c>
      <c r="N1253" s="43">
        <f t="shared" si="255"/>
        <v>0</v>
      </c>
      <c r="O1253" s="43">
        <f t="shared" si="256"/>
        <v>0</v>
      </c>
      <c r="P1253" s="30">
        <f t="shared" si="257"/>
        <v>0</v>
      </c>
      <c r="Q1253" s="31">
        <f t="shared" si="259"/>
        <v>848340.75061972369</v>
      </c>
    </row>
    <row r="1254" spans="1:17" x14ac:dyDescent="0.25">
      <c r="A1254" s="6">
        <f t="shared" si="258"/>
        <v>81358</v>
      </c>
      <c r="B1254" s="30">
        <f>IFERROR(VLOOKUP(A1254, Data!$L$3:$N$123, 3),1)*Pension</f>
        <v>3416476.1583554768</v>
      </c>
      <c r="C1254" s="37">
        <f t="shared" si="247"/>
        <v>104.24914442162903</v>
      </c>
      <c r="D1254" s="37">
        <f>IFERROR(VLOOKUP(A1254,Data!$I$3:$J$1442,2),0)</f>
        <v>7.7625058999999996E-2</v>
      </c>
      <c r="E1254" s="37">
        <f t="shared" si="248"/>
        <v>7.7425058999999991E-2</v>
      </c>
      <c r="F1254" s="37">
        <f t="shared" si="253"/>
        <v>3.1231565790625104E-4</v>
      </c>
      <c r="G1254" s="30">
        <f t="shared" si="254"/>
        <v>1067.0189991178117</v>
      </c>
      <c r="H1254" s="38">
        <f t="shared" si="249"/>
        <v>199</v>
      </c>
      <c r="I1254" s="39">
        <f t="shared" si="250"/>
        <v>199.87405886379193</v>
      </c>
      <c r="J1254" s="40">
        <f t="shared" si="251"/>
        <v>104</v>
      </c>
      <c r="K1254" s="43">
        <f>VLOOKUP(J1254,Data!$Z$3:$AA$122,2)</f>
        <v>0</v>
      </c>
      <c r="L1254" s="41">
        <f t="shared" si="252"/>
        <v>0.87405886379193021</v>
      </c>
      <c r="M1254" s="43">
        <f>VLOOKUP(H1254,Data!$P$3:$X$122,9)</f>
        <v>0</v>
      </c>
      <c r="N1254" s="43">
        <f t="shared" si="255"/>
        <v>0</v>
      </c>
      <c r="O1254" s="43">
        <f t="shared" si="256"/>
        <v>0</v>
      </c>
      <c r="P1254" s="30">
        <f t="shared" si="257"/>
        <v>0</v>
      </c>
      <c r="Q1254" s="31">
        <f t="shared" si="259"/>
        <v>848340.75061972369</v>
      </c>
    </row>
    <row r="1255" spans="1:17" x14ac:dyDescent="0.25">
      <c r="A1255" s="6">
        <f t="shared" si="258"/>
        <v>81389</v>
      </c>
      <c r="B1255" s="30">
        <f>IFERROR(VLOOKUP(A1255, Data!$L$3:$N$123, 3),1)*Pension</f>
        <v>3416476.1583554768</v>
      </c>
      <c r="C1255" s="37">
        <f t="shared" si="247"/>
        <v>104.33401779603011</v>
      </c>
      <c r="D1255" s="37">
        <f>IFERROR(VLOOKUP(A1255,Data!$I$3:$J$1442,2),0)</f>
        <v>7.7618856E-2</v>
      </c>
      <c r="E1255" s="37">
        <f t="shared" si="248"/>
        <v>7.7418855999999994E-2</v>
      </c>
      <c r="F1255" s="37">
        <f t="shared" si="253"/>
        <v>3.104709251907365E-4</v>
      </c>
      <c r="G1255" s="30">
        <f t="shared" si="254"/>
        <v>1060.7165137767181</v>
      </c>
      <c r="H1255" s="38">
        <f t="shared" si="249"/>
        <v>199</v>
      </c>
      <c r="I1255" s="39">
        <f t="shared" si="250"/>
        <v>199.95893223819303</v>
      </c>
      <c r="J1255" s="40">
        <f t="shared" si="251"/>
        <v>104</v>
      </c>
      <c r="K1255" s="43">
        <f>VLOOKUP(J1255,Data!$Z$3:$AA$122,2)</f>
        <v>0</v>
      </c>
      <c r="L1255" s="41">
        <f t="shared" si="252"/>
        <v>0.95893223819302875</v>
      </c>
      <c r="M1255" s="43">
        <f>VLOOKUP(H1255,Data!$P$3:$X$122,9)</f>
        <v>0</v>
      </c>
      <c r="N1255" s="43">
        <f t="shared" si="255"/>
        <v>0</v>
      </c>
      <c r="O1255" s="43">
        <f t="shared" si="256"/>
        <v>0</v>
      </c>
      <c r="P1255" s="30">
        <f t="shared" si="257"/>
        <v>0</v>
      </c>
      <c r="Q1255" s="31">
        <f t="shared" si="259"/>
        <v>848340.75061972369</v>
      </c>
    </row>
    <row r="1256" spans="1:17" x14ac:dyDescent="0.25">
      <c r="A1256" s="6">
        <f t="shared" si="258"/>
        <v>81419</v>
      </c>
      <c r="B1256" s="30">
        <f>IFERROR(VLOOKUP(A1256, Data!$L$3:$N$123, 3),1)*Pension</f>
        <v>3416476.1583554768</v>
      </c>
      <c r="C1256" s="37">
        <f t="shared" si="247"/>
        <v>104.41615331964408</v>
      </c>
      <c r="D1256" s="37">
        <f>IFERROR(VLOOKUP(A1256,Data!$I$3:$J$1442,2),0)</f>
        <v>7.7612863000000004E-2</v>
      </c>
      <c r="E1256" s="37">
        <f t="shared" si="248"/>
        <v>7.7412862999999998E-2</v>
      </c>
      <c r="F1256" s="37">
        <f t="shared" si="253"/>
        <v>3.0869606550020044E-4</v>
      </c>
      <c r="G1256" s="30">
        <f t="shared" si="254"/>
        <v>1054.6527479595754</v>
      </c>
      <c r="H1256" s="38">
        <f t="shared" si="249"/>
        <v>200</v>
      </c>
      <c r="I1256" s="39">
        <f t="shared" si="250"/>
        <v>200.04106776180697</v>
      </c>
      <c r="J1256" s="40">
        <f t="shared" si="251"/>
        <v>105</v>
      </c>
      <c r="K1256" s="43">
        <f>VLOOKUP(J1256,Data!$Z$3:$AA$122,2)</f>
        <v>0</v>
      </c>
      <c r="L1256" s="41">
        <f t="shared" si="252"/>
        <v>4.1067761806971248E-2</v>
      </c>
      <c r="M1256" s="43">
        <f>VLOOKUP(H1256,Data!$P$3:$X$122,9)</f>
        <v>0</v>
      </c>
      <c r="N1256" s="43">
        <f t="shared" si="255"/>
        <v>0</v>
      </c>
      <c r="O1256" s="43">
        <f t="shared" si="256"/>
        <v>0</v>
      </c>
      <c r="P1256" s="30">
        <f t="shared" si="257"/>
        <v>0</v>
      </c>
      <c r="Q1256" s="31">
        <f t="shared" si="259"/>
        <v>848340.75061972369</v>
      </c>
    </row>
    <row r="1257" spans="1:17" x14ac:dyDescent="0.25">
      <c r="A1257" s="6">
        <f t="shared" si="258"/>
        <v>81450</v>
      </c>
      <c r="B1257" s="30">
        <f>IFERROR(VLOOKUP(A1257, Data!$L$3:$N$123, 3),1)*Pension</f>
        <v>3587299.9662732505</v>
      </c>
      <c r="C1257" s="37">
        <f t="shared" si="247"/>
        <v>104.50102669404518</v>
      </c>
      <c r="D1257" s="37">
        <f>IFERROR(VLOOKUP(A1257,Data!$I$3:$J$1442,2),0)</f>
        <v>7.7606679999999997E-2</v>
      </c>
      <c r="E1257" s="37">
        <f t="shared" si="248"/>
        <v>7.7406679999999992E-2</v>
      </c>
      <c r="F1257" s="37">
        <f t="shared" si="253"/>
        <v>3.0687270655925471E-4</v>
      </c>
      <c r="G1257" s="30">
        <f t="shared" si="254"/>
        <v>1100.8444498901956</v>
      </c>
      <c r="H1257" s="38">
        <f t="shared" si="249"/>
        <v>200</v>
      </c>
      <c r="I1257" s="39">
        <f t="shared" si="250"/>
        <v>200.12594113620807</v>
      </c>
      <c r="J1257" s="40">
        <f t="shared" si="251"/>
        <v>105</v>
      </c>
      <c r="K1257" s="43">
        <f>VLOOKUP(J1257,Data!$Z$3:$AA$122,2)</f>
        <v>0</v>
      </c>
      <c r="L1257" s="41">
        <f t="shared" si="252"/>
        <v>0.12594113620806979</v>
      </c>
      <c r="M1257" s="43">
        <f>VLOOKUP(H1257,Data!$P$3:$X$122,9)</f>
        <v>0</v>
      </c>
      <c r="N1257" s="43">
        <f t="shared" si="255"/>
        <v>0</v>
      </c>
      <c r="O1257" s="43">
        <f t="shared" si="256"/>
        <v>0</v>
      </c>
      <c r="P1257" s="30">
        <f t="shared" si="257"/>
        <v>0</v>
      </c>
      <c r="Q1257" s="31">
        <f t="shared" si="259"/>
        <v>848340.75061972369</v>
      </c>
    </row>
    <row r="1258" spans="1:17" x14ac:dyDescent="0.25">
      <c r="A1258" s="6">
        <f t="shared" si="258"/>
        <v>81481</v>
      </c>
      <c r="B1258" s="30">
        <f>IFERROR(VLOOKUP(A1258, Data!$L$3:$N$123, 3),1)*Pension</f>
        <v>3587299.9662732505</v>
      </c>
      <c r="C1258" s="37">
        <f t="shared" si="247"/>
        <v>104.58590006844626</v>
      </c>
      <c r="D1258" s="37">
        <f>IFERROR(VLOOKUP(A1258,Data!$I$3:$J$1442,2),0)</f>
        <v>7.7600507999999999E-2</v>
      </c>
      <c r="E1258" s="37">
        <f t="shared" si="248"/>
        <v>7.7400507999999993E-2</v>
      </c>
      <c r="F1258" s="37">
        <f t="shared" si="253"/>
        <v>3.0506008677662106E-4</v>
      </c>
      <c r="G1258" s="30">
        <f t="shared" si="254"/>
        <v>1094.3420390050876</v>
      </c>
      <c r="H1258" s="38">
        <f t="shared" si="249"/>
        <v>200</v>
      </c>
      <c r="I1258" s="39">
        <f t="shared" si="250"/>
        <v>200.21081451060917</v>
      </c>
      <c r="J1258" s="40">
        <f t="shared" si="251"/>
        <v>105</v>
      </c>
      <c r="K1258" s="43">
        <f>VLOOKUP(J1258,Data!$Z$3:$AA$122,2)</f>
        <v>0</v>
      </c>
      <c r="L1258" s="41">
        <f t="shared" si="252"/>
        <v>0.21081451060916834</v>
      </c>
      <c r="M1258" s="43">
        <f>VLOOKUP(H1258,Data!$P$3:$X$122,9)</f>
        <v>0</v>
      </c>
      <c r="N1258" s="43">
        <f t="shared" si="255"/>
        <v>0</v>
      </c>
      <c r="O1258" s="43">
        <f t="shared" si="256"/>
        <v>0</v>
      </c>
      <c r="P1258" s="30">
        <f t="shared" si="257"/>
        <v>0</v>
      </c>
      <c r="Q1258" s="31">
        <f t="shared" si="259"/>
        <v>848340.75061972369</v>
      </c>
    </row>
    <row r="1259" spans="1:17" x14ac:dyDescent="0.25">
      <c r="A1259" s="6">
        <f t="shared" si="258"/>
        <v>81509</v>
      </c>
      <c r="B1259" s="30">
        <f>IFERROR(VLOOKUP(A1259, Data!$L$3:$N$123, 3),1)*Pension</f>
        <v>3587299.9662732505</v>
      </c>
      <c r="C1259" s="37">
        <f t="shared" si="247"/>
        <v>104.66255989048597</v>
      </c>
      <c r="D1259" s="37">
        <f>IFERROR(VLOOKUP(A1259,Data!$I$3:$J$1442,2),0)</f>
        <v>7.7594941000000001E-2</v>
      </c>
      <c r="E1259" s="37">
        <f t="shared" si="248"/>
        <v>7.7394940999999995E-2</v>
      </c>
      <c r="F1259" s="37">
        <f t="shared" si="253"/>
        <v>3.0343211459216059E-4</v>
      </c>
      <c r="G1259" s="30">
        <f t="shared" si="254"/>
        <v>1088.5020144426787</v>
      </c>
      <c r="H1259" s="38">
        <f t="shared" si="249"/>
        <v>200</v>
      </c>
      <c r="I1259" s="39">
        <f t="shared" si="250"/>
        <v>200.28747433264888</v>
      </c>
      <c r="J1259" s="40">
        <f t="shared" si="251"/>
        <v>105</v>
      </c>
      <c r="K1259" s="43">
        <f>VLOOKUP(J1259,Data!$Z$3:$AA$122,2)</f>
        <v>0</v>
      </c>
      <c r="L1259" s="41">
        <f t="shared" si="252"/>
        <v>0.287474332648884</v>
      </c>
      <c r="M1259" s="43">
        <f>VLOOKUP(H1259,Data!$P$3:$X$122,9)</f>
        <v>0</v>
      </c>
      <c r="N1259" s="43">
        <f t="shared" si="255"/>
        <v>0</v>
      </c>
      <c r="O1259" s="43">
        <f t="shared" si="256"/>
        <v>0</v>
      </c>
      <c r="P1259" s="30">
        <f t="shared" si="257"/>
        <v>0</v>
      </c>
      <c r="Q1259" s="31">
        <f t="shared" si="259"/>
        <v>848340.75061972369</v>
      </c>
    </row>
    <row r="1260" spans="1:17" x14ac:dyDescent="0.25">
      <c r="A1260" s="6">
        <f t="shared" si="258"/>
        <v>81540</v>
      </c>
      <c r="B1260" s="30">
        <f>IFERROR(VLOOKUP(A1260, Data!$L$3:$N$123, 3),1)*Pension</f>
        <v>3587299.9662732505</v>
      </c>
      <c r="C1260" s="37">
        <f t="shared" si="247"/>
        <v>104.74743326488706</v>
      </c>
      <c r="D1260" s="37">
        <f>IFERROR(VLOOKUP(A1260,Data!$I$3:$J$1442,2),0)</f>
        <v>7.7588787000000006E-2</v>
      </c>
      <c r="E1260" s="37">
        <f t="shared" si="248"/>
        <v>7.7388787000000001E-2</v>
      </c>
      <c r="F1260" s="37">
        <f t="shared" si="253"/>
        <v>3.0163985005381838E-4</v>
      </c>
      <c r="G1260" s="30">
        <f t="shared" si="254"/>
        <v>1082.072623924731</v>
      </c>
      <c r="H1260" s="38">
        <f t="shared" si="249"/>
        <v>200</v>
      </c>
      <c r="I1260" s="39">
        <f t="shared" si="250"/>
        <v>200.37234770704995</v>
      </c>
      <c r="J1260" s="40">
        <f t="shared" si="251"/>
        <v>105</v>
      </c>
      <c r="K1260" s="43">
        <f>VLOOKUP(J1260,Data!$Z$3:$AA$122,2)</f>
        <v>0</v>
      </c>
      <c r="L1260" s="41">
        <f t="shared" si="252"/>
        <v>0.37234770704995412</v>
      </c>
      <c r="M1260" s="43">
        <f>VLOOKUP(H1260,Data!$P$3:$X$122,9)</f>
        <v>0</v>
      </c>
      <c r="N1260" s="43">
        <f t="shared" si="255"/>
        <v>0</v>
      </c>
      <c r="O1260" s="43">
        <f t="shared" si="256"/>
        <v>0</v>
      </c>
      <c r="P1260" s="30">
        <f t="shared" si="257"/>
        <v>0</v>
      </c>
      <c r="Q1260" s="31">
        <f t="shared" si="259"/>
        <v>848340.75061972369</v>
      </c>
    </row>
    <row r="1261" spans="1:17" x14ac:dyDescent="0.25">
      <c r="A1261" s="6">
        <f t="shared" si="258"/>
        <v>81570</v>
      </c>
      <c r="B1261" s="30">
        <f>IFERROR(VLOOKUP(A1261, Data!$L$3:$N$123, 3),1)*Pension</f>
        <v>3587299.9662732505</v>
      </c>
      <c r="C1261" s="37">
        <f t="shared" si="247"/>
        <v>104.82956878850102</v>
      </c>
      <c r="D1261" s="37">
        <f>IFERROR(VLOOKUP(A1261,Data!$I$3:$J$1442,2),0)</f>
        <v>7.7582841E-2</v>
      </c>
      <c r="E1261" s="37">
        <f t="shared" si="248"/>
        <v>7.7382840999999994E-2</v>
      </c>
      <c r="F1261" s="37">
        <f t="shared" si="253"/>
        <v>2.9991548080274201E-4</v>
      </c>
      <c r="G1261" s="30">
        <f t="shared" si="254"/>
        <v>1075.8867941685021</v>
      </c>
      <c r="H1261" s="38">
        <f t="shared" si="249"/>
        <v>200</v>
      </c>
      <c r="I1261" s="39">
        <f t="shared" si="250"/>
        <v>200.45448323066393</v>
      </c>
      <c r="J1261" s="40">
        <f t="shared" si="251"/>
        <v>105</v>
      </c>
      <c r="K1261" s="43">
        <f>VLOOKUP(J1261,Data!$Z$3:$AA$122,2)</f>
        <v>0</v>
      </c>
      <c r="L1261" s="41">
        <f t="shared" si="252"/>
        <v>0.45448323066392504</v>
      </c>
      <c r="M1261" s="43">
        <f>VLOOKUP(H1261,Data!$P$3:$X$122,9)</f>
        <v>0</v>
      </c>
      <c r="N1261" s="43">
        <f t="shared" si="255"/>
        <v>0</v>
      </c>
      <c r="O1261" s="43">
        <f t="shared" si="256"/>
        <v>0</v>
      </c>
      <c r="P1261" s="30">
        <f t="shared" si="257"/>
        <v>0</v>
      </c>
      <c r="Q1261" s="31">
        <f t="shared" si="259"/>
        <v>848340.75061972369</v>
      </c>
    </row>
    <row r="1262" spans="1:17" x14ac:dyDescent="0.25">
      <c r="A1262" s="6">
        <f t="shared" si="258"/>
        <v>81601</v>
      </c>
      <c r="B1262" s="30">
        <f>IFERROR(VLOOKUP(A1262, Data!$L$3:$N$123, 3),1)*Pension</f>
        <v>3587299.9662732505</v>
      </c>
      <c r="C1262" s="37">
        <f t="shared" si="247"/>
        <v>104.91444216290212</v>
      </c>
      <c r="D1262" s="37">
        <f>IFERROR(VLOOKUP(A1262,Data!$I$3:$J$1442,2),0)</f>
        <v>7.7576706999999995E-2</v>
      </c>
      <c r="E1262" s="37">
        <f t="shared" si="248"/>
        <v>7.7376706999999989E-2</v>
      </c>
      <c r="F1262" s="37">
        <f t="shared" si="253"/>
        <v>2.9814397477372025E-4</v>
      </c>
      <c r="G1262" s="30">
        <f t="shared" si="254"/>
        <v>1069.5318706503394</v>
      </c>
      <c r="H1262" s="38">
        <f t="shared" si="249"/>
        <v>200</v>
      </c>
      <c r="I1262" s="39">
        <f t="shared" si="250"/>
        <v>200.53935660506502</v>
      </c>
      <c r="J1262" s="40">
        <f t="shared" si="251"/>
        <v>105</v>
      </c>
      <c r="K1262" s="43">
        <f>VLOOKUP(J1262,Data!$Z$3:$AA$122,2)</f>
        <v>0</v>
      </c>
      <c r="L1262" s="41">
        <f t="shared" si="252"/>
        <v>0.53935660506502359</v>
      </c>
      <c r="M1262" s="43">
        <f>VLOOKUP(H1262,Data!$P$3:$X$122,9)</f>
        <v>0</v>
      </c>
      <c r="N1262" s="43">
        <f t="shared" si="255"/>
        <v>0</v>
      </c>
      <c r="O1262" s="43">
        <f t="shared" si="256"/>
        <v>0</v>
      </c>
      <c r="P1262" s="30">
        <f t="shared" si="257"/>
        <v>0</v>
      </c>
      <c r="Q1262" s="31">
        <f t="shared" si="259"/>
        <v>848340.75061972369</v>
      </c>
    </row>
    <row r="1263" spans="1:17" x14ac:dyDescent="0.25">
      <c r="A1263" s="6">
        <f t="shared" si="258"/>
        <v>81631</v>
      </c>
      <c r="B1263" s="30">
        <f>IFERROR(VLOOKUP(A1263, Data!$L$3:$N$123, 3),1)*Pension</f>
        <v>3587299.9662732505</v>
      </c>
      <c r="C1263" s="37">
        <f t="shared" si="247"/>
        <v>104.99657768651609</v>
      </c>
      <c r="D1263" s="37">
        <f>IFERROR(VLOOKUP(A1263,Data!$I$3:$J$1442,2),0)</f>
        <v>7.7570780000000006E-2</v>
      </c>
      <c r="E1263" s="37">
        <f t="shared" si="248"/>
        <v>7.737078E-2</v>
      </c>
      <c r="F1263" s="37">
        <f t="shared" si="253"/>
        <v>2.9643958733943491E-4</v>
      </c>
      <c r="G1263" s="30">
        <f t="shared" si="254"/>
        <v>1063.4177216648111</v>
      </c>
      <c r="H1263" s="38">
        <f t="shared" si="249"/>
        <v>200</v>
      </c>
      <c r="I1263" s="39">
        <f t="shared" si="250"/>
        <v>200.62149212867899</v>
      </c>
      <c r="J1263" s="40">
        <f t="shared" si="251"/>
        <v>105</v>
      </c>
      <c r="K1263" s="43">
        <f>VLOOKUP(J1263,Data!$Z$3:$AA$122,2)</f>
        <v>0</v>
      </c>
      <c r="L1263" s="41">
        <f t="shared" si="252"/>
        <v>0.6214921286789945</v>
      </c>
      <c r="M1263" s="43">
        <f>VLOOKUP(H1263,Data!$P$3:$X$122,9)</f>
        <v>0</v>
      </c>
      <c r="N1263" s="43">
        <f t="shared" si="255"/>
        <v>0</v>
      </c>
      <c r="O1263" s="43">
        <f t="shared" si="256"/>
        <v>0</v>
      </c>
      <c r="P1263" s="30">
        <f t="shared" si="257"/>
        <v>0</v>
      </c>
      <c r="Q1263" s="31">
        <f t="shared" si="259"/>
        <v>848340.75061972369</v>
      </c>
    </row>
    <row r="1264" spans="1:17" x14ac:dyDescent="0.25">
      <c r="A1264" s="6">
        <f t="shared" si="258"/>
        <v>81662</v>
      </c>
      <c r="B1264" s="30">
        <f>IFERROR(VLOOKUP(A1264, Data!$L$3:$N$123, 3),1)*Pension</f>
        <v>3587299.9662732505</v>
      </c>
      <c r="C1264" s="37">
        <f t="shared" si="247"/>
        <v>105.08145106091717</v>
      </c>
      <c r="D1264" s="37">
        <f>IFERROR(VLOOKUP(A1264,Data!$I$3:$J$1442,2),0)</f>
        <v>7.7564665000000005E-2</v>
      </c>
      <c r="E1264" s="37">
        <f t="shared" si="248"/>
        <v>7.7364664999999999E-2</v>
      </c>
      <c r="F1264" s="37">
        <f t="shared" si="253"/>
        <v>2.9468862750445251E-4</v>
      </c>
      <c r="G1264" s="30">
        <f t="shared" si="254"/>
        <v>1057.1365035078329</v>
      </c>
      <c r="H1264" s="38">
        <f t="shared" si="249"/>
        <v>200</v>
      </c>
      <c r="I1264" s="39">
        <f t="shared" si="250"/>
        <v>200.70636550308009</v>
      </c>
      <c r="J1264" s="40">
        <f t="shared" si="251"/>
        <v>105</v>
      </c>
      <c r="K1264" s="43">
        <f>VLOOKUP(J1264,Data!$Z$3:$AA$122,2)</f>
        <v>0</v>
      </c>
      <c r="L1264" s="41">
        <f t="shared" si="252"/>
        <v>0.70636550308009305</v>
      </c>
      <c r="M1264" s="43">
        <f>VLOOKUP(H1264,Data!$P$3:$X$122,9)</f>
        <v>0</v>
      </c>
      <c r="N1264" s="43">
        <f t="shared" si="255"/>
        <v>0</v>
      </c>
      <c r="O1264" s="43">
        <f t="shared" si="256"/>
        <v>0</v>
      </c>
      <c r="P1264" s="30">
        <f t="shared" si="257"/>
        <v>0</v>
      </c>
      <c r="Q1264" s="31">
        <f t="shared" si="259"/>
        <v>848340.75061972369</v>
      </c>
    </row>
    <row r="1265" spans="1:17" x14ac:dyDescent="0.25">
      <c r="A1265" s="6">
        <f t="shared" si="258"/>
        <v>81693</v>
      </c>
      <c r="B1265" s="30">
        <f>IFERROR(VLOOKUP(A1265, Data!$L$3:$N$123, 3),1)*Pension</f>
        <v>3587299.9662732505</v>
      </c>
      <c r="C1265" s="37">
        <f t="shared" si="247"/>
        <v>105.16632443531827</v>
      </c>
      <c r="D1265" s="37">
        <f>IFERROR(VLOOKUP(A1265,Data!$I$3:$J$1442,2),0)</f>
        <v>7.7558560999999998E-2</v>
      </c>
      <c r="E1265" s="37">
        <f t="shared" si="248"/>
        <v>7.7358560999999992E-2</v>
      </c>
      <c r="F1265" s="37">
        <f t="shared" si="253"/>
        <v>2.9294797513604645E-4</v>
      </c>
      <c r="G1265" s="30">
        <f t="shared" si="254"/>
        <v>1050.8922613253565</v>
      </c>
      <c r="H1265" s="38">
        <f t="shared" si="249"/>
        <v>200</v>
      </c>
      <c r="I1265" s="39">
        <f t="shared" si="250"/>
        <v>200.79123887748116</v>
      </c>
      <c r="J1265" s="40">
        <f t="shared" si="251"/>
        <v>105</v>
      </c>
      <c r="K1265" s="43">
        <f>VLOOKUP(J1265,Data!$Z$3:$AA$122,2)</f>
        <v>0</v>
      </c>
      <c r="L1265" s="41">
        <f t="shared" si="252"/>
        <v>0.79123887748116317</v>
      </c>
      <c r="M1265" s="43">
        <f>VLOOKUP(H1265,Data!$P$3:$X$122,9)</f>
        <v>0</v>
      </c>
      <c r="N1265" s="43">
        <f t="shared" si="255"/>
        <v>0</v>
      </c>
      <c r="O1265" s="43">
        <f t="shared" si="256"/>
        <v>0</v>
      </c>
      <c r="P1265" s="30">
        <f t="shared" si="257"/>
        <v>0</v>
      </c>
      <c r="Q1265" s="31">
        <f t="shared" si="259"/>
        <v>848340.75061972369</v>
      </c>
    </row>
    <row r="1266" spans="1:17" x14ac:dyDescent="0.25">
      <c r="A1266" s="6">
        <f t="shared" si="258"/>
        <v>81723</v>
      </c>
      <c r="B1266" s="30">
        <f>IFERROR(VLOOKUP(A1266, Data!$L$3:$N$123, 3),1)*Pension</f>
        <v>3587299.9662732505</v>
      </c>
      <c r="C1266" s="37">
        <f t="shared" si="247"/>
        <v>105.24845995893224</v>
      </c>
      <c r="D1266" s="37">
        <f>IFERROR(VLOOKUP(A1266,Data!$I$3:$J$1442,2),0)</f>
        <v>7.7552661999999994E-2</v>
      </c>
      <c r="E1266" s="37">
        <f t="shared" si="248"/>
        <v>7.7352661999999989E-2</v>
      </c>
      <c r="F1266" s="37">
        <f t="shared" si="253"/>
        <v>2.912733020564984E-4</v>
      </c>
      <c r="G1266" s="30">
        <f t="shared" si="254"/>
        <v>1044.8847066435751</v>
      </c>
      <c r="H1266" s="38">
        <f t="shared" si="249"/>
        <v>200</v>
      </c>
      <c r="I1266" s="39">
        <f t="shared" si="250"/>
        <v>200.87337440109513</v>
      </c>
      <c r="J1266" s="40">
        <f t="shared" si="251"/>
        <v>105</v>
      </c>
      <c r="K1266" s="43">
        <f>VLOOKUP(J1266,Data!$Z$3:$AA$122,2)</f>
        <v>0</v>
      </c>
      <c r="L1266" s="41">
        <f t="shared" si="252"/>
        <v>0.87337440109513409</v>
      </c>
      <c r="M1266" s="43">
        <f>VLOOKUP(H1266,Data!$P$3:$X$122,9)</f>
        <v>0</v>
      </c>
      <c r="N1266" s="43">
        <f t="shared" si="255"/>
        <v>0</v>
      </c>
      <c r="O1266" s="43">
        <f t="shared" si="256"/>
        <v>0</v>
      </c>
      <c r="P1266" s="30">
        <f t="shared" si="257"/>
        <v>0</v>
      </c>
      <c r="Q1266" s="31">
        <f t="shared" si="259"/>
        <v>848340.75061972369</v>
      </c>
    </row>
    <row r="1267" spans="1:17" x14ac:dyDescent="0.25">
      <c r="A1267" s="6">
        <f t="shared" si="258"/>
        <v>81754</v>
      </c>
      <c r="B1267" s="30">
        <f>IFERROR(VLOOKUP(A1267, Data!$L$3:$N$123, 3),1)*Pension</f>
        <v>3587299.9662732505</v>
      </c>
      <c r="C1267" s="37">
        <f t="shared" si="247"/>
        <v>105.33333333333333</v>
      </c>
      <c r="D1267" s="37">
        <f>IFERROR(VLOOKUP(A1267,Data!$I$3:$J$1442,2),0)</f>
        <v>7.7546577000000005E-2</v>
      </c>
      <c r="E1267" s="37">
        <f t="shared" si="248"/>
        <v>7.7346577E-2</v>
      </c>
      <c r="F1267" s="37">
        <f t="shared" si="253"/>
        <v>2.8955283382788689E-4</v>
      </c>
      <c r="G1267" s="30">
        <f t="shared" si="254"/>
        <v>1038.7128710251027</v>
      </c>
      <c r="H1267" s="38">
        <f t="shared" si="249"/>
        <v>200</v>
      </c>
      <c r="I1267" s="39">
        <f t="shared" si="250"/>
        <v>200.95824777549623</v>
      </c>
      <c r="J1267" s="40">
        <f t="shared" si="251"/>
        <v>105</v>
      </c>
      <c r="K1267" s="43">
        <f>VLOOKUP(J1267,Data!$Z$3:$AA$122,2)</f>
        <v>0</v>
      </c>
      <c r="L1267" s="41">
        <f t="shared" si="252"/>
        <v>0.95824777549623263</v>
      </c>
      <c r="M1267" s="43">
        <f>VLOOKUP(H1267,Data!$P$3:$X$122,9)</f>
        <v>0</v>
      </c>
      <c r="N1267" s="43">
        <f t="shared" si="255"/>
        <v>0</v>
      </c>
      <c r="O1267" s="43">
        <f t="shared" si="256"/>
        <v>0</v>
      </c>
      <c r="P1267" s="30">
        <f t="shared" si="257"/>
        <v>0</v>
      </c>
      <c r="Q1267" s="31">
        <f t="shared" si="259"/>
        <v>848340.75061972369</v>
      </c>
    </row>
    <row r="1268" spans="1:17" x14ac:dyDescent="0.25">
      <c r="A1268" s="6">
        <f t="shared" si="258"/>
        <v>81784</v>
      </c>
      <c r="B1268" s="30">
        <f>IFERROR(VLOOKUP(A1268, Data!$L$3:$N$123, 3),1)*Pension</f>
        <v>3587299.9662732505</v>
      </c>
      <c r="C1268" s="37">
        <f t="shared" si="247"/>
        <v>105.4154688569473</v>
      </c>
      <c r="D1268" s="37">
        <f>IFERROR(VLOOKUP(A1268,Data!$I$3:$J$1442,2),0)</f>
        <v>7.7540697000000006E-2</v>
      </c>
      <c r="E1268" s="37">
        <f t="shared" si="248"/>
        <v>7.7340697E-2</v>
      </c>
      <c r="F1268" s="37">
        <f t="shared" si="253"/>
        <v>2.8789755987590124E-4</v>
      </c>
      <c r="G1268" s="30">
        <f t="shared" si="254"/>
        <v>1032.7749068329717</v>
      </c>
      <c r="H1268" s="38">
        <f t="shared" si="249"/>
        <v>201</v>
      </c>
      <c r="I1268" s="39">
        <f t="shared" si="250"/>
        <v>201.0403832991102</v>
      </c>
      <c r="J1268" s="40">
        <f t="shared" si="251"/>
        <v>106</v>
      </c>
      <c r="K1268" s="43">
        <f>VLOOKUP(J1268,Data!$Z$3:$AA$122,2)</f>
        <v>0</v>
      </c>
      <c r="L1268" s="41">
        <f t="shared" si="252"/>
        <v>4.0383299110203552E-2</v>
      </c>
      <c r="M1268" s="43">
        <f>VLOOKUP(H1268,Data!$P$3:$X$122,9)</f>
        <v>0</v>
      </c>
      <c r="N1268" s="43">
        <f t="shared" si="255"/>
        <v>0</v>
      </c>
      <c r="O1268" s="43">
        <f t="shared" si="256"/>
        <v>0</v>
      </c>
      <c r="P1268" s="30">
        <f t="shared" si="257"/>
        <v>0</v>
      </c>
      <c r="Q1268" s="31">
        <f t="shared" si="259"/>
        <v>848340.75061972369</v>
      </c>
    </row>
    <row r="1269" spans="1:17" x14ac:dyDescent="0.25">
      <c r="A1269" s="6">
        <f t="shared" si="258"/>
        <v>81815</v>
      </c>
      <c r="B1269" s="30">
        <f>IFERROR(VLOOKUP(A1269, Data!$L$3:$N$123, 3),1)*Pension</f>
        <v>3766664.9645869136</v>
      </c>
      <c r="C1269" s="37">
        <f t="shared" si="247"/>
        <v>105.5003422313484</v>
      </c>
      <c r="D1269" s="37">
        <f>IFERROR(VLOOKUP(A1269,Data!$I$3:$J$1442,2),0)</f>
        <v>7.7534631000000007E-2</v>
      </c>
      <c r="E1269" s="37">
        <f t="shared" si="248"/>
        <v>7.7334631000000001E-2</v>
      </c>
      <c r="F1269" s="37">
        <f t="shared" si="253"/>
        <v>2.861970389920859E-4</v>
      </c>
      <c r="G1269" s="30">
        <f t="shared" si="254"/>
        <v>1078.0083597400048</v>
      </c>
      <c r="H1269" s="38">
        <f t="shared" si="249"/>
        <v>201</v>
      </c>
      <c r="I1269" s="39">
        <f t="shared" si="250"/>
        <v>201.1252566735113</v>
      </c>
      <c r="J1269" s="40">
        <f t="shared" si="251"/>
        <v>106</v>
      </c>
      <c r="K1269" s="43">
        <f>VLOOKUP(J1269,Data!$Z$3:$AA$122,2)</f>
        <v>0</v>
      </c>
      <c r="L1269" s="41">
        <f t="shared" si="252"/>
        <v>0.1252566735113021</v>
      </c>
      <c r="M1269" s="43">
        <f>VLOOKUP(H1269,Data!$P$3:$X$122,9)</f>
        <v>0</v>
      </c>
      <c r="N1269" s="43">
        <f t="shared" si="255"/>
        <v>0</v>
      </c>
      <c r="O1269" s="43">
        <f t="shared" si="256"/>
        <v>0</v>
      </c>
      <c r="P1269" s="30">
        <f t="shared" si="257"/>
        <v>0</v>
      </c>
      <c r="Q1269" s="31">
        <f t="shared" si="259"/>
        <v>848340.75061972369</v>
      </c>
    </row>
    <row r="1270" spans="1:17" x14ac:dyDescent="0.25">
      <c r="A1270" s="6">
        <f t="shared" si="258"/>
        <v>81846</v>
      </c>
      <c r="B1270" s="30">
        <f>IFERROR(VLOOKUP(A1270, Data!$L$3:$N$123, 3),1)*Pension</f>
        <v>3766664.9645869136</v>
      </c>
      <c r="C1270" s="37">
        <f t="shared" si="247"/>
        <v>105.58521560574948</v>
      </c>
      <c r="D1270" s="37">
        <f>IFERROR(VLOOKUP(A1270,Data!$I$3:$J$1442,2),0)</f>
        <v>7.7528574000000003E-2</v>
      </c>
      <c r="E1270" s="37">
        <f t="shared" si="248"/>
        <v>7.7328573999999997E-2</v>
      </c>
      <c r="F1270" s="37">
        <f t="shared" si="253"/>
        <v>2.8450658514812821E-4</v>
      </c>
      <c r="G1270" s="30">
        <f t="shared" si="254"/>
        <v>1071.640986471718</v>
      </c>
      <c r="H1270" s="38">
        <f t="shared" si="249"/>
        <v>201</v>
      </c>
      <c r="I1270" s="39">
        <f t="shared" si="250"/>
        <v>201.2101300479124</v>
      </c>
      <c r="J1270" s="40">
        <f t="shared" si="251"/>
        <v>106</v>
      </c>
      <c r="K1270" s="43">
        <f>VLOOKUP(J1270,Data!$Z$3:$AA$122,2)</f>
        <v>0</v>
      </c>
      <c r="L1270" s="41">
        <f t="shared" si="252"/>
        <v>0.21013004791240064</v>
      </c>
      <c r="M1270" s="43">
        <f>VLOOKUP(H1270,Data!$P$3:$X$122,9)</f>
        <v>0</v>
      </c>
      <c r="N1270" s="43">
        <f t="shared" si="255"/>
        <v>0</v>
      </c>
      <c r="O1270" s="43">
        <f t="shared" si="256"/>
        <v>0</v>
      </c>
      <c r="P1270" s="30">
        <f t="shared" si="257"/>
        <v>0</v>
      </c>
      <c r="Q1270" s="31">
        <f t="shared" si="259"/>
        <v>848340.75061972369</v>
      </c>
    </row>
    <row r="1271" spans="1:17" x14ac:dyDescent="0.25">
      <c r="A1271" s="6">
        <f t="shared" si="258"/>
        <v>81875</v>
      </c>
      <c r="B1271" s="30">
        <f>IFERROR(VLOOKUP(A1271, Data!$L$3:$N$123, 3),1)*Pension</f>
        <v>3766664.9645869136</v>
      </c>
      <c r="C1271" s="37">
        <f t="shared" si="247"/>
        <v>105.66461327857631</v>
      </c>
      <c r="D1271" s="37">
        <f>IFERROR(VLOOKUP(A1271,Data!$I$3:$J$1442,2),0)</f>
        <v>7.7522916999999997E-2</v>
      </c>
      <c r="E1271" s="37">
        <f t="shared" si="248"/>
        <v>7.7322916999999991E-2</v>
      </c>
      <c r="F1271" s="37">
        <f t="shared" si="253"/>
        <v>2.8293422088418772E-4</v>
      </c>
      <c r="G1271" s="30">
        <f t="shared" si="254"/>
        <v>1065.7184170871649</v>
      </c>
      <c r="H1271" s="38">
        <f t="shared" si="249"/>
        <v>201</v>
      </c>
      <c r="I1271" s="39">
        <f t="shared" si="250"/>
        <v>201.28952772073922</v>
      </c>
      <c r="J1271" s="40">
        <f t="shared" si="251"/>
        <v>106</v>
      </c>
      <c r="K1271" s="43">
        <f>VLOOKUP(J1271,Data!$Z$3:$AA$122,2)</f>
        <v>0</v>
      </c>
      <c r="L1271" s="41">
        <f t="shared" si="252"/>
        <v>0.28952772073921551</v>
      </c>
      <c r="M1271" s="43">
        <f>VLOOKUP(H1271,Data!$P$3:$X$122,9)</f>
        <v>0</v>
      </c>
      <c r="N1271" s="43">
        <f t="shared" si="255"/>
        <v>0</v>
      </c>
      <c r="O1271" s="43">
        <f t="shared" si="256"/>
        <v>0</v>
      </c>
      <c r="P1271" s="30">
        <f t="shared" si="257"/>
        <v>0</v>
      </c>
      <c r="Q1271" s="31">
        <f t="shared" si="259"/>
        <v>848340.75061972369</v>
      </c>
    </row>
    <row r="1272" spans="1:17" x14ac:dyDescent="0.25">
      <c r="A1272" s="6">
        <f t="shared" si="258"/>
        <v>81906</v>
      </c>
      <c r="B1272" s="30">
        <f>IFERROR(VLOOKUP(A1272, Data!$L$3:$N$123, 3),1)*Pension</f>
        <v>3766664.9645869136</v>
      </c>
      <c r="C1272" s="37">
        <f t="shared" si="247"/>
        <v>105.74948665297741</v>
      </c>
      <c r="D1272" s="37">
        <f>IFERROR(VLOOKUP(A1272,Data!$I$3:$J$1442,2),0)</f>
        <v>7.7516879999999996E-2</v>
      </c>
      <c r="E1272" s="37">
        <f t="shared" si="248"/>
        <v>7.7316879999999991E-2</v>
      </c>
      <c r="F1272" s="37">
        <f t="shared" si="253"/>
        <v>2.812630038481789E-4</v>
      </c>
      <c r="G1272" s="30">
        <f t="shared" si="254"/>
        <v>1059.4235024294098</v>
      </c>
      <c r="H1272" s="38">
        <f t="shared" si="249"/>
        <v>201</v>
      </c>
      <c r="I1272" s="39">
        <f t="shared" si="250"/>
        <v>201.37440109514031</v>
      </c>
      <c r="J1272" s="40">
        <f t="shared" si="251"/>
        <v>106</v>
      </c>
      <c r="K1272" s="43">
        <f>VLOOKUP(J1272,Data!$Z$3:$AA$122,2)</f>
        <v>0</v>
      </c>
      <c r="L1272" s="41">
        <f t="shared" si="252"/>
        <v>0.37440109514031406</v>
      </c>
      <c r="M1272" s="43">
        <f>VLOOKUP(H1272,Data!$P$3:$X$122,9)</f>
        <v>0</v>
      </c>
      <c r="N1272" s="43">
        <f t="shared" si="255"/>
        <v>0</v>
      </c>
      <c r="O1272" s="43">
        <f t="shared" si="256"/>
        <v>0</v>
      </c>
      <c r="P1272" s="30">
        <f t="shared" si="257"/>
        <v>0</v>
      </c>
      <c r="Q1272" s="31">
        <f t="shared" si="259"/>
        <v>848340.75061972369</v>
      </c>
    </row>
    <row r="1273" spans="1:17" x14ac:dyDescent="0.25">
      <c r="A1273" s="6">
        <f t="shared" si="258"/>
        <v>81936</v>
      </c>
      <c r="B1273" s="30">
        <f>IFERROR(VLOOKUP(A1273, Data!$L$3:$N$123, 3),1)*Pension</f>
        <v>3766664.9645869136</v>
      </c>
      <c r="C1273" s="37">
        <f t="shared" si="247"/>
        <v>105.83162217659138</v>
      </c>
      <c r="D1273" s="37">
        <f>IFERROR(VLOOKUP(A1273,Data!$I$3:$J$1442,2),0)</f>
        <v>7.7511046E-2</v>
      </c>
      <c r="E1273" s="37">
        <f t="shared" si="248"/>
        <v>7.7311045999999994E-2</v>
      </c>
      <c r="F1273" s="37">
        <f t="shared" si="253"/>
        <v>2.7965512501006796E-4</v>
      </c>
      <c r="G1273" s="30">
        <f t="shared" si="254"/>
        <v>1053.3671615425965</v>
      </c>
      <c r="H1273" s="38">
        <f t="shared" si="249"/>
        <v>201</v>
      </c>
      <c r="I1273" s="39">
        <f t="shared" si="250"/>
        <v>201.45653661875428</v>
      </c>
      <c r="J1273" s="40">
        <f t="shared" si="251"/>
        <v>106</v>
      </c>
      <c r="K1273" s="43">
        <f>VLOOKUP(J1273,Data!$Z$3:$AA$122,2)</f>
        <v>0</v>
      </c>
      <c r="L1273" s="41">
        <f t="shared" si="252"/>
        <v>0.45653661875428497</v>
      </c>
      <c r="M1273" s="43">
        <f>VLOOKUP(H1273,Data!$P$3:$X$122,9)</f>
        <v>0</v>
      </c>
      <c r="N1273" s="43">
        <f t="shared" si="255"/>
        <v>0</v>
      </c>
      <c r="O1273" s="43">
        <f t="shared" si="256"/>
        <v>0</v>
      </c>
      <c r="P1273" s="30">
        <f t="shared" si="257"/>
        <v>0</v>
      </c>
      <c r="Q1273" s="31">
        <f t="shared" si="259"/>
        <v>848340.75061972369</v>
      </c>
    </row>
    <row r="1274" spans="1:17" x14ac:dyDescent="0.25">
      <c r="A1274" s="6">
        <f t="shared" si="258"/>
        <v>81967</v>
      </c>
      <c r="B1274" s="30">
        <f>IFERROR(VLOOKUP(A1274, Data!$L$3:$N$123, 3),1)*Pension</f>
        <v>3766664.9645869136</v>
      </c>
      <c r="C1274" s="37">
        <f t="shared" si="247"/>
        <v>105.91649555099247</v>
      </c>
      <c r="D1274" s="37">
        <f>IFERROR(VLOOKUP(A1274,Data!$I$3:$J$1442,2),0)</f>
        <v>7.7505027000000004E-2</v>
      </c>
      <c r="E1274" s="37">
        <f t="shared" si="248"/>
        <v>7.7305026999999998E-2</v>
      </c>
      <c r="F1274" s="37">
        <f t="shared" si="253"/>
        <v>2.7800330709621285E-4</v>
      </c>
      <c r="G1274" s="30">
        <f t="shared" si="254"/>
        <v>1047.1453168786015</v>
      </c>
      <c r="H1274" s="38">
        <f t="shared" si="249"/>
        <v>201</v>
      </c>
      <c r="I1274" s="39">
        <f t="shared" si="250"/>
        <v>201.54140999315538</v>
      </c>
      <c r="J1274" s="40">
        <f t="shared" si="251"/>
        <v>106</v>
      </c>
      <c r="K1274" s="43">
        <f>VLOOKUP(J1274,Data!$Z$3:$AA$122,2)</f>
        <v>0</v>
      </c>
      <c r="L1274" s="41">
        <f t="shared" si="252"/>
        <v>0.54140999315538352</v>
      </c>
      <c r="M1274" s="43">
        <f>VLOOKUP(H1274,Data!$P$3:$X$122,9)</f>
        <v>0</v>
      </c>
      <c r="N1274" s="43">
        <f t="shared" si="255"/>
        <v>0</v>
      </c>
      <c r="O1274" s="43">
        <f t="shared" si="256"/>
        <v>0</v>
      </c>
      <c r="P1274" s="30">
        <f t="shared" si="257"/>
        <v>0</v>
      </c>
      <c r="Q1274" s="31">
        <f t="shared" si="259"/>
        <v>848340.75061972369</v>
      </c>
    </row>
    <row r="1275" spans="1:17" x14ac:dyDescent="0.25">
      <c r="A1275" s="6">
        <f t="shared" si="258"/>
        <v>81997</v>
      </c>
      <c r="B1275" s="30">
        <f>IFERROR(VLOOKUP(A1275, Data!$L$3:$N$123, 3),1)*Pension</f>
        <v>3766664.9645869136</v>
      </c>
      <c r="C1275" s="37">
        <f t="shared" si="247"/>
        <v>105.99863107460644</v>
      </c>
      <c r="D1275" s="37">
        <f>IFERROR(VLOOKUP(A1275,Data!$I$3:$J$1442,2),0)</f>
        <v>7.7499211999999998E-2</v>
      </c>
      <c r="E1275" s="37">
        <f t="shared" si="248"/>
        <v>7.7299211999999992E-2</v>
      </c>
      <c r="F1275" s="37">
        <f t="shared" si="253"/>
        <v>2.7641404449646549E-4</v>
      </c>
      <c r="G1275" s="30">
        <f t="shared" si="254"/>
        <v>1041.1590971246046</v>
      </c>
      <c r="H1275" s="38">
        <f t="shared" si="249"/>
        <v>201</v>
      </c>
      <c r="I1275" s="39">
        <f t="shared" si="250"/>
        <v>201.62354551676933</v>
      </c>
      <c r="J1275" s="40">
        <f t="shared" si="251"/>
        <v>106</v>
      </c>
      <c r="K1275" s="43">
        <f>VLOOKUP(J1275,Data!$Z$3:$AA$122,2)</f>
        <v>0</v>
      </c>
      <c r="L1275" s="41">
        <f t="shared" si="252"/>
        <v>0.62354551676932601</v>
      </c>
      <c r="M1275" s="43">
        <f>VLOOKUP(H1275,Data!$P$3:$X$122,9)</f>
        <v>0</v>
      </c>
      <c r="N1275" s="43">
        <f t="shared" si="255"/>
        <v>0</v>
      </c>
      <c r="O1275" s="43">
        <f t="shared" si="256"/>
        <v>0</v>
      </c>
      <c r="P1275" s="30">
        <f t="shared" si="257"/>
        <v>0</v>
      </c>
      <c r="Q1275" s="31">
        <f t="shared" si="259"/>
        <v>848340.75061972369</v>
      </c>
    </row>
    <row r="1276" spans="1:17" x14ac:dyDescent="0.25">
      <c r="A1276" s="6">
        <f t="shared" si="258"/>
        <v>82028</v>
      </c>
      <c r="B1276" s="30">
        <f>IFERROR(VLOOKUP(A1276, Data!$L$3:$N$123, 3),1)*Pension</f>
        <v>3766664.9645869136</v>
      </c>
      <c r="C1276" s="37">
        <f t="shared" si="247"/>
        <v>106.08350444900753</v>
      </c>
      <c r="D1276" s="37">
        <f>IFERROR(VLOOKUP(A1276,Data!$I$3:$J$1442,2),0)</f>
        <v>7.7493212000000006E-2</v>
      </c>
      <c r="E1276" s="37">
        <f t="shared" si="248"/>
        <v>7.7293212E-2</v>
      </c>
      <c r="F1276" s="37">
        <f t="shared" si="253"/>
        <v>2.7478136878931103E-4</v>
      </c>
      <c r="G1276" s="30">
        <f t="shared" si="254"/>
        <v>1035.0093547399338</v>
      </c>
      <c r="H1276" s="38">
        <f t="shared" si="249"/>
        <v>201</v>
      </c>
      <c r="I1276" s="39">
        <f t="shared" si="250"/>
        <v>201.70841889117042</v>
      </c>
      <c r="J1276" s="40">
        <f t="shared" si="251"/>
        <v>106</v>
      </c>
      <c r="K1276" s="43">
        <f>VLOOKUP(J1276,Data!$Z$3:$AA$122,2)</f>
        <v>0</v>
      </c>
      <c r="L1276" s="41">
        <f t="shared" si="252"/>
        <v>0.70841889117042456</v>
      </c>
      <c r="M1276" s="43">
        <f>VLOOKUP(H1276,Data!$P$3:$X$122,9)</f>
        <v>0</v>
      </c>
      <c r="N1276" s="43">
        <f t="shared" si="255"/>
        <v>0</v>
      </c>
      <c r="O1276" s="43">
        <f t="shared" si="256"/>
        <v>0</v>
      </c>
      <c r="P1276" s="30">
        <f t="shared" si="257"/>
        <v>0</v>
      </c>
      <c r="Q1276" s="31">
        <f t="shared" si="259"/>
        <v>848340.75061972369</v>
      </c>
    </row>
    <row r="1277" spans="1:17" x14ac:dyDescent="0.25">
      <c r="A1277" s="6">
        <f t="shared" si="258"/>
        <v>82059</v>
      </c>
      <c r="B1277" s="30">
        <f>IFERROR(VLOOKUP(A1277, Data!$L$3:$N$123, 3),1)*Pension</f>
        <v>3766664.9645869136</v>
      </c>
      <c r="C1277" s="37">
        <f t="shared" si="247"/>
        <v>106.16837782340862</v>
      </c>
      <c r="D1277" s="37">
        <f>IFERROR(VLOOKUP(A1277,Data!$I$3:$J$1442,2),0)</f>
        <v>7.7487221999999994E-2</v>
      </c>
      <c r="E1277" s="37">
        <f t="shared" si="248"/>
        <v>7.7287221999999989E-2</v>
      </c>
      <c r="F1277" s="37">
        <f t="shared" si="253"/>
        <v>2.7315832489342869E-4</v>
      </c>
      <c r="G1277" s="30">
        <f t="shared" si="254"/>
        <v>1028.8958921613273</v>
      </c>
      <c r="H1277" s="38">
        <f t="shared" si="249"/>
        <v>201</v>
      </c>
      <c r="I1277" s="39">
        <f t="shared" si="250"/>
        <v>201.79329226557152</v>
      </c>
      <c r="J1277" s="40">
        <f t="shared" si="251"/>
        <v>106</v>
      </c>
      <c r="K1277" s="43">
        <f>VLOOKUP(J1277,Data!$Z$3:$AA$122,2)</f>
        <v>0</v>
      </c>
      <c r="L1277" s="41">
        <f t="shared" si="252"/>
        <v>0.7932922655715231</v>
      </c>
      <c r="M1277" s="43">
        <f>VLOOKUP(H1277,Data!$P$3:$X$122,9)</f>
        <v>0</v>
      </c>
      <c r="N1277" s="43">
        <f t="shared" si="255"/>
        <v>0</v>
      </c>
      <c r="O1277" s="43">
        <f t="shared" si="256"/>
        <v>0</v>
      </c>
      <c r="P1277" s="30">
        <f t="shared" si="257"/>
        <v>0</v>
      </c>
      <c r="Q1277" s="31">
        <f t="shared" si="259"/>
        <v>848340.75061972369</v>
      </c>
    </row>
    <row r="1278" spans="1:17" x14ac:dyDescent="0.25">
      <c r="A1278" s="6">
        <f t="shared" si="258"/>
        <v>82089</v>
      </c>
      <c r="B1278" s="30">
        <f>IFERROR(VLOOKUP(A1278, Data!$L$3:$N$123, 3),1)*Pension</f>
        <v>3766664.9645869136</v>
      </c>
      <c r="C1278" s="37">
        <f t="shared" si="247"/>
        <v>106.25051334702259</v>
      </c>
      <c r="D1278" s="37">
        <f>IFERROR(VLOOKUP(A1278,Data!$I$3:$J$1442,2),0)</f>
        <v>7.7481434000000002E-2</v>
      </c>
      <c r="E1278" s="37">
        <f t="shared" si="248"/>
        <v>7.7281433999999996E-2</v>
      </c>
      <c r="F1278" s="37">
        <f t="shared" si="253"/>
        <v>2.7159677547141428E-4</v>
      </c>
      <c r="G1278" s="30">
        <f t="shared" si="254"/>
        <v>1023.0140586629545</v>
      </c>
      <c r="H1278" s="38">
        <f t="shared" si="249"/>
        <v>201</v>
      </c>
      <c r="I1278" s="39">
        <f t="shared" si="250"/>
        <v>201.87542778918549</v>
      </c>
      <c r="J1278" s="40">
        <f t="shared" si="251"/>
        <v>106</v>
      </c>
      <c r="K1278" s="43">
        <f>VLOOKUP(J1278,Data!$Z$3:$AA$122,2)</f>
        <v>0</v>
      </c>
      <c r="L1278" s="41">
        <f t="shared" si="252"/>
        <v>0.87542778918549402</v>
      </c>
      <c r="M1278" s="43">
        <f>VLOOKUP(H1278,Data!$P$3:$X$122,9)</f>
        <v>0</v>
      </c>
      <c r="N1278" s="43">
        <f t="shared" si="255"/>
        <v>0</v>
      </c>
      <c r="O1278" s="43">
        <f t="shared" si="256"/>
        <v>0</v>
      </c>
      <c r="P1278" s="30">
        <f t="shared" si="257"/>
        <v>0</v>
      </c>
      <c r="Q1278" s="31">
        <f t="shared" si="259"/>
        <v>848340.75061972369</v>
      </c>
    </row>
    <row r="1279" spans="1:17" x14ac:dyDescent="0.25">
      <c r="A1279" s="6">
        <f t="shared" si="258"/>
        <v>82120</v>
      </c>
      <c r="B1279" s="30">
        <f>IFERROR(VLOOKUP(A1279, Data!$L$3:$N$123, 3),1)*Pension</f>
        <v>3766664.9645869136</v>
      </c>
      <c r="C1279" s="37">
        <f t="shared" si="247"/>
        <v>106.33538672142369</v>
      </c>
      <c r="D1279" s="37">
        <f>IFERROR(VLOOKUP(A1279,Data!$I$3:$J$1442,2),0)</f>
        <v>7.7475462999999994E-2</v>
      </c>
      <c r="E1279" s="37">
        <f t="shared" si="248"/>
        <v>7.7275462999999989E-2</v>
      </c>
      <c r="F1279" s="37">
        <f t="shared" si="253"/>
        <v>2.6999253643479365E-4</v>
      </c>
      <c r="G1279" s="30">
        <f t="shared" si="254"/>
        <v>1016.971427688893</v>
      </c>
      <c r="H1279" s="38">
        <f t="shared" si="249"/>
        <v>201</v>
      </c>
      <c r="I1279" s="39">
        <f t="shared" si="250"/>
        <v>201.96030116358659</v>
      </c>
      <c r="J1279" s="40">
        <f t="shared" si="251"/>
        <v>106</v>
      </c>
      <c r="K1279" s="43">
        <f>VLOOKUP(J1279,Data!$Z$3:$AA$122,2)</f>
        <v>0</v>
      </c>
      <c r="L1279" s="41">
        <f t="shared" si="252"/>
        <v>0.96030116358659257</v>
      </c>
      <c r="M1279" s="43">
        <f>VLOOKUP(H1279,Data!$P$3:$X$122,9)</f>
        <v>0</v>
      </c>
      <c r="N1279" s="43">
        <f t="shared" si="255"/>
        <v>0</v>
      </c>
      <c r="O1279" s="43">
        <f t="shared" si="256"/>
        <v>0</v>
      </c>
      <c r="P1279" s="30">
        <f t="shared" si="257"/>
        <v>0</v>
      </c>
      <c r="Q1279" s="31">
        <f t="shared" si="259"/>
        <v>848340.75061972369</v>
      </c>
    </row>
    <row r="1280" spans="1:17" x14ac:dyDescent="0.25">
      <c r="A1280" s="6">
        <f t="shared" si="258"/>
        <v>82150</v>
      </c>
      <c r="B1280" s="30">
        <f>IFERROR(VLOOKUP(A1280, Data!$L$3:$N$123, 3),1)*Pension</f>
        <v>3766664.9645869136</v>
      </c>
      <c r="C1280" s="37">
        <f t="shared" si="247"/>
        <v>106.41752224503765</v>
      </c>
      <c r="D1280" s="37">
        <f>IFERROR(VLOOKUP(A1280,Data!$I$3:$J$1442,2),0)</f>
        <v>7.7469694000000006E-2</v>
      </c>
      <c r="E1280" s="37">
        <f t="shared" si="248"/>
        <v>7.7269694E-2</v>
      </c>
      <c r="F1280" s="37">
        <f t="shared" si="253"/>
        <v>2.6844906069064899E-4</v>
      </c>
      <c r="G1280" s="30">
        <f t="shared" si="254"/>
        <v>1011.1576716797335</v>
      </c>
      <c r="H1280" s="38">
        <f t="shared" si="249"/>
        <v>202</v>
      </c>
      <c r="I1280" s="39">
        <f t="shared" si="250"/>
        <v>202.04243668720054</v>
      </c>
      <c r="J1280" s="40">
        <f t="shared" si="251"/>
        <v>107</v>
      </c>
      <c r="K1280" s="43">
        <f>VLOOKUP(J1280,Data!$Z$3:$AA$122,2)</f>
        <v>0</v>
      </c>
      <c r="L1280" s="41">
        <f t="shared" si="252"/>
        <v>4.2436687200535061E-2</v>
      </c>
      <c r="M1280" s="43">
        <f>VLOOKUP(H1280,Data!$P$3:$X$122,9)</f>
        <v>0</v>
      </c>
      <c r="N1280" s="43">
        <f t="shared" si="255"/>
        <v>0</v>
      </c>
      <c r="O1280" s="43">
        <f t="shared" si="256"/>
        <v>0</v>
      </c>
      <c r="P1280" s="30">
        <f t="shared" si="257"/>
        <v>0</v>
      </c>
      <c r="Q1280" s="31">
        <f t="shared" si="259"/>
        <v>848340.75061972369</v>
      </c>
    </row>
    <row r="1281" spans="1:17" x14ac:dyDescent="0.25">
      <c r="A1281" s="6">
        <f t="shared" si="258"/>
        <v>82181</v>
      </c>
      <c r="B1281" s="30">
        <f>IFERROR(VLOOKUP(A1281, Data!$L$3:$N$123, 3),1)*Pension</f>
        <v>3954998.2128162594</v>
      </c>
      <c r="C1281" s="37">
        <f t="shared" si="247"/>
        <v>106.50239561943874</v>
      </c>
      <c r="D1281" s="37">
        <f>IFERROR(VLOOKUP(A1281,Data!$I$3:$J$1442,2),0)</f>
        <v>7.7463741000000003E-2</v>
      </c>
      <c r="E1281" s="37">
        <f t="shared" si="248"/>
        <v>7.7263740999999997E-2</v>
      </c>
      <c r="F1281" s="37">
        <f t="shared" si="253"/>
        <v>2.6686343467846515E-4</v>
      </c>
      <c r="G1281" s="30">
        <f t="shared" si="254"/>
        <v>1055.4444072193382</v>
      </c>
      <c r="H1281" s="38">
        <f t="shared" si="249"/>
        <v>202</v>
      </c>
      <c r="I1281" s="39">
        <f t="shared" si="250"/>
        <v>202.12731006160163</v>
      </c>
      <c r="J1281" s="40">
        <f t="shared" si="251"/>
        <v>107</v>
      </c>
      <c r="K1281" s="43">
        <f>VLOOKUP(J1281,Data!$Z$3:$AA$122,2)</f>
        <v>0</v>
      </c>
      <c r="L1281" s="41">
        <f t="shared" si="252"/>
        <v>0.12731006160163361</v>
      </c>
      <c r="M1281" s="43">
        <f>VLOOKUP(H1281,Data!$P$3:$X$122,9)</f>
        <v>0</v>
      </c>
      <c r="N1281" s="43">
        <f t="shared" si="255"/>
        <v>0</v>
      </c>
      <c r="O1281" s="43">
        <f t="shared" si="256"/>
        <v>0</v>
      </c>
      <c r="P1281" s="30">
        <f t="shared" si="257"/>
        <v>0</v>
      </c>
      <c r="Q1281" s="31">
        <f t="shared" si="259"/>
        <v>848340.75061972369</v>
      </c>
    </row>
    <row r="1282" spans="1:17" x14ac:dyDescent="0.25">
      <c r="A1282" s="6">
        <f t="shared" si="258"/>
        <v>82212</v>
      </c>
      <c r="B1282" s="30">
        <f>IFERROR(VLOOKUP(A1282, Data!$L$3:$N$123, 3),1)*Pension</f>
        <v>3954998.2128162594</v>
      </c>
      <c r="C1282" s="37">
        <f t="shared" si="247"/>
        <v>106.58726899383984</v>
      </c>
      <c r="D1282" s="37">
        <f>IFERROR(VLOOKUP(A1282,Data!$I$3:$J$1442,2),0)</f>
        <v>7.7457797999999994E-2</v>
      </c>
      <c r="E1282" s="37">
        <f t="shared" si="248"/>
        <v>7.7257797999999989E-2</v>
      </c>
      <c r="F1282" s="37">
        <f t="shared" si="253"/>
        <v>2.6528715966415116E-4</v>
      </c>
      <c r="G1282" s="30">
        <f t="shared" si="254"/>
        <v>1049.2102423548195</v>
      </c>
      <c r="H1282" s="38">
        <f t="shared" si="249"/>
        <v>202</v>
      </c>
      <c r="I1282" s="39">
        <f t="shared" si="250"/>
        <v>202.21218343600273</v>
      </c>
      <c r="J1282" s="40">
        <f t="shared" si="251"/>
        <v>107</v>
      </c>
      <c r="K1282" s="43">
        <f>VLOOKUP(J1282,Data!$Z$3:$AA$122,2)</f>
        <v>0</v>
      </c>
      <c r="L1282" s="41">
        <f t="shared" si="252"/>
        <v>0.21218343600273215</v>
      </c>
      <c r="M1282" s="43">
        <f>VLOOKUP(H1282,Data!$P$3:$X$122,9)</f>
        <v>0</v>
      </c>
      <c r="N1282" s="43">
        <f t="shared" si="255"/>
        <v>0</v>
      </c>
      <c r="O1282" s="43">
        <f t="shared" si="256"/>
        <v>0</v>
      </c>
      <c r="P1282" s="30">
        <f t="shared" si="257"/>
        <v>0</v>
      </c>
      <c r="Q1282" s="31">
        <f t="shared" si="259"/>
        <v>848340.75061972369</v>
      </c>
    </row>
    <row r="1283" spans="1:17" x14ac:dyDescent="0.25">
      <c r="A1283" s="6">
        <f t="shared" si="258"/>
        <v>82240</v>
      </c>
      <c r="B1283" s="30">
        <f>IFERROR(VLOOKUP(A1283, Data!$L$3:$N$123, 3),1)*Pension</f>
        <v>3954998.2128162594</v>
      </c>
      <c r="C1283" s="37">
        <f t="shared" ref="C1283:C1346" si="260">(A1283-EffDate)/365.25</f>
        <v>106.66392881587953</v>
      </c>
      <c r="D1283" s="37">
        <f>IFERROR(VLOOKUP(A1283,Data!$I$3:$J$1442,2),0)</f>
        <v>7.7452437999999998E-2</v>
      </c>
      <c r="E1283" s="37">
        <f t="shared" ref="E1283:E1346" si="261">D1283-Fees</f>
        <v>7.7252437999999993E-2</v>
      </c>
      <c r="F1283" s="37">
        <f t="shared" si="253"/>
        <v>2.6387143879622667E-4</v>
      </c>
      <c r="G1283" s="30">
        <f t="shared" si="254"/>
        <v>1043.6110688523315</v>
      </c>
      <c r="H1283" s="38">
        <f t="shared" ref="H1283:H1346" si="262">IF(OR(A1283 = DATE(YEAR(A1283), MONTH(Date_of_Birth), DAY(Date_of_Birth)),AND(A1283 = DATE(YEAR(A1283), MONTH(Date_of_Birth), DAY(Date_of_Birth)-1), AND(MONTH(Date_of_Birth)=2, DAY(Date_of_Birth) = 29))), ROUND((A1283-Date_of_Birth)/365.25,0),ROUNDDOWN((A1283-Date_of_Birth)/365.25,0))</f>
        <v>202</v>
      </c>
      <c r="I1283" s="39">
        <f t="shared" ref="I1283:I1346" si="263">IF(OR(A1283 = DATE(YEAR(A1283), MONTH(Date_of_Birth), DAY(Date_of_Birth)),AND(A1283 = DATE(YEAR(A1283), MONTH(Date_of_Birth), DAY(Date_of_Birth)-1), AND(MONTH(Date_of_Birth)=2, DAY(Date_of_Birth) = 29))), ROUND((A1283-Date_of_Birth)/365.25,0),(A1283-Date_of_Birth)/365.25)</f>
        <v>202.28884325804245</v>
      </c>
      <c r="J1283" s="40">
        <f t="shared" ref="J1283:J1346" si="264">H1283-StartAge</f>
        <v>107</v>
      </c>
      <c r="K1283" s="43">
        <f>VLOOKUP(J1283,Data!$Z$3:$AA$122,2)</f>
        <v>0</v>
      </c>
      <c r="L1283" s="41">
        <f t="shared" ref="L1283:L1346" si="265">IF(A1283&lt;=NextBirth,(A1283-EffDate)/365.25,(I1283-H1283))</f>
        <v>0.28884325804244781</v>
      </c>
      <c r="M1283" s="43">
        <f>VLOOKUP(H1283,Data!$P$3:$X$122,9)</f>
        <v>0</v>
      </c>
      <c r="N1283" s="43">
        <f t="shared" si="255"/>
        <v>0</v>
      </c>
      <c r="O1283" s="43">
        <f t="shared" si="256"/>
        <v>0</v>
      </c>
      <c r="P1283" s="30">
        <f t="shared" si="257"/>
        <v>0</v>
      </c>
      <c r="Q1283" s="31">
        <f t="shared" si="259"/>
        <v>848340.75061972369</v>
      </c>
    </row>
    <row r="1284" spans="1:17" x14ac:dyDescent="0.25">
      <c r="A1284" s="6">
        <f t="shared" si="258"/>
        <v>82271</v>
      </c>
      <c r="B1284" s="30">
        <f>IFERROR(VLOOKUP(A1284, Data!$L$3:$N$123, 3),1)*Pension</f>
        <v>3954998.2128162594</v>
      </c>
      <c r="C1284" s="37">
        <f t="shared" si="260"/>
        <v>106.74880219028063</v>
      </c>
      <c r="D1284" s="37">
        <f>IFERROR(VLOOKUP(A1284,Data!$I$3:$J$1442,2),0)</f>
        <v>7.7446512999999995E-2</v>
      </c>
      <c r="E1284" s="37">
        <f t="shared" si="261"/>
        <v>7.7246512999999989E-2</v>
      </c>
      <c r="F1284" s="37">
        <f t="shared" ref="F1284:F1347" si="266">EXP(-E1284*C1284)</f>
        <v>2.6231283595551348E-4</v>
      </c>
      <c r="G1284" s="30">
        <f t="shared" ref="G1284:G1347" si="267">B1284*F1284</f>
        <v>1037.4467974028205</v>
      </c>
      <c r="H1284" s="38">
        <f t="shared" si="262"/>
        <v>202</v>
      </c>
      <c r="I1284" s="39">
        <f t="shared" si="263"/>
        <v>202.37371663244352</v>
      </c>
      <c r="J1284" s="40">
        <f t="shared" si="264"/>
        <v>107</v>
      </c>
      <c r="K1284" s="43">
        <f>VLOOKUP(J1284,Data!$Z$3:$AA$122,2)</f>
        <v>0</v>
      </c>
      <c r="L1284" s="41">
        <f t="shared" si="265"/>
        <v>0.37371663244351794</v>
      </c>
      <c r="M1284" s="43">
        <f>VLOOKUP(H1284,Data!$P$3:$X$122,9)</f>
        <v>0</v>
      </c>
      <c r="N1284" s="43">
        <f t="shared" ref="N1284:N1347" si="268">IF(M1284=0, 0, EXP(-L1284*M1284))</f>
        <v>0</v>
      </c>
      <c r="O1284" s="43">
        <f t="shared" ref="O1284:O1347" si="269">K1284*N1284</f>
        <v>0</v>
      </c>
      <c r="P1284" s="30">
        <f t="shared" ref="P1284:P1347" si="270">G1284*O1284</f>
        <v>0</v>
      </c>
      <c r="Q1284" s="31">
        <f t="shared" si="259"/>
        <v>848340.75061972369</v>
      </c>
    </row>
    <row r="1285" spans="1:17" x14ac:dyDescent="0.25">
      <c r="A1285" s="6">
        <f t="shared" ref="A1285:A1348" si="271">EOMONTH(A1284,1)</f>
        <v>82301</v>
      </c>
      <c r="B1285" s="30">
        <f>IFERROR(VLOOKUP(A1285, Data!$L$3:$N$123, 3),1)*Pension</f>
        <v>3954998.2128162594</v>
      </c>
      <c r="C1285" s="37">
        <f t="shared" si="260"/>
        <v>106.8309377138946</v>
      </c>
      <c r="D1285" s="37">
        <f>IFERROR(VLOOKUP(A1285,Data!$I$3:$J$1442,2),0)</f>
        <v>7.7440787999999997E-2</v>
      </c>
      <c r="E1285" s="37">
        <f t="shared" si="261"/>
        <v>7.7240787999999991E-2</v>
      </c>
      <c r="F1285" s="37">
        <f t="shared" si="266"/>
        <v>2.6081327925997711E-4</v>
      </c>
      <c r="G1285" s="30">
        <f t="shared" si="267"/>
        <v>1031.5160533519575</v>
      </c>
      <c r="H1285" s="38">
        <f t="shared" si="262"/>
        <v>202</v>
      </c>
      <c r="I1285" s="39">
        <f t="shared" si="263"/>
        <v>202.45585215605749</v>
      </c>
      <c r="J1285" s="40">
        <f t="shared" si="264"/>
        <v>107</v>
      </c>
      <c r="K1285" s="43">
        <f>VLOOKUP(J1285,Data!$Z$3:$AA$122,2)</f>
        <v>0</v>
      </c>
      <c r="L1285" s="41">
        <f t="shared" si="265"/>
        <v>0.45585215605748886</v>
      </c>
      <c r="M1285" s="43">
        <f>VLOOKUP(H1285,Data!$P$3:$X$122,9)</f>
        <v>0</v>
      </c>
      <c r="N1285" s="43">
        <f t="shared" si="268"/>
        <v>0</v>
      </c>
      <c r="O1285" s="43">
        <f t="shared" si="269"/>
        <v>0</v>
      </c>
      <c r="P1285" s="30">
        <f t="shared" si="270"/>
        <v>0</v>
      </c>
      <c r="Q1285" s="31">
        <f t="shared" ref="Q1285:Q1348" si="272">Q1284+P1285</f>
        <v>848340.75061972369</v>
      </c>
    </row>
    <row r="1286" spans="1:17" x14ac:dyDescent="0.25">
      <c r="A1286" s="6">
        <f t="shared" si="271"/>
        <v>82332</v>
      </c>
      <c r="B1286" s="30">
        <f>IFERROR(VLOOKUP(A1286, Data!$L$3:$N$123, 3),1)*Pension</f>
        <v>3954998.2128162594</v>
      </c>
      <c r="C1286" s="37">
        <f t="shared" si="260"/>
        <v>106.91581108829568</v>
      </c>
      <c r="D1286" s="37">
        <f>IFERROR(VLOOKUP(A1286,Data!$I$3:$J$1442,2),0)</f>
        <v>7.7434880999999997E-2</v>
      </c>
      <c r="E1286" s="37">
        <f t="shared" si="261"/>
        <v>7.7234880999999991E-2</v>
      </c>
      <c r="F1286" s="37">
        <f t="shared" si="266"/>
        <v>2.5927275392738104E-4</v>
      </c>
      <c r="G1286" s="30">
        <f t="shared" si="267"/>
        <v>1025.4232784147418</v>
      </c>
      <c r="H1286" s="38">
        <f t="shared" si="262"/>
        <v>202</v>
      </c>
      <c r="I1286" s="39">
        <f t="shared" si="263"/>
        <v>202.54072553045859</v>
      </c>
      <c r="J1286" s="40">
        <f t="shared" si="264"/>
        <v>107</v>
      </c>
      <c r="K1286" s="43">
        <f>VLOOKUP(J1286,Data!$Z$3:$AA$122,2)</f>
        <v>0</v>
      </c>
      <c r="L1286" s="41">
        <f t="shared" si="265"/>
        <v>0.5407255304585874</v>
      </c>
      <c r="M1286" s="43">
        <f>VLOOKUP(H1286,Data!$P$3:$X$122,9)</f>
        <v>0</v>
      </c>
      <c r="N1286" s="43">
        <f t="shared" si="268"/>
        <v>0</v>
      </c>
      <c r="O1286" s="43">
        <f t="shared" si="269"/>
        <v>0</v>
      </c>
      <c r="P1286" s="30">
        <f t="shared" si="270"/>
        <v>0</v>
      </c>
      <c r="Q1286" s="31">
        <f t="shared" si="272"/>
        <v>848340.75061972369</v>
      </c>
    </row>
    <row r="1287" spans="1:17" x14ac:dyDescent="0.25">
      <c r="A1287" s="6">
        <f t="shared" si="271"/>
        <v>82362</v>
      </c>
      <c r="B1287" s="30">
        <f>IFERROR(VLOOKUP(A1287, Data!$L$3:$N$123, 3),1)*Pension</f>
        <v>3954998.2128162594</v>
      </c>
      <c r="C1287" s="37">
        <f t="shared" si="260"/>
        <v>106.99794661190965</v>
      </c>
      <c r="D1287" s="37">
        <f>IFERROR(VLOOKUP(A1287,Data!$I$3:$J$1442,2),0)</f>
        <v>7.7429174000000003E-2</v>
      </c>
      <c r="E1287" s="37">
        <f t="shared" si="261"/>
        <v>7.7229173999999998E-2</v>
      </c>
      <c r="F1287" s="37">
        <f t="shared" si="266"/>
        <v>2.5779057266491921E-4</v>
      </c>
      <c r="G1287" s="30">
        <f t="shared" si="267"/>
        <v>1019.5612541706355</v>
      </c>
      <c r="H1287" s="38">
        <f t="shared" si="262"/>
        <v>202</v>
      </c>
      <c r="I1287" s="39">
        <f t="shared" si="263"/>
        <v>202.62286105407256</v>
      </c>
      <c r="J1287" s="40">
        <f t="shared" si="264"/>
        <v>107</v>
      </c>
      <c r="K1287" s="43">
        <f>VLOOKUP(J1287,Data!$Z$3:$AA$122,2)</f>
        <v>0</v>
      </c>
      <c r="L1287" s="41">
        <f t="shared" si="265"/>
        <v>0.62286105407255832</v>
      </c>
      <c r="M1287" s="43">
        <f>VLOOKUP(H1287,Data!$P$3:$X$122,9)</f>
        <v>0</v>
      </c>
      <c r="N1287" s="43">
        <f t="shared" si="268"/>
        <v>0</v>
      </c>
      <c r="O1287" s="43">
        <f t="shared" si="269"/>
        <v>0</v>
      </c>
      <c r="P1287" s="30">
        <f t="shared" si="270"/>
        <v>0</v>
      </c>
      <c r="Q1287" s="31">
        <f t="shared" si="272"/>
        <v>848340.75061972369</v>
      </c>
    </row>
    <row r="1288" spans="1:17" x14ac:dyDescent="0.25">
      <c r="A1288" s="6">
        <f t="shared" si="271"/>
        <v>82393</v>
      </c>
      <c r="B1288" s="30">
        <f>IFERROR(VLOOKUP(A1288, Data!$L$3:$N$123, 3),1)*Pension</f>
        <v>3954998.2128162594</v>
      </c>
      <c r="C1288" s="37">
        <f t="shared" si="260"/>
        <v>107.08281998631075</v>
      </c>
      <c r="D1288" s="37">
        <f>IFERROR(VLOOKUP(A1288,Data!$I$3:$J$1442,2),0)</f>
        <v>7.7423285999999994E-2</v>
      </c>
      <c r="E1288" s="37">
        <f t="shared" si="261"/>
        <v>7.7223285999999988E-2</v>
      </c>
      <c r="F1288" s="37">
        <f t="shared" si="266"/>
        <v>2.5626788534234346E-4</v>
      </c>
      <c r="G1288" s="30">
        <f t="shared" si="267"/>
        <v>1013.5390285311704</v>
      </c>
      <c r="H1288" s="38">
        <f t="shared" si="262"/>
        <v>202</v>
      </c>
      <c r="I1288" s="39">
        <f t="shared" si="263"/>
        <v>202.70773442847366</v>
      </c>
      <c r="J1288" s="40">
        <f t="shared" si="264"/>
        <v>107</v>
      </c>
      <c r="K1288" s="43">
        <f>VLOOKUP(J1288,Data!$Z$3:$AA$122,2)</f>
        <v>0</v>
      </c>
      <c r="L1288" s="41">
        <f t="shared" si="265"/>
        <v>0.70773442847365686</v>
      </c>
      <c r="M1288" s="43">
        <f>VLOOKUP(H1288,Data!$P$3:$X$122,9)</f>
        <v>0</v>
      </c>
      <c r="N1288" s="43">
        <f t="shared" si="268"/>
        <v>0</v>
      </c>
      <c r="O1288" s="43">
        <f t="shared" si="269"/>
        <v>0</v>
      </c>
      <c r="P1288" s="30">
        <f t="shared" si="270"/>
        <v>0</v>
      </c>
      <c r="Q1288" s="31">
        <f t="shared" si="272"/>
        <v>848340.75061972369</v>
      </c>
    </row>
    <row r="1289" spans="1:17" x14ac:dyDescent="0.25">
      <c r="A1289" s="6">
        <f t="shared" si="271"/>
        <v>82424</v>
      </c>
      <c r="B1289" s="30">
        <f>IFERROR(VLOOKUP(A1289, Data!$L$3:$N$123, 3),1)*Pension</f>
        <v>3954998.2128162594</v>
      </c>
      <c r="C1289" s="37">
        <f t="shared" si="260"/>
        <v>107.16769336071184</v>
      </c>
      <c r="D1289" s="37">
        <f>IFERROR(VLOOKUP(A1289,Data!$I$3:$J$1442,2),0)</f>
        <v>7.7417406999999994E-2</v>
      </c>
      <c r="E1289" s="37">
        <f t="shared" si="261"/>
        <v>7.7217406999999988E-2</v>
      </c>
      <c r="F1289" s="37">
        <f t="shared" si="266"/>
        <v>2.547542009579637E-4</v>
      </c>
      <c r="G1289" s="30">
        <f t="shared" si="267"/>
        <v>1007.5524094961806</v>
      </c>
      <c r="H1289" s="38">
        <f t="shared" si="262"/>
        <v>202</v>
      </c>
      <c r="I1289" s="39">
        <f t="shared" si="263"/>
        <v>202.79260780287476</v>
      </c>
      <c r="J1289" s="40">
        <f t="shared" si="264"/>
        <v>107</v>
      </c>
      <c r="K1289" s="43">
        <f>VLOOKUP(J1289,Data!$Z$3:$AA$122,2)</f>
        <v>0</v>
      </c>
      <c r="L1289" s="41">
        <f t="shared" si="265"/>
        <v>0.79260780287475541</v>
      </c>
      <c r="M1289" s="43">
        <f>VLOOKUP(H1289,Data!$P$3:$X$122,9)</f>
        <v>0</v>
      </c>
      <c r="N1289" s="43">
        <f t="shared" si="268"/>
        <v>0</v>
      </c>
      <c r="O1289" s="43">
        <f t="shared" si="269"/>
        <v>0</v>
      </c>
      <c r="P1289" s="30">
        <f t="shared" si="270"/>
        <v>0</v>
      </c>
      <c r="Q1289" s="31">
        <f t="shared" si="272"/>
        <v>848340.75061972369</v>
      </c>
    </row>
    <row r="1290" spans="1:17" x14ac:dyDescent="0.25">
      <c r="A1290" s="6">
        <f t="shared" si="271"/>
        <v>82454</v>
      </c>
      <c r="B1290" s="30">
        <f>IFERROR(VLOOKUP(A1290, Data!$L$3:$N$123, 3),1)*Pension</f>
        <v>3954998.2128162594</v>
      </c>
      <c r="C1290" s="37">
        <f t="shared" si="260"/>
        <v>107.24982888432581</v>
      </c>
      <c r="D1290" s="37">
        <f>IFERROR(VLOOKUP(A1290,Data!$I$3:$J$1442,2),0)</f>
        <v>7.7411727E-2</v>
      </c>
      <c r="E1290" s="37">
        <f t="shared" si="261"/>
        <v>7.7211726999999994E-2</v>
      </c>
      <c r="F1290" s="37">
        <f t="shared" si="266"/>
        <v>2.5329784501974177E-4</v>
      </c>
      <c r="G1290" s="30">
        <f t="shared" si="267"/>
        <v>1001.7925243632885</v>
      </c>
      <c r="H1290" s="38">
        <f t="shared" si="262"/>
        <v>202</v>
      </c>
      <c r="I1290" s="39">
        <f t="shared" si="263"/>
        <v>202.8747433264887</v>
      </c>
      <c r="J1290" s="40">
        <f t="shared" si="264"/>
        <v>107</v>
      </c>
      <c r="K1290" s="43">
        <f>VLOOKUP(J1290,Data!$Z$3:$AA$122,2)</f>
        <v>0</v>
      </c>
      <c r="L1290" s="41">
        <f t="shared" si="265"/>
        <v>0.8747433264886979</v>
      </c>
      <c r="M1290" s="43">
        <f>VLOOKUP(H1290,Data!$P$3:$X$122,9)</f>
        <v>0</v>
      </c>
      <c r="N1290" s="43">
        <f t="shared" si="268"/>
        <v>0</v>
      </c>
      <c r="O1290" s="43">
        <f t="shared" si="269"/>
        <v>0</v>
      </c>
      <c r="P1290" s="30">
        <f t="shared" si="270"/>
        <v>0</v>
      </c>
      <c r="Q1290" s="31">
        <f t="shared" si="272"/>
        <v>848340.75061972369</v>
      </c>
    </row>
    <row r="1291" spans="1:17" x14ac:dyDescent="0.25">
      <c r="A1291" s="6">
        <f t="shared" si="271"/>
        <v>82485</v>
      </c>
      <c r="B1291" s="30">
        <f>IFERROR(VLOOKUP(A1291, Data!$L$3:$N$123, 3),1)*Pension</f>
        <v>3954998.2128162594</v>
      </c>
      <c r="C1291" s="37">
        <f t="shared" si="260"/>
        <v>107.33470225872689</v>
      </c>
      <c r="D1291" s="37">
        <f>IFERROR(VLOOKUP(A1291,Data!$I$3:$J$1442,2),0)</f>
        <v>7.7405866000000004E-2</v>
      </c>
      <c r="E1291" s="37">
        <f t="shared" si="261"/>
        <v>7.7205865999999998E-2</v>
      </c>
      <c r="F1291" s="37">
        <f t="shared" si="266"/>
        <v>2.5180171139394187E-4</v>
      </c>
      <c r="G1291" s="30">
        <f t="shared" si="267"/>
        <v>995.87531854711563</v>
      </c>
      <c r="H1291" s="38">
        <f t="shared" si="262"/>
        <v>202</v>
      </c>
      <c r="I1291" s="39">
        <f t="shared" si="263"/>
        <v>202.9596167008898</v>
      </c>
      <c r="J1291" s="40">
        <f t="shared" si="264"/>
        <v>107</v>
      </c>
      <c r="K1291" s="43">
        <f>VLOOKUP(J1291,Data!$Z$3:$AA$122,2)</f>
        <v>0</v>
      </c>
      <c r="L1291" s="41">
        <f t="shared" si="265"/>
        <v>0.95961670088979645</v>
      </c>
      <c r="M1291" s="43">
        <f>VLOOKUP(H1291,Data!$P$3:$X$122,9)</f>
        <v>0</v>
      </c>
      <c r="N1291" s="43">
        <f t="shared" si="268"/>
        <v>0</v>
      </c>
      <c r="O1291" s="43">
        <f t="shared" si="269"/>
        <v>0</v>
      </c>
      <c r="P1291" s="30">
        <f t="shared" si="270"/>
        <v>0</v>
      </c>
      <c r="Q1291" s="31">
        <f t="shared" si="272"/>
        <v>848340.75061972369</v>
      </c>
    </row>
    <row r="1292" spans="1:17" x14ac:dyDescent="0.25">
      <c r="A1292" s="6">
        <f t="shared" si="271"/>
        <v>82515</v>
      </c>
      <c r="B1292" s="30">
        <f>IFERROR(VLOOKUP(A1292, Data!$L$3:$N$123, 3),1)*Pension</f>
        <v>3954998.2128162594</v>
      </c>
      <c r="C1292" s="37">
        <f t="shared" si="260"/>
        <v>107.41683778234086</v>
      </c>
      <c r="D1292" s="37">
        <f>IFERROR(VLOOKUP(A1292,Data!$I$3:$J$1442,2),0)</f>
        <v>7.7400204E-2</v>
      </c>
      <c r="E1292" s="37">
        <f t="shared" si="261"/>
        <v>7.7200203999999994E-2</v>
      </c>
      <c r="F1292" s="37">
        <f t="shared" si="266"/>
        <v>2.5036222472790985E-4</v>
      </c>
      <c r="G1292" s="30">
        <f t="shared" si="267"/>
        <v>990.18215135558614</v>
      </c>
      <c r="H1292" s="38">
        <f t="shared" si="262"/>
        <v>203</v>
      </c>
      <c r="I1292" s="39">
        <f t="shared" si="263"/>
        <v>203.04175222450377</v>
      </c>
      <c r="J1292" s="40">
        <f t="shared" si="264"/>
        <v>108</v>
      </c>
      <c r="K1292" s="43">
        <f>VLOOKUP(J1292,Data!$Z$3:$AA$122,2)</f>
        <v>0</v>
      </c>
      <c r="L1292" s="41">
        <f t="shared" si="265"/>
        <v>4.1752224503767366E-2</v>
      </c>
      <c r="M1292" s="43">
        <f>VLOOKUP(H1292,Data!$P$3:$X$122,9)</f>
        <v>0</v>
      </c>
      <c r="N1292" s="43">
        <f t="shared" si="268"/>
        <v>0</v>
      </c>
      <c r="O1292" s="43">
        <f t="shared" si="269"/>
        <v>0</v>
      </c>
      <c r="P1292" s="30">
        <f t="shared" si="270"/>
        <v>0</v>
      </c>
      <c r="Q1292" s="31">
        <f t="shared" si="272"/>
        <v>848340.75061972369</v>
      </c>
    </row>
    <row r="1293" spans="1:17" x14ac:dyDescent="0.25">
      <c r="A1293" s="6">
        <f t="shared" si="271"/>
        <v>82546</v>
      </c>
      <c r="B1293" s="30">
        <f>IFERROR(VLOOKUP(A1293, Data!$L$3:$N$123, 3),1)*Pension</f>
        <v>4152748.1234570718</v>
      </c>
      <c r="C1293" s="37">
        <f t="shared" si="260"/>
        <v>107.50171115674196</v>
      </c>
      <c r="D1293" s="37">
        <f>IFERROR(VLOOKUP(A1293,Data!$I$3:$J$1442,2),0)</f>
        <v>7.7394360999999995E-2</v>
      </c>
      <c r="E1293" s="37">
        <f t="shared" si="261"/>
        <v>7.7194360999999989E-2</v>
      </c>
      <c r="F1293" s="37">
        <f t="shared" si="266"/>
        <v>2.4888343611665623E-4</v>
      </c>
      <c r="G1293" s="30">
        <f t="shared" si="267"/>
        <v>1033.5502222929922</v>
      </c>
      <c r="H1293" s="38">
        <f t="shared" si="262"/>
        <v>203</v>
      </c>
      <c r="I1293" s="39">
        <f t="shared" si="263"/>
        <v>203.12662559890487</v>
      </c>
      <c r="J1293" s="40">
        <f t="shared" si="264"/>
        <v>108</v>
      </c>
      <c r="K1293" s="43">
        <f>VLOOKUP(J1293,Data!$Z$3:$AA$122,2)</f>
        <v>0</v>
      </c>
      <c r="L1293" s="41">
        <f t="shared" si="265"/>
        <v>0.12662559890486591</v>
      </c>
      <c r="M1293" s="43">
        <f>VLOOKUP(H1293,Data!$P$3:$X$122,9)</f>
        <v>0</v>
      </c>
      <c r="N1293" s="43">
        <f t="shared" si="268"/>
        <v>0</v>
      </c>
      <c r="O1293" s="43">
        <f t="shared" si="269"/>
        <v>0</v>
      </c>
      <c r="P1293" s="30">
        <f t="shared" si="270"/>
        <v>0</v>
      </c>
      <c r="Q1293" s="31">
        <f t="shared" si="272"/>
        <v>848340.75061972369</v>
      </c>
    </row>
    <row r="1294" spans="1:17" x14ac:dyDescent="0.25">
      <c r="A1294" s="6">
        <f t="shared" si="271"/>
        <v>82577</v>
      </c>
      <c r="B1294" s="30">
        <f>IFERROR(VLOOKUP(A1294, Data!$L$3:$N$123, 3),1)*Pension</f>
        <v>4152748.1234570718</v>
      </c>
      <c r="C1294" s="37">
        <f t="shared" si="260"/>
        <v>107.58658453114305</v>
      </c>
      <c r="D1294" s="37">
        <f>IFERROR(VLOOKUP(A1294,Data!$I$3:$J$1442,2),0)</f>
        <v>7.7388527999999998E-2</v>
      </c>
      <c r="E1294" s="37">
        <f t="shared" si="261"/>
        <v>7.7188527999999992E-2</v>
      </c>
      <c r="F1294" s="37">
        <f t="shared" si="266"/>
        <v>2.4741336132133709E-4</v>
      </c>
      <c r="G1294" s="30">
        <f t="shared" si="267"/>
        <v>1027.4453719453891</v>
      </c>
      <c r="H1294" s="38">
        <f t="shared" si="262"/>
        <v>203</v>
      </c>
      <c r="I1294" s="39">
        <f t="shared" si="263"/>
        <v>203.21149897330596</v>
      </c>
      <c r="J1294" s="40">
        <f t="shared" si="264"/>
        <v>108</v>
      </c>
      <c r="K1294" s="43">
        <f>VLOOKUP(J1294,Data!$Z$3:$AA$122,2)</f>
        <v>0</v>
      </c>
      <c r="L1294" s="41">
        <f t="shared" si="265"/>
        <v>0.21149897330596445</v>
      </c>
      <c r="M1294" s="43">
        <f>VLOOKUP(H1294,Data!$P$3:$X$122,9)</f>
        <v>0</v>
      </c>
      <c r="N1294" s="43">
        <f t="shared" si="268"/>
        <v>0</v>
      </c>
      <c r="O1294" s="43">
        <f t="shared" si="269"/>
        <v>0</v>
      </c>
      <c r="P1294" s="30">
        <f t="shared" si="270"/>
        <v>0</v>
      </c>
      <c r="Q1294" s="31">
        <f t="shared" si="272"/>
        <v>848340.75061972369</v>
      </c>
    </row>
    <row r="1295" spans="1:17" x14ac:dyDescent="0.25">
      <c r="A1295" s="6">
        <f t="shared" si="271"/>
        <v>82605</v>
      </c>
      <c r="B1295" s="30">
        <f>IFERROR(VLOOKUP(A1295, Data!$L$3:$N$123, 3),1)*Pension</f>
        <v>4152748.1234570718</v>
      </c>
      <c r="C1295" s="37">
        <f t="shared" si="260"/>
        <v>107.66324435318275</v>
      </c>
      <c r="D1295" s="37">
        <f>IFERROR(VLOOKUP(A1295,Data!$I$3:$J$1442,2),0)</f>
        <v>7.7383267000000006E-2</v>
      </c>
      <c r="E1295" s="37">
        <f t="shared" si="261"/>
        <v>7.7183267E-2</v>
      </c>
      <c r="F1295" s="37">
        <f t="shared" si="266"/>
        <v>2.4609302699539747E-4</v>
      </c>
      <c r="G1295" s="30">
        <f t="shared" si="267"/>
        <v>1021.9623560510074</v>
      </c>
      <c r="H1295" s="38">
        <f t="shared" si="262"/>
        <v>203</v>
      </c>
      <c r="I1295" s="39">
        <f t="shared" si="263"/>
        <v>203.28815879534565</v>
      </c>
      <c r="J1295" s="40">
        <f t="shared" si="264"/>
        <v>108</v>
      </c>
      <c r="K1295" s="43">
        <f>VLOOKUP(J1295,Data!$Z$3:$AA$122,2)</f>
        <v>0</v>
      </c>
      <c r="L1295" s="41">
        <f t="shared" si="265"/>
        <v>0.2881587953456517</v>
      </c>
      <c r="M1295" s="43">
        <f>VLOOKUP(H1295,Data!$P$3:$X$122,9)</f>
        <v>0</v>
      </c>
      <c r="N1295" s="43">
        <f t="shared" si="268"/>
        <v>0</v>
      </c>
      <c r="O1295" s="43">
        <f t="shared" si="269"/>
        <v>0</v>
      </c>
      <c r="P1295" s="30">
        <f t="shared" si="270"/>
        <v>0</v>
      </c>
      <c r="Q1295" s="31">
        <f t="shared" si="272"/>
        <v>848340.75061972369</v>
      </c>
    </row>
    <row r="1296" spans="1:17" x14ac:dyDescent="0.25">
      <c r="A1296" s="6">
        <f t="shared" si="271"/>
        <v>82636</v>
      </c>
      <c r="B1296" s="30">
        <f>IFERROR(VLOOKUP(A1296, Data!$L$3:$N$123, 3),1)*Pension</f>
        <v>4152748.1234570718</v>
      </c>
      <c r="C1296" s="37">
        <f t="shared" si="260"/>
        <v>107.74811772758385</v>
      </c>
      <c r="D1296" s="37">
        <f>IFERROR(VLOOKUP(A1296,Data!$I$3:$J$1442,2),0)</f>
        <v>7.7377451999999999E-2</v>
      </c>
      <c r="E1296" s="37">
        <f t="shared" si="261"/>
        <v>7.7177451999999994E-2</v>
      </c>
      <c r="F1296" s="37">
        <f t="shared" si="266"/>
        <v>2.4463942063752779E-4</v>
      </c>
      <c r="G1296" s="30">
        <f t="shared" si="267"/>
        <v>1015.9258949761188</v>
      </c>
      <c r="H1296" s="38">
        <f t="shared" si="262"/>
        <v>203</v>
      </c>
      <c r="I1296" s="39">
        <f t="shared" si="263"/>
        <v>203.37303216974675</v>
      </c>
      <c r="J1296" s="40">
        <f t="shared" si="264"/>
        <v>108</v>
      </c>
      <c r="K1296" s="43">
        <f>VLOOKUP(J1296,Data!$Z$3:$AA$122,2)</f>
        <v>0</v>
      </c>
      <c r="L1296" s="41">
        <f t="shared" si="265"/>
        <v>0.37303216974675024</v>
      </c>
      <c r="M1296" s="43">
        <f>VLOOKUP(H1296,Data!$P$3:$X$122,9)</f>
        <v>0</v>
      </c>
      <c r="N1296" s="43">
        <f t="shared" si="268"/>
        <v>0</v>
      </c>
      <c r="O1296" s="43">
        <f t="shared" si="269"/>
        <v>0</v>
      </c>
      <c r="P1296" s="30">
        <f t="shared" si="270"/>
        <v>0</v>
      </c>
      <c r="Q1296" s="31">
        <f t="shared" si="272"/>
        <v>848340.75061972369</v>
      </c>
    </row>
    <row r="1297" spans="1:17" x14ac:dyDescent="0.25">
      <c r="A1297" s="6">
        <f t="shared" si="271"/>
        <v>82666</v>
      </c>
      <c r="B1297" s="30">
        <f>IFERROR(VLOOKUP(A1297, Data!$L$3:$N$123, 3),1)*Pension</f>
        <v>4152748.1234570718</v>
      </c>
      <c r="C1297" s="37">
        <f t="shared" si="260"/>
        <v>107.8302532511978</v>
      </c>
      <c r="D1297" s="37">
        <f>IFERROR(VLOOKUP(A1297,Data!$I$3:$J$1442,2),0)</f>
        <v>7.7371832000000001E-2</v>
      </c>
      <c r="E1297" s="37">
        <f t="shared" si="261"/>
        <v>7.7171831999999996E-2</v>
      </c>
      <c r="F1297" s="37">
        <f t="shared" si="266"/>
        <v>2.4324091441226342E-4</v>
      </c>
      <c r="G1297" s="30">
        <f t="shared" si="267"/>
        <v>1010.1182508735092</v>
      </c>
      <c r="H1297" s="38">
        <f t="shared" si="262"/>
        <v>203</v>
      </c>
      <c r="I1297" s="39">
        <f t="shared" si="263"/>
        <v>203.45516769336072</v>
      </c>
      <c r="J1297" s="40">
        <f t="shared" si="264"/>
        <v>108</v>
      </c>
      <c r="K1297" s="43">
        <f>VLOOKUP(J1297,Data!$Z$3:$AA$122,2)</f>
        <v>0</v>
      </c>
      <c r="L1297" s="41">
        <f t="shared" si="265"/>
        <v>0.45516769336072116</v>
      </c>
      <c r="M1297" s="43">
        <f>VLOOKUP(H1297,Data!$P$3:$X$122,9)</f>
        <v>0</v>
      </c>
      <c r="N1297" s="43">
        <f t="shared" si="268"/>
        <v>0</v>
      </c>
      <c r="O1297" s="43">
        <f t="shared" si="269"/>
        <v>0</v>
      </c>
      <c r="P1297" s="30">
        <f t="shared" si="270"/>
        <v>0</v>
      </c>
      <c r="Q1297" s="31">
        <f t="shared" si="272"/>
        <v>848340.75061972369</v>
      </c>
    </row>
    <row r="1298" spans="1:17" x14ac:dyDescent="0.25">
      <c r="A1298" s="6">
        <f t="shared" si="271"/>
        <v>82697</v>
      </c>
      <c r="B1298" s="30">
        <f>IFERROR(VLOOKUP(A1298, Data!$L$3:$N$123, 3),1)*Pension</f>
        <v>4152748.1234570718</v>
      </c>
      <c r="C1298" s="37">
        <f t="shared" si="260"/>
        <v>107.9151266255989</v>
      </c>
      <c r="D1298" s="37">
        <f>IFERROR(VLOOKUP(A1298,Data!$I$3:$J$1442,2),0)</f>
        <v>7.7366035E-2</v>
      </c>
      <c r="E1298" s="37">
        <f t="shared" si="261"/>
        <v>7.7166034999999994E-2</v>
      </c>
      <c r="F1298" s="37">
        <f t="shared" si="266"/>
        <v>2.4180415453766872E-4</v>
      </c>
      <c r="G1298" s="30">
        <f t="shared" si="267"/>
        <v>1004.1517490004276</v>
      </c>
      <c r="H1298" s="38">
        <f t="shared" si="262"/>
        <v>203</v>
      </c>
      <c r="I1298" s="39">
        <f t="shared" si="263"/>
        <v>203.54004106776182</v>
      </c>
      <c r="J1298" s="40">
        <f t="shared" si="264"/>
        <v>108</v>
      </c>
      <c r="K1298" s="43">
        <f>VLOOKUP(J1298,Data!$Z$3:$AA$122,2)</f>
        <v>0</v>
      </c>
      <c r="L1298" s="41">
        <f t="shared" si="265"/>
        <v>0.5400410677618197</v>
      </c>
      <c r="M1298" s="43">
        <f>VLOOKUP(H1298,Data!$P$3:$X$122,9)</f>
        <v>0</v>
      </c>
      <c r="N1298" s="43">
        <f t="shared" si="268"/>
        <v>0</v>
      </c>
      <c r="O1298" s="43">
        <f t="shared" si="269"/>
        <v>0</v>
      </c>
      <c r="P1298" s="30">
        <f t="shared" si="270"/>
        <v>0</v>
      </c>
      <c r="Q1298" s="31">
        <f t="shared" si="272"/>
        <v>848340.75061972369</v>
      </c>
    </row>
    <row r="1299" spans="1:17" x14ac:dyDescent="0.25">
      <c r="A1299" s="6">
        <f t="shared" si="271"/>
        <v>82727</v>
      </c>
      <c r="B1299" s="30">
        <f>IFERROR(VLOOKUP(A1299, Data!$L$3:$N$123, 3),1)*Pension</f>
        <v>4152748.1234570718</v>
      </c>
      <c r="C1299" s="37">
        <f t="shared" si="260"/>
        <v>107.99726214921287</v>
      </c>
      <c r="D1299" s="37">
        <f>IFERROR(VLOOKUP(A1299,Data!$I$3:$J$1442,2),0)</f>
        <v>7.7360433000000006E-2</v>
      </c>
      <c r="E1299" s="37">
        <f t="shared" si="261"/>
        <v>7.7160433E-2</v>
      </c>
      <c r="F1299" s="37">
        <f t="shared" si="266"/>
        <v>2.4042184014334866E-4</v>
      </c>
      <c r="G1299" s="30">
        <f t="shared" si="267"/>
        <v>998.41134549338722</v>
      </c>
      <c r="H1299" s="38">
        <f t="shared" si="262"/>
        <v>203</v>
      </c>
      <c r="I1299" s="39">
        <f t="shared" si="263"/>
        <v>203.62217659137576</v>
      </c>
      <c r="J1299" s="40">
        <f t="shared" si="264"/>
        <v>108</v>
      </c>
      <c r="K1299" s="43">
        <f>VLOOKUP(J1299,Data!$Z$3:$AA$122,2)</f>
        <v>0</v>
      </c>
      <c r="L1299" s="41">
        <f t="shared" si="265"/>
        <v>0.6221765913757622</v>
      </c>
      <c r="M1299" s="43">
        <f>VLOOKUP(H1299,Data!$P$3:$X$122,9)</f>
        <v>0</v>
      </c>
      <c r="N1299" s="43">
        <f t="shared" si="268"/>
        <v>0</v>
      </c>
      <c r="O1299" s="43">
        <f t="shared" si="269"/>
        <v>0</v>
      </c>
      <c r="P1299" s="30">
        <f t="shared" si="270"/>
        <v>0</v>
      </c>
      <c r="Q1299" s="31">
        <f t="shared" si="272"/>
        <v>848340.75061972369</v>
      </c>
    </row>
    <row r="1300" spans="1:17" x14ac:dyDescent="0.25">
      <c r="A1300" s="6">
        <f t="shared" si="271"/>
        <v>82758</v>
      </c>
      <c r="B1300" s="30">
        <f>IFERROR(VLOOKUP(A1300, Data!$L$3:$N$123, 3),1)*Pension</f>
        <v>4152748.1234570718</v>
      </c>
      <c r="C1300" s="37">
        <f t="shared" si="260"/>
        <v>108.08213552361396</v>
      </c>
      <c r="D1300" s="37">
        <f>IFERROR(VLOOKUP(A1300,Data!$I$3:$J$1442,2),0)</f>
        <v>7.7354652999999995E-2</v>
      </c>
      <c r="E1300" s="37">
        <f t="shared" si="261"/>
        <v>7.715465299999999E-2</v>
      </c>
      <c r="F1300" s="37">
        <f t="shared" si="266"/>
        <v>2.3900175527248187E-4</v>
      </c>
      <c r="G1300" s="30">
        <f t="shared" si="267"/>
        <v>992.51409071074545</v>
      </c>
      <c r="H1300" s="38">
        <f t="shared" si="262"/>
        <v>203</v>
      </c>
      <c r="I1300" s="39">
        <f t="shared" si="263"/>
        <v>203.70704996577686</v>
      </c>
      <c r="J1300" s="40">
        <f t="shared" si="264"/>
        <v>108</v>
      </c>
      <c r="K1300" s="43">
        <f>VLOOKUP(J1300,Data!$Z$3:$AA$122,2)</f>
        <v>0</v>
      </c>
      <c r="L1300" s="41">
        <f t="shared" si="265"/>
        <v>0.70704996577686074</v>
      </c>
      <c r="M1300" s="43">
        <f>VLOOKUP(H1300,Data!$P$3:$X$122,9)</f>
        <v>0</v>
      </c>
      <c r="N1300" s="43">
        <f t="shared" si="268"/>
        <v>0</v>
      </c>
      <c r="O1300" s="43">
        <f t="shared" si="269"/>
        <v>0</v>
      </c>
      <c r="P1300" s="30">
        <f t="shared" si="270"/>
        <v>0</v>
      </c>
      <c r="Q1300" s="31">
        <f t="shared" si="272"/>
        <v>848340.75061972369</v>
      </c>
    </row>
    <row r="1301" spans="1:17" x14ac:dyDescent="0.25">
      <c r="A1301" s="6">
        <f t="shared" si="271"/>
        <v>82789</v>
      </c>
      <c r="B1301" s="30">
        <f>IFERROR(VLOOKUP(A1301, Data!$L$3:$N$123, 3),1)*Pension</f>
        <v>4152748.1234570718</v>
      </c>
      <c r="C1301" s="37">
        <f t="shared" si="260"/>
        <v>108.16700889801506</v>
      </c>
      <c r="D1301" s="37">
        <f>IFERROR(VLOOKUP(A1301,Data!$I$3:$J$1442,2),0)</f>
        <v>7.7348881999999994E-2</v>
      </c>
      <c r="E1301" s="37">
        <f t="shared" si="261"/>
        <v>7.7148881999999988E-2</v>
      </c>
      <c r="F1301" s="37">
        <f t="shared" si="266"/>
        <v>2.3759006014298535E-4</v>
      </c>
      <c r="G1301" s="30">
        <f t="shared" si="267"/>
        <v>986.65167641083531</v>
      </c>
      <c r="H1301" s="38">
        <f t="shared" si="262"/>
        <v>203</v>
      </c>
      <c r="I1301" s="39">
        <f t="shared" si="263"/>
        <v>203.79192334017796</v>
      </c>
      <c r="J1301" s="40">
        <f t="shared" si="264"/>
        <v>108</v>
      </c>
      <c r="K1301" s="43">
        <f>VLOOKUP(J1301,Data!$Z$3:$AA$122,2)</f>
        <v>0</v>
      </c>
      <c r="L1301" s="41">
        <f t="shared" si="265"/>
        <v>0.79192334017795929</v>
      </c>
      <c r="M1301" s="43">
        <f>VLOOKUP(H1301,Data!$P$3:$X$122,9)</f>
        <v>0</v>
      </c>
      <c r="N1301" s="43">
        <f t="shared" si="268"/>
        <v>0</v>
      </c>
      <c r="O1301" s="43">
        <f t="shared" si="269"/>
        <v>0</v>
      </c>
      <c r="P1301" s="30">
        <f t="shared" si="270"/>
        <v>0</v>
      </c>
      <c r="Q1301" s="31">
        <f t="shared" si="272"/>
        <v>848340.75061972369</v>
      </c>
    </row>
    <row r="1302" spans="1:17" x14ac:dyDescent="0.25">
      <c r="A1302" s="6">
        <f t="shared" si="271"/>
        <v>82819</v>
      </c>
      <c r="B1302" s="30">
        <f>IFERROR(VLOOKUP(A1302, Data!$L$3:$N$123, 3),1)*Pension</f>
        <v>4152748.1234570718</v>
      </c>
      <c r="C1302" s="37">
        <f t="shared" si="260"/>
        <v>108.24914442162903</v>
      </c>
      <c r="D1302" s="37">
        <f>IFERROR(VLOOKUP(A1302,Data!$I$3:$J$1442,2),0)</f>
        <v>7.7343306000000001E-2</v>
      </c>
      <c r="E1302" s="37">
        <f t="shared" si="261"/>
        <v>7.7143305999999995E-2</v>
      </c>
      <c r="F1302" s="37">
        <f t="shared" si="266"/>
        <v>2.3623183761732895E-4</v>
      </c>
      <c r="G1302" s="30">
        <f t="shared" si="267"/>
        <v>981.01132036617855</v>
      </c>
      <c r="H1302" s="38">
        <f t="shared" si="262"/>
        <v>203</v>
      </c>
      <c r="I1302" s="39">
        <f t="shared" si="263"/>
        <v>203.87405886379193</v>
      </c>
      <c r="J1302" s="40">
        <f t="shared" si="264"/>
        <v>108</v>
      </c>
      <c r="K1302" s="43">
        <f>VLOOKUP(J1302,Data!$Z$3:$AA$122,2)</f>
        <v>0</v>
      </c>
      <c r="L1302" s="41">
        <f t="shared" si="265"/>
        <v>0.87405886379193021</v>
      </c>
      <c r="M1302" s="43">
        <f>VLOOKUP(H1302,Data!$P$3:$X$122,9)</f>
        <v>0</v>
      </c>
      <c r="N1302" s="43">
        <f t="shared" si="268"/>
        <v>0</v>
      </c>
      <c r="O1302" s="43">
        <f t="shared" si="269"/>
        <v>0</v>
      </c>
      <c r="P1302" s="30">
        <f t="shared" si="270"/>
        <v>0</v>
      </c>
      <c r="Q1302" s="31">
        <f t="shared" si="272"/>
        <v>848340.75061972369</v>
      </c>
    </row>
    <row r="1303" spans="1:17" x14ac:dyDescent="0.25">
      <c r="A1303" s="6">
        <f t="shared" si="271"/>
        <v>82850</v>
      </c>
      <c r="B1303" s="30">
        <f>IFERROR(VLOOKUP(A1303, Data!$L$3:$N$123, 3),1)*Pension</f>
        <v>4152748.1234570718</v>
      </c>
      <c r="C1303" s="37">
        <f t="shared" si="260"/>
        <v>108.33401779603011</v>
      </c>
      <c r="D1303" s="37">
        <f>IFERROR(VLOOKUP(A1303,Data!$I$3:$J$1442,2),0)</f>
        <v>7.7337553000000003E-2</v>
      </c>
      <c r="E1303" s="37">
        <f t="shared" si="261"/>
        <v>7.7137552999999998E-2</v>
      </c>
      <c r="F1303" s="37">
        <f t="shared" si="266"/>
        <v>2.3483649793329807E-4</v>
      </c>
      <c r="G1303" s="30">
        <f t="shared" si="267"/>
        <v>975.21682611173412</v>
      </c>
      <c r="H1303" s="38">
        <f t="shared" si="262"/>
        <v>203</v>
      </c>
      <c r="I1303" s="39">
        <f t="shared" si="263"/>
        <v>203.95893223819303</v>
      </c>
      <c r="J1303" s="40">
        <f t="shared" si="264"/>
        <v>108</v>
      </c>
      <c r="K1303" s="43">
        <f>VLOOKUP(J1303,Data!$Z$3:$AA$122,2)</f>
        <v>0</v>
      </c>
      <c r="L1303" s="41">
        <f t="shared" si="265"/>
        <v>0.95893223819302875</v>
      </c>
      <c r="M1303" s="43">
        <f>VLOOKUP(H1303,Data!$P$3:$X$122,9)</f>
        <v>0</v>
      </c>
      <c r="N1303" s="43">
        <f t="shared" si="268"/>
        <v>0</v>
      </c>
      <c r="O1303" s="43">
        <f t="shared" si="269"/>
        <v>0</v>
      </c>
      <c r="P1303" s="30">
        <f t="shared" si="270"/>
        <v>0</v>
      </c>
      <c r="Q1303" s="31">
        <f t="shared" si="272"/>
        <v>848340.75061972369</v>
      </c>
    </row>
    <row r="1304" spans="1:17" x14ac:dyDescent="0.25">
      <c r="A1304" s="6">
        <f t="shared" si="271"/>
        <v>82880</v>
      </c>
      <c r="B1304" s="30">
        <f>IFERROR(VLOOKUP(A1304, Data!$L$3:$N$123, 3),1)*Pension</f>
        <v>4152748.1234570718</v>
      </c>
      <c r="C1304" s="37">
        <f t="shared" si="260"/>
        <v>108.41615331964408</v>
      </c>
      <c r="D1304" s="37">
        <f>IFERROR(VLOOKUP(A1304,Data!$I$3:$J$1442,2),0)</f>
        <v>7.7331995000000001E-2</v>
      </c>
      <c r="E1304" s="37">
        <f t="shared" si="261"/>
        <v>7.7131994999999995E-2</v>
      </c>
      <c r="F1304" s="37">
        <f t="shared" si="266"/>
        <v>2.3349399564461901E-4</v>
      </c>
      <c r="G1304" s="30">
        <f t="shared" si="267"/>
        <v>969.64175225168526</v>
      </c>
      <c r="H1304" s="38">
        <f t="shared" si="262"/>
        <v>204</v>
      </c>
      <c r="I1304" s="39">
        <f t="shared" si="263"/>
        <v>204.04106776180697</v>
      </c>
      <c r="J1304" s="40">
        <f t="shared" si="264"/>
        <v>109</v>
      </c>
      <c r="K1304" s="43">
        <f>VLOOKUP(J1304,Data!$Z$3:$AA$122,2)</f>
        <v>0</v>
      </c>
      <c r="L1304" s="41">
        <f t="shared" si="265"/>
        <v>4.1067761806971248E-2</v>
      </c>
      <c r="M1304" s="43">
        <f>VLOOKUP(H1304,Data!$P$3:$X$122,9)</f>
        <v>0</v>
      </c>
      <c r="N1304" s="43">
        <f t="shared" si="268"/>
        <v>0</v>
      </c>
      <c r="O1304" s="43">
        <f t="shared" si="269"/>
        <v>0</v>
      </c>
      <c r="P1304" s="30">
        <f t="shared" si="270"/>
        <v>0</v>
      </c>
      <c r="Q1304" s="31">
        <f t="shared" si="272"/>
        <v>848340.75061972369</v>
      </c>
    </row>
    <row r="1305" spans="1:17" x14ac:dyDescent="0.25">
      <c r="A1305" s="6">
        <f t="shared" si="271"/>
        <v>82911</v>
      </c>
      <c r="B1305" s="30">
        <f>IFERROR(VLOOKUP(A1305, Data!$L$3:$N$123, 3),1)*Pension</f>
        <v>4360385.5296299262</v>
      </c>
      <c r="C1305" s="37">
        <f t="shared" si="260"/>
        <v>108.50102669404518</v>
      </c>
      <c r="D1305" s="37">
        <f>IFERROR(VLOOKUP(A1305,Data!$I$3:$J$1442,2),0)</f>
        <v>7.7326258999999994E-2</v>
      </c>
      <c r="E1305" s="37">
        <f t="shared" si="261"/>
        <v>7.7126258999999989E-2</v>
      </c>
      <c r="F1305" s="37">
        <f t="shared" si="266"/>
        <v>2.321148451527657E-4</v>
      </c>
      <c r="G1305" s="30">
        <f t="shared" si="267"/>
        <v>1012.1102120164106</v>
      </c>
      <c r="H1305" s="38">
        <f t="shared" si="262"/>
        <v>204</v>
      </c>
      <c r="I1305" s="39">
        <f t="shared" si="263"/>
        <v>204.12594113620807</v>
      </c>
      <c r="J1305" s="40">
        <f t="shared" si="264"/>
        <v>109</v>
      </c>
      <c r="K1305" s="43">
        <f>VLOOKUP(J1305,Data!$Z$3:$AA$122,2)</f>
        <v>0</v>
      </c>
      <c r="L1305" s="41">
        <f t="shared" si="265"/>
        <v>0.12594113620806979</v>
      </c>
      <c r="M1305" s="43">
        <f>VLOOKUP(H1305,Data!$P$3:$X$122,9)</f>
        <v>0</v>
      </c>
      <c r="N1305" s="43">
        <f t="shared" si="268"/>
        <v>0</v>
      </c>
      <c r="O1305" s="43">
        <f t="shared" si="269"/>
        <v>0</v>
      </c>
      <c r="P1305" s="30">
        <f t="shared" si="270"/>
        <v>0</v>
      </c>
      <c r="Q1305" s="31">
        <f t="shared" si="272"/>
        <v>848340.75061972369</v>
      </c>
    </row>
    <row r="1306" spans="1:17" x14ac:dyDescent="0.25">
      <c r="A1306" s="6">
        <f t="shared" si="271"/>
        <v>82942</v>
      </c>
      <c r="B1306" s="30">
        <f>IFERROR(VLOOKUP(A1306, Data!$L$3:$N$123, 3),1)*Pension</f>
        <v>4360385.5296299262</v>
      </c>
      <c r="C1306" s="37">
        <f t="shared" si="260"/>
        <v>108.58590006844626</v>
      </c>
      <c r="D1306" s="37">
        <f>IFERROR(VLOOKUP(A1306,Data!$I$3:$J$1442,2),0)</f>
        <v>7.7320532999999997E-2</v>
      </c>
      <c r="E1306" s="37">
        <f t="shared" si="261"/>
        <v>7.7120532999999991E-2</v>
      </c>
      <c r="F1306" s="37">
        <f t="shared" si="266"/>
        <v>2.3074381483330085E-4</v>
      </c>
      <c r="G1306" s="30">
        <f t="shared" si="267"/>
        <v>1006.1319912507321</v>
      </c>
      <c r="H1306" s="38">
        <f t="shared" si="262"/>
        <v>204</v>
      </c>
      <c r="I1306" s="39">
        <f t="shared" si="263"/>
        <v>204.21081451060917</v>
      </c>
      <c r="J1306" s="40">
        <f t="shared" si="264"/>
        <v>109</v>
      </c>
      <c r="K1306" s="43">
        <f>VLOOKUP(J1306,Data!$Z$3:$AA$122,2)</f>
        <v>0</v>
      </c>
      <c r="L1306" s="41">
        <f t="shared" si="265"/>
        <v>0.21081451060916834</v>
      </c>
      <c r="M1306" s="43">
        <f>VLOOKUP(H1306,Data!$P$3:$X$122,9)</f>
        <v>0</v>
      </c>
      <c r="N1306" s="43">
        <f t="shared" si="268"/>
        <v>0</v>
      </c>
      <c r="O1306" s="43">
        <f t="shared" si="269"/>
        <v>0</v>
      </c>
      <c r="P1306" s="30">
        <f t="shared" si="270"/>
        <v>0</v>
      </c>
      <c r="Q1306" s="31">
        <f t="shared" si="272"/>
        <v>848340.75061972369</v>
      </c>
    </row>
    <row r="1307" spans="1:17" x14ac:dyDescent="0.25">
      <c r="A1307" s="6">
        <f t="shared" si="271"/>
        <v>82970</v>
      </c>
      <c r="B1307" s="30">
        <f>IFERROR(VLOOKUP(A1307, Data!$L$3:$N$123, 3),1)*Pension</f>
        <v>4360385.5296299262</v>
      </c>
      <c r="C1307" s="37">
        <f t="shared" si="260"/>
        <v>108.66255989048597</v>
      </c>
      <c r="D1307" s="37">
        <f>IFERROR(VLOOKUP(A1307,Data!$I$3:$J$1442,2),0)</f>
        <v>7.7315368999999995E-2</v>
      </c>
      <c r="E1307" s="37">
        <f t="shared" si="261"/>
        <v>7.7115368999999989E-2</v>
      </c>
      <c r="F1307" s="37">
        <f t="shared" si="266"/>
        <v>2.2951242225874625E-4</v>
      </c>
      <c r="G1307" s="30">
        <f t="shared" si="267"/>
        <v>1000.7626448873505</v>
      </c>
      <c r="H1307" s="38">
        <f t="shared" si="262"/>
        <v>204</v>
      </c>
      <c r="I1307" s="39">
        <f t="shared" si="263"/>
        <v>204.28747433264888</v>
      </c>
      <c r="J1307" s="40">
        <f t="shared" si="264"/>
        <v>109</v>
      </c>
      <c r="K1307" s="43">
        <f>VLOOKUP(J1307,Data!$Z$3:$AA$122,2)</f>
        <v>0</v>
      </c>
      <c r="L1307" s="41">
        <f t="shared" si="265"/>
        <v>0.287474332648884</v>
      </c>
      <c r="M1307" s="43">
        <f>VLOOKUP(H1307,Data!$P$3:$X$122,9)</f>
        <v>0</v>
      </c>
      <c r="N1307" s="43">
        <f t="shared" si="268"/>
        <v>0</v>
      </c>
      <c r="O1307" s="43">
        <f t="shared" si="269"/>
        <v>0</v>
      </c>
      <c r="P1307" s="30">
        <f t="shared" si="270"/>
        <v>0</v>
      </c>
      <c r="Q1307" s="31">
        <f t="shared" si="272"/>
        <v>848340.75061972369</v>
      </c>
    </row>
    <row r="1308" spans="1:17" x14ac:dyDescent="0.25">
      <c r="A1308" s="6">
        <f t="shared" si="271"/>
        <v>83001</v>
      </c>
      <c r="B1308" s="30">
        <f>IFERROR(VLOOKUP(A1308, Data!$L$3:$N$123, 3),1)*Pension</f>
        <v>4360385.5296299262</v>
      </c>
      <c r="C1308" s="37">
        <f t="shared" si="260"/>
        <v>108.74743326488706</v>
      </c>
      <c r="D1308" s="37">
        <f>IFERROR(VLOOKUP(A1308,Data!$I$3:$J$1442,2),0)</f>
        <v>7.7309660000000002E-2</v>
      </c>
      <c r="E1308" s="37">
        <f t="shared" si="261"/>
        <v>7.7109659999999997E-2</v>
      </c>
      <c r="F1308" s="37">
        <f t="shared" si="266"/>
        <v>2.2815676375820986E-4</v>
      </c>
      <c r="G1308" s="30">
        <f t="shared" si="267"/>
        <v>994.85145117849186</v>
      </c>
      <c r="H1308" s="38">
        <f t="shared" si="262"/>
        <v>204</v>
      </c>
      <c r="I1308" s="39">
        <f t="shared" si="263"/>
        <v>204.37234770704995</v>
      </c>
      <c r="J1308" s="40">
        <f t="shared" si="264"/>
        <v>109</v>
      </c>
      <c r="K1308" s="43">
        <f>VLOOKUP(J1308,Data!$Z$3:$AA$122,2)</f>
        <v>0</v>
      </c>
      <c r="L1308" s="41">
        <f t="shared" si="265"/>
        <v>0.37234770704995412</v>
      </c>
      <c r="M1308" s="43">
        <f>VLOOKUP(H1308,Data!$P$3:$X$122,9)</f>
        <v>0</v>
      </c>
      <c r="N1308" s="43">
        <f t="shared" si="268"/>
        <v>0</v>
      </c>
      <c r="O1308" s="43">
        <f t="shared" si="269"/>
        <v>0</v>
      </c>
      <c r="P1308" s="30">
        <f t="shared" si="270"/>
        <v>0</v>
      </c>
      <c r="Q1308" s="31">
        <f t="shared" si="272"/>
        <v>848340.75061972369</v>
      </c>
    </row>
    <row r="1309" spans="1:17" x14ac:dyDescent="0.25">
      <c r="A1309" s="6">
        <f t="shared" si="271"/>
        <v>83031</v>
      </c>
      <c r="B1309" s="30">
        <f>IFERROR(VLOOKUP(A1309, Data!$L$3:$N$123, 3),1)*Pension</f>
        <v>4360385.5296299262</v>
      </c>
      <c r="C1309" s="37">
        <f t="shared" si="260"/>
        <v>108.82956878850102</v>
      </c>
      <c r="D1309" s="37">
        <f>IFERROR(VLOOKUP(A1309,Data!$I$3:$J$1442,2),0)</f>
        <v>7.7304143000000006E-2</v>
      </c>
      <c r="E1309" s="37">
        <f t="shared" si="261"/>
        <v>7.7104143E-2</v>
      </c>
      <c r="F1309" s="37">
        <f t="shared" si="266"/>
        <v>2.2685247661604098E-4</v>
      </c>
      <c r="G1309" s="30">
        <f t="shared" si="267"/>
        <v>989.1642563972963</v>
      </c>
      <c r="H1309" s="38">
        <f t="shared" si="262"/>
        <v>204</v>
      </c>
      <c r="I1309" s="39">
        <f t="shared" si="263"/>
        <v>204.45448323066393</v>
      </c>
      <c r="J1309" s="40">
        <f t="shared" si="264"/>
        <v>109</v>
      </c>
      <c r="K1309" s="43">
        <f>VLOOKUP(J1309,Data!$Z$3:$AA$122,2)</f>
        <v>0</v>
      </c>
      <c r="L1309" s="41">
        <f t="shared" si="265"/>
        <v>0.45448323066392504</v>
      </c>
      <c r="M1309" s="43">
        <f>VLOOKUP(H1309,Data!$P$3:$X$122,9)</f>
        <v>0</v>
      </c>
      <c r="N1309" s="43">
        <f t="shared" si="268"/>
        <v>0</v>
      </c>
      <c r="O1309" s="43">
        <f t="shared" si="269"/>
        <v>0</v>
      </c>
      <c r="P1309" s="30">
        <f t="shared" si="270"/>
        <v>0</v>
      </c>
      <c r="Q1309" s="31">
        <f t="shared" si="272"/>
        <v>848340.75061972369</v>
      </c>
    </row>
    <row r="1310" spans="1:17" x14ac:dyDescent="0.25">
      <c r="A1310" s="6">
        <f t="shared" si="271"/>
        <v>83062</v>
      </c>
      <c r="B1310" s="30">
        <f>IFERROR(VLOOKUP(A1310, Data!$L$3:$N$123, 3),1)*Pension</f>
        <v>4360385.5296299262</v>
      </c>
      <c r="C1310" s="37">
        <f t="shared" si="260"/>
        <v>108.91444216290212</v>
      </c>
      <c r="D1310" s="37">
        <f>IFERROR(VLOOKUP(A1310,Data!$I$3:$J$1442,2),0)</f>
        <v>7.7298451000000004E-2</v>
      </c>
      <c r="E1310" s="37">
        <f t="shared" si="261"/>
        <v>7.7098450999999998E-2</v>
      </c>
      <c r="F1310" s="37">
        <f t="shared" si="266"/>
        <v>2.2551254192199055E-4</v>
      </c>
      <c r="G1310" s="30">
        <f t="shared" si="267"/>
        <v>983.3216245467097</v>
      </c>
      <c r="H1310" s="38">
        <f t="shared" si="262"/>
        <v>204</v>
      </c>
      <c r="I1310" s="39">
        <f t="shared" si="263"/>
        <v>204.53935660506502</v>
      </c>
      <c r="J1310" s="40">
        <f t="shared" si="264"/>
        <v>109</v>
      </c>
      <c r="K1310" s="43">
        <f>VLOOKUP(J1310,Data!$Z$3:$AA$122,2)</f>
        <v>0</v>
      </c>
      <c r="L1310" s="41">
        <f t="shared" si="265"/>
        <v>0.53935660506502359</v>
      </c>
      <c r="M1310" s="43">
        <f>VLOOKUP(H1310,Data!$P$3:$X$122,9)</f>
        <v>0</v>
      </c>
      <c r="N1310" s="43">
        <f t="shared" si="268"/>
        <v>0</v>
      </c>
      <c r="O1310" s="43">
        <f t="shared" si="269"/>
        <v>0</v>
      </c>
      <c r="P1310" s="30">
        <f t="shared" si="270"/>
        <v>0</v>
      </c>
      <c r="Q1310" s="31">
        <f t="shared" si="272"/>
        <v>848340.75061972369</v>
      </c>
    </row>
    <row r="1311" spans="1:17" x14ac:dyDescent="0.25">
      <c r="A1311" s="6">
        <f t="shared" si="271"/>
        <v>83092</v>
      </c>
      <c r="B1311" s="30">
        <f>IFERROR(VLOOKUP(A1311, Data!$L$3:$N$123, 3),1)*Pension</f>
        <v>4360385.5296299262</v>
      </c>
      <c r="C1311" s="37">
        <f t="shared" si="260"/>
        <v>108.99657768651609</v>
      </c>
      <c r="D1311" s="37">
        <f>IFERROR(VLOOKUP(A1311,Data!$I$3:$J$1442,2),0)</f>
        <v>7.7292951999999998E-2</v>
      </c>
      <c r="E1311" s="37">
        <f t="shared" si="261"/>
        <v>7.7092951999999992E-2</v>
      </c>
      <c r="F1311" s="37">
        <f t="shared" si="266"/>
        <v>2.242233439272078E-4</v>
      </c>
      <c r="G1311" s="30">
        <f t="shared" si="267"/>
        <v>977.70022426543107</v>
      </c>
      <c r="H1311" s="38">
        <f t="shared" si="262"/>
        <v>204</v>
      </c>
      <c r="I1311" s="39">
        <f t="shared" si="263"/>
        <v>204.62149212867899</v>
      </c>
      <c r="J1311" s="40">
        <f t="shared" si="264"/>
        <v>109</v>
      </c>
      <c r="K1311" s="43">
        <f>VLOOKUP(J1311,Data!$Z$3:$AA$122,2)</f>
        <v>0</v>
      </c>
      <c r="L1311" s="41">
        <f t="shared" si="265"/>
        <v>0.6214921286789945</v>
      </c>
      <c r="M1311" s="43">
        <f>VLOOKUP(H1311,Data!$P$3:$X$122,9)</f>
        <v>0</v>
      </c>
      <c r="N1311" s="43">
        <f t="shared" si="268"/>
        <v>0</v>
      </c>
      <c r="O1311" s="43">
        <f t="shared" si="269"/>
        <v>0</v>
      </c>
      <c r="P1311" s="30">
        <f t="shared" si="270"/>
        <v>0</v>
      </c>
      <c r="Q1311" s="31">
        <f t="shared" si="272"/>
        <v>848340.75061972369</v>
      </c>
    </row>
    <row r="1312" spans="1:17" x14ac:dyDescent="0.25">
      <c r="A1312" s="6">
        <f t="shared" si="271"/>
        <v>83123</v>
      </c>
      <c r="B1312" s="30">
        <f>IFERROR(VLOOKUP(A1312, Data!$L$3:$N$123, 3),1)*Pension</f>
        <v>4360385.5296299262</v>
      </c>
      <c r="C1312" s="37">
        <f t="shared" si="260"/>
        <v>109.08145106091717</v>
      </c>
      <c r="D1312" s="37">
        <f>IFERROR(VLOOKUP(A1312,Data!$I$3:$J$1442,2),0)</f>
        <v>7.7287277000000001E-2</v>
      </c>
      <c r="E1312" s="37">
        <f t="shared" si="261"/>
        <v>7.7087276999999996E-2</v>
      </c>
      <c r="F1312" s="37">
        <f t="shared" si="266"/>
        <v>2.228989488233724E-4</v>
      </c>
      <c r="G1312" s="30">
        <f t="shared" si="267"/>
        <v>971.9253510191545</v>
      </c>
      <c r="H1312" s="38">
        <f t="shared" si="262"/>
        <v>204</v>
      </c>
      <c r="I1312" s="39">
        <f t="shared" si="263"/>
        <v>204.70636550308009</v>
      </c>
      <c r="J1312" s="40">
        <f t="shared" si="264"/>
        <v>109</v>
      </c>
      <c r="K1312" s="43">
        <f>VLOOKUP(J1312,Data!$Z$3:$AA$122,2)</f>
        <v>0</v>
      </c>
      <c r="L1312" s="41">
        <f t="shared" si="265"/>
        <v>0.70636550308009305</v>
      </c>
      <c r="M1312" s="43">
        <f>VLOOKUP(H1312,Data!$P$3:$X$122,9)</f>
        <v>0</v>
      </c>
      <c r="N1312" s="43">
        <f t="shared" si="268"/>
        <v>0</v>
      </c>
      <c r="O1312" s="43">
        <f t="shared" si="269"/>
        <v>0</v>
      </c>
      <c r="P1312" s="30">
        <f t="shared" si="270"/>
        <v>0</v>
      </c>
      <c r="Q1312" s="31">
        <f t="shared" si="272"/>
        <v>848340.75061972369</v>
      </c>
    </row>
    <row r="1313" spans="1:17" x14ac:dyDescent="0.25">
      <c r="A1313" s="6">
        <f t="shared" si="271"/>
        <v>83154</v>
      </c>
      <c r="B1313" s="30">
        <f>IFERROR(VLOOKUP(A1313, Data!$L$3:$N$123, 3),1)*Pension</f>
        <v>4360385.5296299262</v>
      </c>
      <c r="C1313" s="37">
        <f t="shared" si="260"/>
        <v>109.16632443531827</v>
      </c>
      <c r="D1313" s="37">
        <f>IFERROR(VLOOKUP(A1313,Data!$I$3:$J$1442,2),0)</f>
        <v>7.7281612E-2</v>
      </c>
      <c r="E1313" s="37">
        <f t="shared" si="261"/>
        <v>7.7081611999999994E-2</v>
      </c>
      <c r="F1313" s="37">
        <f t="shared" si="266"/>
        <v>2.2158234793669961E-4</v>
      </c>
      <c r="G1313" s="30">
        <f t="shared" si="267"/>
        <v>966.18446356460856</v>
      </c>
      <c r="H1313" s="38">
        <f t="shared" si="262"/>
        <v>204</v>
      </c>
      <c r="I1313" s="39">
        <f t="shared" si="263"/>
        <v>204.79123887748116</v>
      </c>
      <c r="J1313" s="40">
        <f t="shared" si="264"/>
        <v>109</v>
      </c>
      <c r="K1313" s="43">
        <f>VLOOKUP(J1313,Data!$Z$3:$AA$122,2)</f>
        <v>0</v>
      </c>
      <c r="L1313" s="41">
        <f t="shared" si="265"/>
        <v>0.79123887748116317</v>
      </c>
      <c r="M1313" s="43">
        <f>VLOOKUP(H1313,Data!$P$3:$X$122,9)</f>
        <v>0</v>
      </c>
      <c r="N1313" s="43">
        <f t="shared" si="268"/>
        <v>0</v>
      </c>
      <c r="O1313" s="43">
        <f t="shared" si="269"/>
        <v>0</v>
      </c>
      <c r="P1313" s="30">
        <f t="shared" si="270"/>
        <v>0</v>
      </c>
      <c r="Q1313" s="31">
        <f t="shared" si="272"/>
        <v>848340.75061972369</v>
      </c>
    </row>
    <row r="1314" spans="1:17" x14ac:dyDescent="0.25">
      <c r="A1314" s="6">
        <f t="shared" si="271"/>
        <v>83184</v>
      </c>
      <c r="B1314" s="30">
        <f>IFERROR(VLOOKUP(A1314, Data!$L$3:$N$123, 3),1)*Pension</f>
        <v>4360385.5296299262</v>
      </c>
      <c r="C1314" s="37">
        <f t="shared" si="260"/>
        <v>109.24845995893224</v>
      </c>
      <c r="D1314" s="37">
        <f>IFERROR(VLOOKUP(A1314,Data!$I$3:$J$1442,2),0)</f>
        <v>7.7276136999999995E-2</v>
      </c>
      <c r="E1314" s="37">
        <f t="shared" si="261"/>
        <v>7.7076136999999989E-2</v>
      </c>
      <c r="F1314" s="37">
        <f t="shared" si="266"/>
        <v>2.2031565007796635E-4</v>
      </c>
      <c r="G1314" s="30">
        <f t="shared" si="267"/>
        <v>960.66117255097481</v>
      </c>
      <c r="H1314" s="38">
        <f t="shared" si="262"/>
        <v>204</v>
      </c>
      <c r="I1314" s="39">
        <f t="shared" si="263"/>
        <v>204.87337440109513</v>
      </c>
      <c r="J1314" s="40">
        <f t="shared" si="264"/>
        <v>109</v>
      </c>
      <c r="K1314" s="43">
        <f>VLOOKUP(J1314,Data!$Z$3:$AA$122,2)</f>
        <v>0</v>
      </c>
      <c r="L1314" s="41">
        <f t="shared" si="265"/>
        <v>0.87337440109513409</v>
      </c>
      <c r="M1314" s="43">
        <f>VLOOKUP(H1314,Data!$P$3:$X$122,9)</f>
        <v>0</v>
      </c>
      <c r="N1314" s="43">
        <f t="shared" si="268"/>
        <v>0</v>
      </c>
      <c r="O1314" s="43">
        <f t="shared" si="269"/>
        <v>0</v>
      </c>
      <c r="P1314" s="30">
        <f t="shared" si="270"/>
        <v>0</v>
      </c>
      <c r="Q1314" s="31">
        <f t="shared" si="272"/>
        <v>848340.75061972369</v>
      </c>
    </row>
    <row r="1315" spans="1:17" x14ac:dyDescent="0.25">
      <c r="A1315" s="6">
        <f t="shared" si="271"/>
        <v>83215</v>
      </c>
      <c r="B1315" s="30">
        <f>IFERROR(VLOOKUP(A1315, Data!$L$3:$N$123, 3),1)*Pension</f>
        <v>4360385.5296299262</v>
      </c>
      <c r="C1315" s="37">
        <f t="shared" si="260"/>
        <v>109.33333333333333</v>
      </c>
      <c r="D1315" s="37">
        <f>IFERROR(VLOOKUP(A1315,Data!$I$3:$J$1442,2),0)</f>
        <v>7.7270488999999998E-2</v>
      </c>
      <c r="E1315" s="37">
        <f t="shared" si="261"/>
        <v>7.7070488999999992E-2</v>
      </c>
      <c r="F1315" s="37">
        <f t="shared" si="266"/>
        <v>2.1901431521620837E-4</v>
      </c>
      <c r="G1315" s="30">
        <f t="shared" si="267"/>
        <v>954.9868508505624</v>
      </c>
      <c r="H1315" s="38">
        <f t="shared" si="262"/>
        <v>204</v>
      </c>
      <c r="I1315" s="39">
        <f t="shared" si="263"/>
        <v>204.95824777549623</v>
      </c>
      <c r="J1315" s="40">
        <f t="shared" si="264"/>
        <v>109</v>
      </c>
      <c r="K1315" s="43">
        <f>VLOOKUP(J1315,Data!$Z$3:$AA$122,2)</f>
        <v>0</v>
      </c>
      <c r="L1315" s="41">
        <f t="shared" si="265"/>
        <v>0.95824777549623263</v>
      </c>
      <c r="M1315" s="43">
        <f>VLOOKUP(H1315,Data!$P$3:$X$122,9)</f>
        <v>0</v>
      </c>
      <c r="N1315" s="43">
        <f t="shared" si="268"/>
        <v>0</v>
      </c>
      <c r="O1315" s="43">
        <f t="shared" si="269"/>
        <v>0</v>
      </c>
      <c r="P1315" s="30">
        <f t="shared" si="270"/>
        <v>0</v>
      </c>
      <c r="Q1315" s="31">
        <f t="shared" si="272"/>
        <v>848340.75061972369</v>
      </c>
    </row>
    <row r="1316" spans="1:17" x14ac:dyDescent="0.25">
      <c r="A1316" s="6">
        <f t="shared" si="271"/>
        <v>83245</v>
      </c>
      <c r="B1316" s="30">
        <f>IFERROR(VLOOKUP(A1316, Data!$L$3:$N$123, 3),1)*Pension</f>
        <v>4360385.5296299262</v>
      </c>
      <c r="C1316" s="37">
        <f t="shared" si="260"/>
        <v>109.4154688569473</v>
      </c>
      <c r="D1316" s="37">
        <f>IFERROR(VLOOKUP(A1316,Data!$I$3:$J$1442,2),0)</f>
        <v>7.7265031999999997E-2</v>
      </c>
      <c r="E1316" s="37">
        <f t="shared" si="261"/>
        <v>7.7065031999999992E-2</v>
      </c>
      <c r="F1316" s="37">
        <f t="shared" si="266"/>
        <v>2.1776226695991948E-4</v>
      </c>
      <c r="G1316" s="30">
        <f t="shared" si="267"/>
        <v>949.52743775144188</v>
      </c>
      <c r="H1316" s="38">
        <f t="shared" si="262"/>
        <v>205</v>
      </c>
      <c r="I1316" s="39">
        <f t="shared" si="263"/>
        <v>205.0403832991102</v>
      </c>
      <c r="J1316" s="40">
        <f t="shared" si="264"/>
        <v>110</v>
      </c>
      <c r="K1316" s="43">
        <f>VLOOKUP(J1316,Data!$Z$3:$AA$122,2)</f>
        <v>0</v>
      </c>
      <c r="L1316" s="41">
        <f t="shared" si="265"/>
        <v>4.0383299110203552E-2</v>
      </c>
      <c r="M1316" s="43">
        <f>VLOOKUP(H1316,Data!$P$3:$X$122,9)</f>
        <v>0</v>
      </c>
      <c r="N1316" s="43">
        <f t="shared" si="268"/>
        <v>0</v>
      </c>
      <c r="O1316" s="43">
        <f t="shared" si="269"/>
        <v>0</v>
      </c>
      <c r="P1316" s="30">
        <f t="shared" si="270"/>
        <v>0</v>
      </c>
      <c r="Q1316" s="31">
        <f t="shared" si="272"/>
        <v>848340.75061972369</v>
      </c>
    </row>
    <row r="1317" spans="1:17" x14ac:dyDescent="0.25">
      <c r="A1317" s="6">
        <f t="shared" si="271"/>
        <v>83276</v>
      </c>
      <c r="B1317" s="30">
        <f>IFERROR(VLOOKUP(A1317, Data!$L$3:$N$123, 3),1)*Pension</f>
        <v>4578404.8061114214</v>
      </c>
      <c r="C1317" s="37">
        <f t="shared" si="260"/>
        <v>109.5003422313484</v>
      </c>
      <c r="D1317" s="37">
        <f>IFERROR(VLOOKUP(A1317,Data!$I$3:$J$1442,2),0)</f>
        <v>7.7259401000000005E-2</v>
      </c>
      <c r="E1317" s="37">
        <f t="shared" si="261"/>
        <v>7.7059401E-2</v>
      </c>
      <c r="F1317" s="37">
        <f t="shared" si="266"/>
        <v>2.1647601938051212E-4</v>
      </c>
      <c r="G1317" s="30">
        <f t="shared" si="267"/>
        <v>991.11484753960588</v>
      </c>
      <c r="H1317" s="38">
        <f t="shared" si="262"/>
        <v>205</v>
      </c>
      <c r="I1317" s="39">
        <f t="shared" si="263"/>
        <v>205.1252566735113</v>
      </c>
      <c r="J1317" s="40">
        <f t="shared" si="264"/>
        <v>110</v>
      </c>
      <c r="K1317" s="43">
        <f>VLOOKUP(J1317,Data!$Z$3:$AA$122,2)</f>
        <v>0</v>
      </c>
      <c r="L1317" s="41">
        <f t="shared" si="265"/>
        <v>0.1252566735113021</v>
      </c>
      <c r="M1317" s="43">
        <f>VLOOKUP(H1317,Data!$P$3:$X$122,9)</f>
        <v>0</v>
      </c>
      <c r="N1317" s="43">
        <f t="shared" si="268"/>
        <v>0</v>
      </c>
      <c r="O1317" s="43">
        <f t="shared" si="269"/>
        <v>0</v>
      </c>
      <c r="P1317" s="30">
        <f t="shared" si="270"/>
        <v>0</v>
      </c>
      <c r="Q1317" s="31">
        <f t="shared" si="272"/>
        <v>848340.75061972369</v>
      </c>
    </row>
    <row r="1318" spans="1:17" x14ac:dyDescent="0.25">
      <c r="A1318" s="6">
        <f t="shared" si="271"/>
        <v>83307</v>
      </c>
      <c r="B1318" s="30">
        <f>IFERROR(VLOOKUP(A1318, Data!$L$3:$N$123, 3),1)*Pension</f>
        <v>4578404.8061114214</v>
      </c>
      <c r="C1318" s="37">
        <f t="shared" si="260"/>
        <v>109.58521560574948</v>
      </c>
      <c r="D1318" s="37">
        <f>IFERROR(VLOOKUP(A1318,Data!$I$3:$J$1442,2),0)</f>
        <v>7.7253777999999995E-2</v>
      </c>
      <c r="E1318" s="37">
        <f t="shared" si="261"/>
        <v>7.7053777999999989E-2</v>
      </c>
      <c r="F1318" s="37">
        <f t="shared" si="266"/>
        <v>2.1519738626318914E-4</v>
      </c>
      <c r="G1318" s="30">
        <f t="shared" si="267"/>
        <v>985.26074753000114</v>
      </c>
      <c r="H1318" s="38">
        <f t="shared" si="262"/>
        <v>205</v>
      </c>
      <c r="I1318" s="39">
        <f t="shared" si="263"/>
        <v>205.2101300479124</v>
      </c>
      <c r="J1318" s="40">
        <f t="shared" si="264"/>
        <v>110</v>
      </c>
      <c r="K1318" s="43">
        <f>VLOOKUP(J1318,Data!$Z$3:$AA$122,2)</f>
        <v>0</v>
      </c>
      <c r="L1318" s="41">
        <f t="shared" si="265"/>
        <v>0.21013004791240064</v>
      </c>
      <c r="M1318" s="43">
        <f>VLOOKUP(H1318,Data!$P$3:$X$122,9)</f>
        <v>0</v>
      </c>
      <c r="N1318" s="43">
        <f t="shared" si="268"/>
        <v>0</v>
      </c>
      <c r="O1318" s="43">
        <f t="shared" si="269"/>
        <v>0</v>
      </c>
      <c r="P1318" s="30">
        <f t="shared" si="270"/>
        <v>0</v>
      </c>
      <c r="Q1318" s="31">
        <f t="shared" si="272"/>
        <v>848340.75061972369</v>
      </c>
    </row>
    <row r="1319" spans="1:17" x14ac:dyDescent="0.25">
      <c r="A1319" s="6">
        <f t="shared" si="271"/>
        <v>83336</v>
      </c>
      <c r="B1319" s="30">
        <f>IFERROR(VLOOKUP(A1319, Data!$L$3:$N$123, 3),1)*Pension</f>
        <v>4578404.8061114214</v>
      </c>
      <c r="C1319" s="37">
        <f t="shared" si="260"/>
        <v>109.66461327857631</v>
      </c>
      <c r="D1319" s="37">
        <f>IFERROR(VLOOKUP(A1319,Data!$I$3:$J$1442,2),0)</f>
        <v>7.7248526999999997E-2</v>
      </c>
      <c r="E1319" s="37">
        <f t="shared" si="261"/>
        <v>7.7048526999999992E-2</v>
      </c>
      <c r="F1319" s="37">
        <f t="shared" si="266"/>
        <v>2.1400805207342629E-4</v>
      </c>
      <c r="G1319" s="30">
        <f t="shared" si="267"/>
        <v>979.81549415951827</v>
      </c>
      <c r="H1319" s="38">
        <f t="shared" si="262"/>
        <v>205</v>
      </c>
      <c r="I1319" s="39">
        <f t="shared" si="263"/>
        <v>205.28952772073922</v>
      </c>
      <c r="J1319" s="40">
        <f t="shared" si="264"/>
        <v>110</v>
      </c>
      <c r="K1319" s="43">
        <f>VLOOKUP(J1319,Data!$Z$3:$AA$122,2)</f>
        <v>0</v>
      </c>
      <c r="L1319" s="41">
        <f t="shared" si="265"/>
        <v>0.28952772073921551</v>
      </c>
      <c r="M1319" s="43">
        <f>VLOOKUP(H1319,Data!$P$3:$X$122,9)</f>
        <v>0</v>
      </c>
      <c r="N1319" s="43">
        <f t="shared" si="268"/>
        <v>0</v>
      </c>
      <c r="O1319" s="43">
        <f t="shared" si="269"/>
        <v>0</v>
      </c>
      <c r="P1319" s="30">
        <f t="shared" si="270"/>
        <v>0</v>
      </c>
      <c r="Q1319" s="31">
        <f t="shared" si="272"/>
        <v>848340.75061972369</v>
      </c>
    </row>
    <row r="1320" spans="1:17" x14ac:dyDescent="0.25">
      <c r="A1320" s="6">
        <f t="shared" si="271"/>
        <v>83367</v>
      </c>
      <c r="B1320" s="30">
        <f>IFERROR(VLOOKUP(A1320, Data!$L$3:$N$123, 3),1)*Pension</f>
        <v>4578404.8061114214</v>
      </c>
      <c r="C1320" s="37">
        <f t="shared" si="260"/>
        <v>109.74948665297741</v>
      </c>
      <c r="D1320" s="37">
        <f>IFERROR(VLOOKUP(A1320,Data!$I$3:$J$1442,2),0)</f>
        <v>7.7242921000000006E-2</v>
      </c>
      <c r="E1320" s="37">
        <f t="shared" si="261"/>
        <v>7.7042921E-2</v>
      </c>
      <c r="F1320" s="37">
        <f t="shared" si="266"/>
        <v>2.1274399213437435E-4</v>
      </c>
      <c r="G1320" s="30">
        <f t="shared" si="267"/>
        <v>974.02811605934994</v>
      </c>
      <c r="H1320" s="38">
        <f t="shared" si="262"/>
        <v>205</v>
      </c>
      <c r="I1320" s="39">
        <f t="shared" si="263"/>
        <v>205.37440109514031</v>
      </c>
      <c r="J1320" s="40">
        <f t="shared" si="264"/>
        <v>110</v>
      </c>
      <c r="K1320" s="43">
        <f>VLOOKUP(J1320,Data!$Z$3:$AA$122,2)</f>
        <v>0</v>
      </c>
      <c r="L1320" s="41">
        <f t="shared" si="265"/>
        <v>0.37440109514031406</v>
      </c>
      <c r="M1320" s="43">
        <f>VLOOKUP(H1320,Data!$P$3:$X$122,9)</f>
        <v>0</v>
      </c>
      <c r="N1320" s="43">
        <f t="shared" si="268"/>
        <v>0</v>
      </c>
      <c r="O1320" s="43">
        <f t="shared" si="269"/>
        <v>0</v>
      </c>
      <c r="P1320" s="30">
        <f t="shared" si="270"/>
        <v>0</v>
      </c>
      <c r="Q1320" s="31">
        <f t="shared" si="272"/>
        <v>848340.75061972369</v>
      </c>
    </row>
    <row r="1321" spans="1:17" x14ac:dyDescent="0.25">
      <c r="A1321" s="6">
        <f t="shared" si="271"/>
        <v>83397</v>
      </c>
      <c r="B1321" s="30">
        <f>IFERROR(VLOOKUP(A1321, Data!$L$3:$N$123, 3),1)*Pension</f>
        <v>4578404.8061114214</v>
      </c>
      <c r="C1321" s="37">
        <f t="shared" si="260"/>
        <v>109.83162217659138</v>
      </c>
      <c r="D1321" s="37">
        <f>IFERROR(VLOOKUP(A1321,Data!$I$3:$J$1442,2),0)</f>
        <v>7.7237504999999998E-2</v>
      </c>
      <c r="E1321" s="37">
        <f t="shared" si="261"/>
        <v>7.7037504999999992E-2</v>
      </c>
      <c r="F1321" s="37">
        <f t="shared" si="266"/>
        <v>2.1152779649880201E-4</v>
      </c>
      <c r="G1321" s="30">
        <f t="shared" si="267"/>
        <v>968.45988011627378</v>
      </c>
      <c r="H1321" s="38">
        <f t="shared" si="262"/>
        <v>205</v>
      </c>
      <c r="I1321" s="39">
        <f t="shared" si="263"/>
        <v>205.45653661875428</v>
      </c>
      <c r="J1321" s="40">
        <f t="shared" si="264"/>
        <v>110</v>
      </c>
      <c r="K1321" s="43">
        <f>VLOOKUP(J1321,Data!$Z$3:$AA$122,2)</f>
        <v>0</v>
      </c>
      <c r="L1321" s="41">
        <f t="shared" si="265"/>
        <v>0.45653661875428497</v>
      </c>
      <c r="M1321" s="43">
        <f>VLOOKUP(H1321,Data!$P$3:$X$122,9)</f>
        <v>0</v>
      </c>
      <c r="N1321" s="43">
        <f t="shared" si="268"/>
        <v>0</v>
      </c>
      <c r="O1321" s="43">
        <f t="shared" si="269"/>
        <v>0</v>
      </c>
      <c r="P1321" s="30">
        <f t="shared" si="270"/>
        <v>0</v>
      </c>
      <c r="Q1321" s="31">
        <f t="shared" si="272"/>
        <v>848340.75061972369</v>
      </c>
    </row>
    <row r="1322" spans="1:17" x14ac:dyDescent="0.25">
      <c r="A1322" s="6">
        <f t="shared" si="271"/>
        <v>83428</v>
      </c>
      <c r="B1322" s="30">
        <f>IFERROR(VLOOKUP(A1322, Data!$L$3:$N$123, 3),1)*Pension</f>
        <v>4578404.8061114214</v>
      </c>
      <c r="C1322" s="37">
        <f t="shared" si="260"/>
        <v>109.91649555099247</v>
      </c>
      <c r="D1322" s="37">
        <f>IFERROR(VLOOKUP(A1322,Data!$I$3:$J$1442,2),0)</f>
        <v>7.7231916999999997E-2</v>
      </c>
      <c r="E1322" s="37">
        <f t="shared" si="261"/>
        <v>7.7031916999999991E-2</v>
      </c>
      <c r="F1322" s="37">
        <f t="shared" si="266"/>
        <v>2.1027836398551013E-4</v>
      </c>
      <c r="G1322" s="30">
        <f t="shared" si="267"/>
        <v>962.73947229250643</v>
      </c>
      <c r="H1322" s="38">
        <f t="shared" si="262"/>
        <v>205</v>
      </c>
      <c r="I1322" s="39">
        <f t="shared" si="263"/>
        <v>205.54140999315538</v>
      </c>
      <c r="J1322" s="40">
        <f t="shared" si="264"/>
        <v>110</v>
      </c>
      <c r="K1322" s="43">
        <f>VLOOKUP(J1322,Data!$Z$3:$AA$122,2)</f>
        <v>0</v>
      </c>
      <c r="L1322" s="41">
        <f t="shared" si="265"/>
        <v>0.54140999315538352</v>
      </c>
      <c r="M1322" s="43">
        <f>VLOOKUP(H1322,Data!$P$3:$X$122,9)</f>
        <v>0</v>
      </c>
      <c r="N1322" s="43">
        <f t="shared" si="268"/>
        <v>0</v>
      </c>
      <c r="O1322" s="43">
        <f t="shared" si="269"/>
        <v>0</v>
      </c>
      <c r="P1322" s="30">
        <f t="shared" si="270"/>
        <v>0</v>
      </c>
      <c r="Q1322" s="31">
        <f t="shared" si="272"/>
        <v>848340.75061972369</v>
      </c>
    </row>
    <row r="1323" spans="1:17" x14ac:dyDescent="0.25">
      <c r="A1323" s="6">
        <f t="shared" si="271"/>
        <v>83458</v>
      </c>
      <c r="B1323" s="30">
        <f>IFERROR(VLOOKUP(A1323, Data!$L$3:$N$123, 3),1)*Pension</f>
        <v>4578404.8061114214</v>
      </c>
      <c r="C1323" s="37">
        <f t="shared" si="260"/>
        <v>109.99863107460644</v>
      </c>
      <c r="D1323" s="37">
        <f>IFERROR(VLOOKUP(A1323,Data!$I$3:$J$1442,2),0)</f>
        <v>7.7226516999999995E-2</v>
      </c>
      <c r="E1323" s="37">
        <f t="shared" si="261"/>
        <v>7.7026516999999989E-2</v>
      </c>
      <c r="F1323" s="37">
        <f t="shared" si="266"/>
        <v>2.0907627374142204E-4</v>
      </c>
      <c r="G1323" s="30">
        <f t="shared" si="267"/>
        <v>957.23581654159386</v>
      </c>
      <c r="H1323" s="38">
        <f t="shared" si="262"/>
        <v>205</v>
      </c>
      <c r="I1323" s="39">
        <f t="shared" si="263"/>
        <v>205.62354551676933</v>
      </c>
      <c r="J1323" s="40">
        <f t="shared" si="264"/>
        <v>110</v>
      </c>
      <c r="K1323" s="43">
        <f>VLOOKUP(J1323,Data!$Z$3:$AA$122,2)</f>
        <v>0</v>
      </c>
      <c r="L1323" s="41">
        <f t="shared" si="265"/>
        <v>0.62354551676932601</v>
      </c>
      <c r="M1323" s="43">
        <f>VLOOKUP(H1323,Data!$P$3:$X$122,9)</f>
        <v>0</v>
      </c>
      <c r="N1323" s="43">
        <f t="shared" si="268"/>
        <v>0</v>
      </c>
      <c r="O1323" s="43">
        <f t="shared" si="269"/>
        <v>0</v>
      </c>
      <c r="P1323" s="30">
        <f t="shared" si="270"/>
        <v>0</v>
      </c>
      <c r="Q1323" s="31">
        <f t="shared" si="272"/>
        <v>848340.75061972369</v>
      </c>
    </row>
    <row r="1324" spans="1:17" x14ac:dyDescent="0.25">
      <c r="A1324" s="6">
        <f t="shared" si="271"/>
        <v>83489</v>
      </c>
      <c r="B1324" s="30">
        <f>IFERROR(VLOOKUP(A1324, Data!$L$3:$N$123, 3),1)*Pension</f>
        <v>4578404.8061114214</v>
      </c>
      <c r="C1324" s="37">
        <f t="shared" si="260"/>
        <v>110.08350444900753</v>
      </c>
      <c r="D1324" s="37">
        <f>IFERROR(VLOOKUP(A1324,Data!$I$3:$J$1442,2),0)</f>
        <v>7.7220944999999999E-2</v>
      </c>
      <c r="E1324" s="37">
        <f t="shared" si="261"/>
        <v>7.7020944999999993E-2</v>
      </c>
      <c r="F1324" s="37">
        <f t="shared" si="266"/>
        <v>2.0784134337147267E-4</v>
      </c>
      <c r="G1324" s="30">
        <f t="shared" si="267"/>
        <v>951.58180540060471</v>
      </c>
      <c r="H1324" s="38">
        <f t="shared" si="262"/>
        <v>205</v>
      </c>
      <c r="I1324" s="39">
        <f t="shared" si="263"/>
        <v>205.70841889117042</v>
      </c>
      <c r="J1324" s="40">
        <f t="shared" si="264"/>
        <v>110</v>
      </c>
      <c r="K1324" s="43">
        <f>VLOOKUP(J1324,Data!$Z$3:$AA$122,2)</f>
        <v>0</v>
      </c>
      <c r="L1324" s="41">
        <f t="shared" si="265"/>
        <v>0.70841889117042456</v>
      </c>
      <c r="M1324" s="43">
        <f>VLOOKUP(H1324,Data!$P$3:$X$122,9)</f>
        <v>0</v>
      </c>
      <c r="N1324" s="43">
        <f t="shared" si="268"/>
        <v>0</v>
      </c>
      <c r="O1324" s="43">
        <f t="shared" si="269"/>
        <v>0</v>
      </c>
      <c r="P1324" s="30">
        <f t="shared" si="270"/>
        <v>0</v>
      </c>
      <c r="Q1324" s="31">
        <f t="shared" si="272"/>
        <v>848340.75061972369</v>
      </c>
    </row>
    <row r="1325" spans="1:17" x14ac:dyDescent="0.25">
      <c r="A1325" s="6">
        <f t="shared" si="271"/>
        <v>83520</v>
      </c>
      <c r="B1325" s="30">
        <f>IFERROR(VLOOKUP(A1325, Data!$L$3:$N$123, 3),1)*Pension</f>
        <v>4578404.8061114214</v>
      </c>
      <c r="C1325" s="37">
        <f t="shared" si="260"/>
        <v>110.16837782340862</v>
      </c>
      <c r="D1325" s="37">
        <f>IFERROR(VLOOKUP(A1325,Data!$I$3:$J$1442,2),0)</f>
        <v>7.7215381999999999E-2</v>
      </c>
      <c r="E1325" s="37">
        <f t="shared" si="261"/>
        <v>7.7015381999999993E-2</v>
      </c>
      <c r="F1325" s="37">
        <f t="shared" si="266"/>
        <v>2.0661369780445286E-4</v>
      </c>
      <c r="G1325" s="30">
        <f t="shared" si="267"/>
        <v>945.96114703635988</v>
      </c>
      <c r="H1325" s="38">
        <f t="shared" si="262"/>
        <v>205</v>
      </c>
      <c r="I1325" s="39">
        <f t="shared" si="263"/>
        <v>205.79329226557152</v>
      </c>
      <c r="J1325" s="40">
        <f t="shared" si="264"/>
        <v>110</v>
      </c>
      <c r="K1325" s="43">
        <f>VLOOKUP(J1325,Data!$Z$3:$AA$122,2)</f>
        <v>0</v>
      </c>
      <c r="L1325" s="41">
        <f t="shared" si="265"/>
        <v>0.7932922655715231</v>
      </c>
      <c r="M1325" s="43">
        <f>VLOOKUP(H1325,Data!$P$3:$X$122,9)</f>
        <v>0</v>
      </c>
      <c r="N1325" s="43">
        <f t="shared" si="268"/>
        <v>0</v>
      </c>
      <c r="O1325" s="43">
        <f t="shared" si="269"/>
        <v>0</v>
      </c>
      <c r="P1325" s="30">
        <f t="shared" si="270"/>
        <v>0</v>
      </c>
      <c r="Q1325" s="31">
        <f t="shared" si="272"/>
        <v>848340.75061972369</v>
      </c>
    </row>
    <row r="1326" spans="1:17" x14ac:dyDescent="0.25">
      <c r="A1326" s="6">
        <f t="shared" si="271"/>
        <v>83550</v>
      </c>
      <c r="B1326" s="30">
        <f>IFERROR(VLOOKUP(A1326, Data!$L$3:$N$123, 3),1)*Pension</f>
        <v>4578404.8061114214</v>
      </c>
      <c r="C1326" s="37">
        <f t="shared" si="260"/>
        <v>110.25051334702259</v>
      </c>
      <c r="D1326" s="37">
        <f>IFERROR(VLOOKUP(A1326,Data!$I$3:$J$1442,2),0)</f>
        <v>7.7210006999999997E-2</v>
      </c>
      <c r="E1326" s="37">
        <f t="shared" si="261"/>
        <v>7.7010006999999991E-2</v>
      </c>
      <c r="F1326" s="37">
        <f t="shared" si="266"/>
        <v>2.0543254941281214E-4</v>
      </c>
      <c r="G1326" s="30">
        <f t="shared" si="267"/>
        <v>940.55337156334122</v>
      </c>
      <c r="H1326" s="38">
        <f t="shared" si="262"/>
        <v>205</v>
      </c>
      <c r="I1326" s="39">
        <f t="shared" si="263"/>
        <v>205.87542778918549</v>
      </c>
      <c r="J1326" s="40">
        <f t="shared" si="264"/>
        <v>110</v>
      </c>
      <c r="K1326" s="43">
        <f>VLOOKUP(J1326,Data!$Z$3:$AA$122,2)</f>
        <v>0</v>
      </c>
      <c r="L1326" s="41">
        <f t="shared" si="265"/>
        <v>0.87542778918549402</v>
      </c>
      <c r="M1326" s="43">
        <f>VLOOKUP(H1326,Data!$P$3:$X$122,9)</f>
        <v>0</v>
      </c>
      <c r="N1326" s="43">
        <f t="shared" si="268"/>
        <v>0</v>
      </c>
      <c r="O1326" s="43">
        <f t="shared" si="269"/>
        <v>0</v>
      </c>
      <c r="P1326" s="30">
        <f t="shared" si="270"/>
        <v>0</v>
      </c>
      <c r="Q1326" s="31">
        <f t="shared" si="272"/>
        <v>848340.75061972369</v>
      </c>
    </row>
    <row r="1327" spans="1:17" x14ac:dyDescent="0.25">
      <c r="A1327" s="6">
        <f t="shared" si="271"/>
        <v>83581</v>
      </c>
      <c r="B1327" s="30">
        <f>IFERROR(VLOOKUP(A1327, Data!$L$3:$N$123, 3),1)*Pension</f>
        <v>4578404.8061114214</v>
      </c>
      <c r="C1327" s="37">
        <f t="shared" si="260"/>
        <v>110.33538672142369</v>
      </c>
      <c r="D1327" s="37">
        <f>IFERROR(VLOOKUP(A1327,Data!$I$3:$J$1442,2),0)</f>
        <v>7.7204461000000002E-2</v>
      </c>
      <c r="E1327" s="37">
        <f t="shared" si="261"/>
        <v>7.7004460999999996E-2</v>
      </c>
      <c r="F1327" s="37">
        <f t="shared" si="266"/>
        <v>2.0421912800841691E-4</v>
      </c>
      <c r="G1327" s="30">
        <f t="shared" si="267"/>
        <v>934.99783717361959</v>
      </c>
      <c r="H1327" s="38">
        <f t="shared" si="262"/>
        <v>205</v>
      </c>
      <c r="I1327" s="39">
        <f t="shared" si="263"/>
        <v>205.96030116358659</v>
      </c>
      <c r="J1327" s="40">
        <f t="shared" si="264"/>
        <v>110</v>
      </c>
      <c r="K1327" s="43">
        <f>VLOOKUP(J1327,Data!$Z$3:$AA$122,2)</f>
        <v>0</v>
      </c>
      <c r="L1327" s="41">
        <f t="shared" si="265"/>
        <v>0.96030116358659257</v>
      </c>
      <c r="M1327" s="43">
        <f>VLOOKUP(H1327,Data!$P$3:$X$122,9)</f>
        <v>0</v>
      </c>
      <c r="N1327" s="43">
        <f t="shared" si="268"/>
        <v>0</v>
      </c>
      <c r="O1327" s="43">
        <f t="shared" si="269"/>
        <v>0</v>
      </c>
      <c r="P1327" s="30">
        <f t="shared" si="270"/>
        <v>0</v>
      </c>
      <c r="Q1327" s="31">
        <f t="shared" si="272"/>
        <v>848340.75061972369</v>
      </c>
    </row>
    <row r="1328" spans="1:17" x14ac:dyDescent="0.25">
      <c r="A1328" s="6">
        <f t="shared" si="271"/>
        <v>83611</v>
      </c>
      <c r="B1328" s="30">
        <f>IFERROR(VLOOKUP(A1328, Data!$L$3:$N$123, 3),1)*Pension</f>
        <v>4578404.8061114214</v>
      </c>
      <c r="C1328" s="37">
        <f t="shared" si="260"/>
        <v>110.41752224503765</v>
      </c>
      <c r="D1328" s="37">
        <f>IFERROR(VLOOKUP(A1328,Data!$I$3:$J$1442,2),0)</f>
        <v>7.7199102000000006E-2</v>
      </c>
      <c r="E1328" s="37">
        <f t="shared" si="261"/>
        <v>7.6999102E-2</v>
      </c>
      <c r="F1328" s="37">
        <f t="shared" si="266"/>
        <v>2.0305167433670414E-4</v>
      </c>
      <c r="G1328" s="30">
        <f t="shared" si="267"/>
        <v>929.65276167213744</v>
      </c>
      <c r="H1328" s="38">
        <f t="shared" si="262"/>
        <v>206</v>
      </c>
      <c r="I1328" s="39">
        <f t="shared" si="263"/>
        <v>206.04243668720054</v>
      </c>
      <c r="J1328" s="40">
        <f t="shared" si="264"/>
        <v>111</v>
      </c>
      <c r="K1328" s="43">
        <f>VLOOKUP(J1328,Data!$Z$3:$AA$122,2)</f>
        <v>0</v>
      </c>
      <c r="L1328" s="41">
        <f t="shared" si="265"/>
        <v>4.2436687200535061E-2</v>
      </c>
      <c r="M1328" s="43">
        <f>VLOOKUP(H1328,Data!$P$3:$X$122,9)</f>
        <v>0</v>
      </c>
      <c r="N1328" s="43">
        <f t="shared" si="268"/>
        <v>0</v>
      </c>
      <c r="O1328" s="43">
        <f t="shared" si="269"/>
        <v>0</v>
      </c>
      <c r="P1328" s="30">
        <f t="shared" si="270"/>
        <v>0</v>
      </c>
      <c r="Q1328" s="31">
        <f t="shared" si="272"/>
        <v>848340.75061972369</v>
      </c>
    </row>
    <row r="1329" spans="1:17" x14ac:dyDescent="0.25">
      <c r="A1329" s="6">
        <f t="shared" si="271"/>
        <v>83642</v>
      </c>
      <c r="B1329" s="30">
        <f>IFERROR(VLOOKUP(A1329, Data!$L$3:$N$123, 3),1)*Pension</f>
        <v>4807325.0464169942</v>
      </c>
      <c r="C1329" s="37">
        <f t="shared" si="260"/>
        <v>110.50239561943874</v>
      </c>
      <c r="D1329" s="37">
        <f>IFERROR(VLOOKUP(A1329,Data!$I$3:$J$1442,2),0)</f>
        <v>7.7193573000000001E-2</v>
      </c>
      <c r="E1329" s="37">
        <f t="shared" si="261"/>
        <v>7.6993572999999996E-2</v>
      </c>
      <c r="F1329" s="37">
        <f t="shared" si="266"/>
        <v>2.018523105629625E-4</v>
      </c>
      <c r="G1329" s="30">
        <f t="shared" si="267"/>
        <v>970.36966824647129</v>
      </c>
      <c r="H1329" s="38">
        <f t="shared" si="262"/>
        <v>206</v>
      </c>
      <c r="I1329" s="39">
        <f t="shared" si="263"/>
        <v>206.12731006160163</v>
      </c>
      <c r="J1329" s="40">
        <f t="shared" si="264"/>
        <v>111</v>
      </c>
      <c r="K1329" s="43">
        <f>VLOOKUP(J1329,Data!$Z$3:$AA$122,2)</f>
        <v>0</v>
      </c>
      <c r="L1329" s="41">
        <f t="shared" si="265"/>
        <v>0.12731006160163361</v>
      </c>
      <c r="M1329" s="43">
        <f>VLOOKUP(H1329,Data!$P$3:$X$122,9)</f>
        <v>0</v>
      </c>
      <c r="N1329" s="43">
        <f t="shared" si="268"/>
        <v>0</v>
      </c>
      <c r="O1329" s="43">
        <f t="shared" si="269"/>
        <v>0</v>
      </c>
      <c r="P1329" s="30">
        <f t="shared" si="270"/>
        <v>0</v>
      </c>
      <c r="Q1329" s="31">
        <f t="shared" si="272"/>
        <v>848340.75061972369</v>
      </c>
    </row>
    <row r="1330" spans="1:17" x14ac:dyDescent="0.25">
      <c r="A1330" s="6">
        <f t="shared" si="271"/>
        <v>83673</v>
      </c>
      <c r="B1330" s="30">
        <f>IFERROR(VLOOKUP(A1330, Data!$L$3:$N$123, 3),1)*Pension</f>
        <v>4807325.0464169942</v>
      </c>
      <c r="C1330" s="37">
        <f t="shared" si="260"/>
        <v>110.58726899383984</v>
      </c>
      <c r="D1330" s="37">
        <f>IFERROR(VLOOKUP(A1330,Data!$I$3:$J$1442,2),0)</f>
        <v>7.7188051999999993E-2</v>
      </c>
      <c r="E1330" s="37">
        <f t="shared" si="261"/>
        <v>7.6988051999999987E-2</v>
      </c>
      <c r="F1330" s="37">
        <f t="shared" si="266"/>
        <v>2.0066004186391679E-4</v>
      </c>
      <c r="G1330" s="30">
        <f t="shared" si="267"/>
        <v>964.63804506748977</v>
      </c>
      <c r="H1330" s="38">
        <f t="shared" si="262"/>
        <v>206</v>
      </c>
      <c r="I1330" s="39">
        <f t="shared" si="263"/>
        <v>206.21218343600273</v>
      </c>
      <c r="J1330" s="40">
        <f t="shared" si="264"/>
        <v>111</v>
      </c>
      <c r="K1330" s="43">
        <f>VLOOKUP(J1330,Data!$Z$3:$AA$122,2)</f>
        <v>0</v>
      </c>
      <c r="L1330" s="41">
        <f t="shared" si="265"/>
        <v>0.21218343600273215</v>
      </c>
      <c r="M1330" s="43">
        <f>VLOOKUP(H1330,Data!$P$3:$X$122,9)</f>
        <v>0</v>
      </c>
      <c r="N1330" s="43">
        <f t="shared" si="268"/>
        <v>0</v>
      </c>
      <c r="O1330" s="43">
        <f t="shared" si="269"/>
        <v>0</v>
      </c>
      <c r="P1330" s="30">
        <f t="shared" si="270"/>
        <v>0</v>
      </c>
      <c r="Q1330" s="31">
        <f t="shared" si="272"/>
        <v>848340.75061972369</v>
      </c>
    </row>
    <row r="1331" spans="1:17" x14ac:dyDescent="0.25">
      <c r="A1331" s="6">
        <f t="shared" si="271"/>
        <v>83701</v>
      </c>
      <c r="B1331" s="30">
        <f>IFERROR(VLOOKUP(A1331, Data!$L$3:$N$123, 3),1)*Pension</f>
        <v>4807325.0464169942</v>
      </c>
      <c r="C1331" s="37">
        <f t="shared" si="260"/>
        <v>110.66392881587953</v>
      </c>
      <c r="D1331" s="37">
        <f>IFERROR(VLOOKUP(A1331,Data!$I$3:$J$1442,2),0)</f>
        <v>7.7183073000000005E-2</v>
      </c>
      <c r="E1331" s="37">
        <f t="shared" si="261"/>
        <v>7.6983072999999999E-2</v>
      </c>
      <c r="F1331" s="37">
        <f t="shared" si="266"/>
        <v>1.9958919865628352E-4</v>
      </c>
      <c r="G1331" s="30">
        <f t="shared" si="267"/>
        <v>959.49015369464882</v>
      </c>
      <c r="H1331" s="38">
        <f t="shared" si="262"/>
        <v>206</v>
      </c>
      <c r="I1331" s="39">
        <f t="shared" si="263"/>
        <v>206.28884325804245</v>
      </c>
      <c r="J1331" s="40">
        <f t="shared" si="264"/>
        <v>111</v>
      </c>
      <c r="K1331" s="43">
        <f>VLOOKUP(J1331,Data!$Z$3:$AA$122,2)</f>
        <v>0</v>
      </c>
      <c r="L1331" s="41">
        <f t="shared" si="265"/>
        <v>0.28884325804244781</v>
      </c>
      <c r="M1331" s="43">
        <f>VLOOKUP(H1331,Data!$P$3:$X$122,9)</f>
        <v>0</v>
      </c>
      <c r="N1331" s="43">
        <f t="shared" si="268"/>
        <v>0</v>
      </c>
      <c r="O1331" s="43">
        <f t="shared" si="269"/>
        <v>0</v>
      </c>
      <c r="P1331" s="30">
        <f t="shared" si="270"/>
        <v>0</v>
      </c>
      <c r="Q1331" s="31">
        <f t="shared" si="272"/>
        <v>848340.75061972369</v>
      </c>
    </row>
    <row r="1332" spans="1:17" x14ac:dyDescent="0.25">
      <c r="A1332" s="6">
        <f t="shared" si="271"/>
        <v>83732</v>
      </c>
      <c r="B1332" s="30">
        <f>IFERROR(VLOOKUP(A1332, Data!$L$3:$N$123, 3),1)*Pension</f>
        <v>4807325.0464169942</v>
      </c>
      <c r="C1332" s="37">
        <f t="shared" si="260"/>
        <v>110.74880219028063</v>
      </c>
      <c r="D1332" s="37">
        <f>IFERROR(VLOOKUP(A1332,Data!$I$3:$J$1442,2),0)</f>
        <v>7.7177568000000002E-2</v>
      </c>
      <c r="E1332" s="37">
        <f t="shared" si="261"/>
        <v>7.6977567999999996E-2</v>
      </c>
      <c r="F1332" s="37">
        <f t="shared" si="266"/>
        <v>1.9841029952730698E-4</v>
      </c>
      <c r="G1332" s="30">
        <f t="shared" si="267"/>
        <v>953.82280238472072</v>
      </c>
      <c r="H1332" s="38">
        <f t="shared" si="262"/>
        <v>206</v>
      </c>
      <c r="I1332" s="39">
        <f t="shared" si="263"/>
        <v>206.37371663244352</v>
      </c>
      <c r="J1332" s="40">
        <f t="shared" si="264"/>
        <v>111</v>
      </c>
      <c r="K1332" s="43">
        <f>VLOOKUP(J1332,Data!$Z$3:$AA$122,2)</f>
        <v>0</v>
      </c>
      <c r="L1332" s="41">
        <f t="shared" si="265"/>
        <v>0.37371663244351794</v>
      </c>
      <c r="M1332" s="43">
        <f>VLOOKUP(H1332,Data!$P$3:$X$122,9)</f>
        <v>0</v>
      </c>
      <c r="N1332" s="43">
        <f t="shared" si="268"/>
        <v>0</v>
      </c>
      <c r="O1332" s="43">
        <f t="shared" si="269"/>
        <v>0</v>
      </c>
      <c r="P1332" s="30">
        <f t="shared" si="270"/>
        <v>0</v>
      </c>
      <c r="Q1332" s="31">
        <f t="shared" si="272"/>
        <v>848340.75061972369</v>
      </c>
    </row>
    <row r="1333" spans="1:17" x14ac:dyDescent="0.25">
      <c r="A1333" s="6">
        <f t="shared" si="271"/>
        <v>83762</v>
      </c>
      <c r="B1333" s="30">
        <f>IFERROR(VLOOKUP(A1333, Data!$L$3:$N$123, 3),1)*Pension</f>
        <v>4807325.0464169942</v>
      </c>
      <c r="C1333" s="37">
        <f t="shared" si="260"/>
        <v>110.8309377138946</v>
      </c>
      <c r="D1333" s="37">
        <f>IFERROR(VLOOKUP(A1333,Data!$I$3:$J$1442,2),0)</f>
        <v>7.7172248999999998E-2</v>
      </c>
      <c r="E1333" s="37">
        <f t="shared" si="261"/>
        <v>7.6972248999999993E-2</v>
      </c>
      <c r="F1333" s="37">
        <f t="shared" si="266"/>
        <v>1.9727605126939823E-4</v>
      </c>
      <c r="G1333" s="30">
        <f t="shared" si="267"/>
        <v>948.37010232562113</v>
      </c>
      <c r="H1333" s="38">
        <f t="shared" si="262"/>
        <v>206</v>
      </c>
      <c r="I1333" s="39">
        <f t="shared" si="263"/>
        <v>206.45585215605749</v>
      </c>
      <c r="J1333" s="40">
        <f t="shared" si="264"/>
        <v>111</v>
      </c>
      <c r="K1333" s="43">
        <f>VLOOKUP(J1333,Data!$Z$3:$AA$122,2)</f>
        <v>0</v>
      </c>
      <c r="L1333" s="41">
        <f t="shared" si="265"/>
        <v>0.45585215605748886</v>
      </c>
      <c r="M1333" s="43">
        <f>VLOOKUP(H1333,Data!$P$3:$X$122,9)</f>
        <v>0</v>
      </c>
      <c r="N1333" s="43">
        <f t="shared" si="268"/>
        <v>0</v>
      </c>
      <c r="O1333" s="43">
        <f t="shared" si="269"/>
        <v>0</v>
      </c>
      <c r="P1333" s="30">
        <f t="shared" si="270"/>
        <v>0</v>
      </c>
      <c r="Q1333" s="31">
        <f t="shared" si="272"/>
        <v>848340.75061972369</v>
      </c>
    </row>
    <row r="1334" spans="1:17" x14ac:dyDescent="0.25">
      <c r="A1334" s="6">
        <f t="shared" si="271"/>
        <v>83793</v>
      </c>
      <c r="B1334" s="30">
        <f>IFERROR(VLOOKUP(A1334, Data!$L$3:$N$123, 3),1)*Pension</f>
        <v>4807325.0464169942</v>
      </c>
      <c r="C1334" s="37">
        <f t="shared" si="260"/>
        <v>110.91581108829568</v>
      </c>
      <c r="D1334" s="37">
        <f>IFERROR(VLOOKUP(A1334,Data!$I$3:$J$1442,2),0)</f>
        <v>7.7166761E-2</v>
      </c>
      <c r="E1334" s="37">
        <f t="shared" si="261"/>
        <v>7.6966760999999995E-2</v>
      </c>
      <c r="F1334" s="37">
        <f t="shared" si="266"/>
        <v>1.9611080572302673E-4</v>
      </c>
      <c r="G1334" s="30">
        <f t="shared" si="267"/>
        <v>942.76838822532363</v>
      </c>
      <c r="H1334" s="38">
        <f t="shared" si="262"/>
        <v>206</v>
      </c>
      <c r="I1334" s="39">
        <f t="shared" si="263"/>
        <v>206.54072553045859</v>
      </c>
      <c r="J1334" s="40">
        <f t="shared" si="264"/>
        <v>111</v>
      </c>
      <c r="K1334" s="43">
        <f>VLOOKUP(J1334,Data!$Z$3:$AA$122,2)</f>
        <v>0</v>
      </c>
      <c r="L1334" s="41">
        <f t="shared" si="265"/>
        <v>0.5407255304585874</v>
      </c>
      <c r="M1334" s="43">
        <f>VLOOKUP(H1334,Data!$P$3:$X$122,9)</f>
        <v>0</v>
      </c>
      <c r="N1334" s="43">
        <f t="shared" si="268"/>
        <v>0</v>
      </c>
      <c r="O1334" s="43">
        <f t="shared" si="269"/>
        <v>0</v>
      </c>
      <c r="P1334" s="30">
        <f t="shared" si="270"/>
        <v>0</v>
      </c>
      <c r="Q1334" s="31">
        <f t="shared" si="272"/>
        <v>848340.75061972369</v>
      </c>
    </row>
    <row r="1335" spans="1:17" x14ac:dyDescent="0.25">
      <c r="A1335" s="6">
        <f t="shared" si="271"/>
        <v>83823</v>
      </c>
      <c r="B1335" s="30">
        <f>IFERROR(VLOOKUP(A1335, Data!$L$3:$N$123, 3),1)*Pension</f>
        <v>4807325.0464169942</v>
      </c>
      <c r="C1335" s="37">
        <f t="shared" si="260"/>
        <v>110.99794661190965</v>
      </c>
      <c r="D1335" s="37">
        <f>IFERROR(VLOOKUP(A1335,Data!$I$3:$J$1442,2),0)</f>
        <v>7.7161458000000002E-2</v>
      </c>
      <c r="E1335" s="37">
        <f t="shared" si="261"/>
        <v>7.6961457999999996E-2</v>
      </c>
      <c r="F1335" s="37">
        <f t="shared" si="266"/>
        <v>1.9498970293453134E-4</v>
      </c>
      <c r="G1335" s="30">
        <f t="shared" si="267"/>
        <v>937.37888271058182</v>
      </c>
      <c r="H1335" s="38">
        <f t="shared" si="262"/>
        <v>206</v>
      </c>
      <c r="I1335" s="39">
        <f t="shared" si="263"/>
        <v>206.62286105407256</v>
      </c>
      <c r="J1335" s="40">
        <f t="shared" si="264"/>
        <v>111</v>
      </c>
      <c r="K1335" s="43">
        <f>VLOOKUP(J1335,Data!$Z$3:$AA$122,2)</f>
        <v>0</v>
      </c>
      <c r="L1335" s="41">
        <f t="shared" si="265"/>
        <v>0.62286105407255832</v>
      </c>
      <c r="M1335" s="43">
        <f>VLOOKUP(H1335,Data!$P$3:$X$122,9)</f>
        <v>0</v>
      </c>
      <c r="N1335" s="43">
        <f t="shared" si="268"/>
        <v>0</v>
      </c>
      <c r="O1335" s="43">
        <f t="shared" si="269"/>
        <v>0</v>
      </c>
      <c r="P1335" s="30">
        <f t="shared" si="270"/>
        <v>0</v>
      </c>
      <c r="Q1335" s="31">
        <f t="shared" si="272"/>
        <v>848340.75061972369</v>
      </c>
    </row>
    <row r="1336" spans="1:17" x14ac:dyDescent="0.25">
      <c r="A1336" s="6">
        <f t="shared" si="271"/>
        <v>83854</v>
      </c>
      <c r="B1336" s="30">
        <f>IFERROR(VLOOKUP(A1336, Data!$L$3:$N$123, 3),1)*Pension</f>
        <v>4807325.0464169942</v>
      </c>
      <c r="C1336" s="37">
        <f t="shared" si="260"/>
        <v>111.08281998631075</v>
      </c>
      <c r="D1336" s="37">
        <f>IFERROR(VLOOKUP(A1336,Data!$I$3:$J$1442,2),0)</f>
        <v>7.7155985999999996E-2</v>
      </c>
      <c r="E1336" s="37">
        <f t="shared" si="261"/>
        <v>7.695598599999999E-2</v>
      </c>
      <c r="F1336" s="37">
        <f t="shared" si="266"/>
        <v>1.9383797278321786E-4</v>
      </c>
      <c r="G1336" s="30">
        <f t="shared" si="267"/>
        <v>931.8421415074589</v>
      </c>
      <c r="H1336" s="38">
        <f t="shared" si="262"/>
        <v>206</v>
      </c>
      <c r="I1336" s="39">
        <f t="shared" si="263"/>
        <v>206.70773442847366</v>
      </c>
      <c r="J1336" s="40">
        <f t="shared" si="264"/>
        <v>111</v>
      </c>
      <c r="K1336" s="43">
        <f>VLOOKUP(J1336,Data!$Z$3:$AA$122,2)</f>
        <v>0</v>
      </c>
      <c r="L1336" s="41">
        <f t="shared" si="265"/>
        <v>0.70773442847365686</v>
      </c>
      <c r="M1336" s="43">
        <f>VLOOKUP(H1336,Data!$P$3:$X$122,9)</f>
        <v>0</v>
      </c>
      <c r="N1336" s="43">
        <f t="shared" si="268"/>
        <v>0</v>
      </c>
      <c r="O1336" s="43">
        <f t="shared" si="269"/>
        <v>0</v>
      </c>
      <c r="P1336" s="30">
        <f t="shared" si="270"/>
        <v>0</v>
      </c>
      <c r="Q1336" s="31">
        <f t="shared" si="272"/>
        <v>848340.75061972369</v>
      </c>
    </row>
    <row r="1337" spans="1:17" x14ac:dyDescent="0.25">
      <c r="A1337" s="6">
        <f t="shared" si="271"/>
        <v>83885</v>
      </c>
      <c r="B1337" s="30">
        <f>IFERROR(VLOOKUP(A1337, Data!$L$3:$N$123, 3),1)*Pension</f>
        <v>4807325.0464169942</v>
      </c>
      <c r="C1337" s="37">
        <f t="shared" si="260"/>
        <v>111.16769336071184</v>
      </c>
      <c r="D1337" s="37">
        <f>IFERROR(VLOOKUP(A1337,Data!$I$3:$J$1442,2),0)</f>
        <v>7.7150522999999999E-2</v>
      </c>
      <c r="E1337" s="37">
        <f t="shared" si="261"/>
        <v>7.6950522999999993E-2</v>
      </c>
      <c r="F1337" s="37">
        <f t="shared" si="266"/>
        <v>1.9269303165725147E-4</v>
      </c>
      <c r="G1337" s="30">
        <f t="shared" si="267"/>
        <v>926.33803735592778</v>
      </c>
      <c r="H1337" s="38">
        <f t="shared" si="262"/>
        <v>206</v>
      </c>
      <c r="I1337" s="39">
        <f t="shared" si="263"/>
        <v>206.79260780287476</v>
      </c>
      <c r="J1337" s="40">
        <f t="shared" si="264"/>
        <v>111</v>
      </c>
      <c r="K1337" s="43">
        <f>VLOOKUP(J1337,Data!$Z$3:$AA$122,2)</f>
        <v>0</v>
      </c>
      <c r="L1337" s="41">
        <f t="shared" si="265"/>
        <v>0.79260780287475541</v>
      </c>
      <c r="M1337" s="43">
        <f>VLOOKUP(H1337,Data!$P$3:$X$122,9)</f>
        <v>0</v>
      </c>
      <c r="N1337" s="43">
        <f t="shared" si="268"/>
        <v>0</v>
      </c>
      <c r="O1337" s="43">
        <f t="shared" si="269"/>
        <v>0</v>
      </c>
      <c r="P1337" s="30">
        <f t="shared" si="270"/>
        <v>0</v>
      </c>
      <c r="Q1337" s="31">
        <f t="shared" si="272"/>
        <v>848340.75061972369</v>
      </c>
    </row>
    <row r="1338" spans="1:17" x14ac:dyDescent="0.25">
      <c r="A1338" s="6">
        <f t="shared" si="271"/>
        <v>83915</v>
      </c>
      <c r="B1338" s="30">
        <f>IFERROR(VLOOKUP(A1338, Data!$L$3:$N$123, 3),1)*Pension</f>
        <v>4807325.0464169942</v>
      </c>
      <c r="C1338" s="37">
        <f t="shared" si="260"/>
        <v>111.24982888432581</v>
      </c>
      <c r="D1338" s="37">
        <f>IFERROR(VLOOKUP(A1338,Data!$I$3:$J$1442,2),0)</f>
        <v>7.7145244000000002E-2</v>
      </c>
      <c r="E1338" s="37">
        <f t="shared" si="261"/>
        <v>7.6945243999999996E-2</v>
      </c>
      <c r="F1338" s="37">
        <f t="shared" si="266"/>
        <v>1.9159146708567156E-4</v>
      </c>
      <c r="G1338" s="30">
        <f t="shared" si="267"/>
        <v>921.0424584007261</v>
      </c>
      <c r="H1338" s="38">
        <f t="shared" si="262"/>
        <v>206</v>
      </c>
      <c r="I1338" s="39">
        <f t="shared" si="263"/>
        <v>206.8747433264887</v>
      </c>
      <c r="J1338" s="40">
        <f t="shared" si="264"/>
        <v>111</v>
      </c>
      <c r="K1338" s="43">
        <f>VLOOKUP(J1338,Data!$Z$3:$AA$122,2)</f>
        <v>0</v>
      </c>
      <c r="L1338" s="41">
        <f t="shared" si="265"/>
        <v>0.8747433264886979</v>
      </c>
      <c r="M1338" s="43">
        <f>VLOOKUP(H1338,Data!$P$3:$X$122,9)</f>
        <v>0</v>
      </c>
      <c r="N1338" s="43">
        <f t="shared" si="268"/>
        <v>0</v>
      </c>
      <c r="O1338" s="43">
        <f t="shared" si="269"/>
        <v>0</v>
      </c>
      <c r="P1338" s="30">
        <f t="shared" si="270"/>
        <v>0</v>
      </c>
      <c r="Q1338" s="31">
        <f t="shared" si="272"/>
        <v>848340.75061972369</v>
      </c>
    </row>
    <row r="1339" spans="1:17" x14ac:dyDescent="0.25">
      <c r="A1339" s="6">
        <f t="shared" si="271"/>
        <v>83946</v>
      </c>
      <c r="B1339" s="30">
        <f>IFERROR(VLOOKUP(A1339, Data!$L$3:$N$123, 3),1)*Pension</f>
        <v>4807325.0464169942</v>
      </c>
      <c r="C1339" s="37">
        <f t="shared" si="260"/>
        <v>111.33470225872689</v>
      </c>
      <c r="D1339" s="37">
        <f>IFERROR(VLOOKUP(A1339,Data!$I$3:$J$1442,2),0)</f>
        <v>7.7139796999999996E-2</v>
      </c>
      <c r="E1339" s="37">
        <f t="shared" si="261"/>
        <v>7.693979699999999E-2</v>
      </c>
      <c r="F1339" s="37">
        <f t="shared" si="266"/>
        <v>1.9045980351327781E-4</v>
      </c>
      <c r="G1339" s="30">
        <f t="shared" si="267"/>
        <v>915.60218376503985</v>
      </c>
      <c r="H1339" s="38">
        <f t="shared" si="262"/>
        <v>206</v>
      </c>
      <c r="I1339" s="39">
        <f t="shared" si="263"/>
        <v>206.9596167008898</v>
      </c>
      <c r="J1339" s="40">
        <f t="shared" si="264"/>
        <v>111</v>
      </c>
      <c r="K1339" s="43">
        <f>VLOOKUP(J1339,Data!$Z$3:$AA$122,2)</f>
        <v>0</v>
      </c>
      <c r="L1339" s="41">
        <f t="shared" si="265"/>
        <v>0.95961670088979645</v>
      </c>
      <c r="M1339" s="43">
        <f>VLOOKUP(H1339,Data!$P$3:$X$122,9)</f>
        <v>0</v>
      </c>
      <c r="N1339" s="43">
        <f t="shared" si="268"/>
        <v>0</v>
      </c>
      <c r="O1339" s="43">
        <f t="shared" si="269"/>
        <v>0</v>
      </c>
      <c r="P1339" s="30">
        <f t="shared" si="270"/>
        <v>0</v>
      </c>
      <c r="Q1339" s="31">
        <f t="shared" si="272"/>
        <v>848340.75061972369</v>
      </c>
    </row>
    <row r="1340" spans="1:17" x14ac:dyDescent="0.25">
      <c r="A1340" s="6">
        <f t="shared" si="271"/>
        <v>83976</v>
      </c>
      <c r="B1340" s="30">
        <f>IFERROR(VLOOKUP(A1340, Data!$L$3:$N$123, 3),1)*Pension</f>
        <v>4807325.0464169942</v>
      </c>
      <c r="C1340" s="37">
        <f t="shared" si="260"/>
        <v>111.41683778234086</v>
      </c>
      <c r="D1340" s="37">
        <f>IFERROR(VLOOKUP(A1340,Data!$I$3:$J$1442,2),0)</f>
        <v>7.7134534000000005E-2</v>
      </c>
      <c r="E1340" s="37">
        <f t="shared" si="261"/>
        <v>7.6934533999999999E-2</v>
      </c>
      <c r="F1340" s="37">
        <f t="shared" si="266"/>
        <v>1.8937100179863427E-4</v>
      </c>
      <c r="G1340" s="30">
        <f t="shared" si="267"/>
        <v>910.36796001165214</v>
      </c>
      <c r="H1340" s="38">
        <f t="shared" si="262"/>
        <v>207</v>
      </c>
      <c r="I1340" s="39">
        <f t="shared" si="263"/>
        <v>207.04175222450377</v>
      </c>
      <c r="J1340" s="40">
        <f t="shared" si="264"/>
        <v>112</v>
      </c>
      <c r="K1340" s="43">
        <f>VLOOKUP(J1340,Data!$Z$3:$AA$122,2)</f>
        <v>0</v>
      </c>
      <c r="L1340" s="41">
        <f t="shared" si="265"/>
        <v>4.1752224503767366E-2</v>
      </c>
      <c r="M1340" s="43">
        <f>VLOOKUP(H1340,Data!$P$3:$X$122,9)</f>
        <v>0</v>
      </c>
      <c r="N1340" s="43">
        <f t="shared" si="268"/>
        <v>0</v>
      </c>
      <c r="O1340" s="43">
        <f t="shared" si="269"/>
        <v>0</v>
      </c>
      <c r="P1340" s="30">
        <f t="shared" si="270"/>
        <v>0</v>
      </c>
      <c r="Q1340" s="31">
        <f t="shared" si="272"/>
        <v>848340.75061972369</v>
      </c>
    </row>
    <row r="1341" spans="1:17" x14ac:dyDescent="0.25">
      <c r="A1341" s="6">
        <f t="shared" si="271"/>
        <v>84007</v>
      </c>
      <c r="B1341" s="30">
        <f>IFERROR(VLOOKUP(A1341, Data!$L$3:$N$123, 3),1)*Pension</f>
        <v>5047691.2987378435</v>
      </c>
      <c r="C1341" s="37">
        <f t="shared" si="260"/>
        <v>111.50171115674196</v>
      </c>
      <c r="D1341" s="37">
        <f>IFERROR(VLOOKUP(A1341,Data!$I$3:$J$1442,2),0)</f>
        <v>7.7129103000000004E-2</v>
      </c>
      <c r="E1341" s="37">
        <f t="shared" si="261"/>
        <v>7.6929102999999999E-2</v>
      </c>
      <c r="F1341" s="37">
        <f t="shared" si="266"/>
        <v>1.8825246026116598E-4</v>
      </c>
      <c r="G1341" s="30">
        <f t="shared" si="267"/>
        <v>950.24030562627922</v>
      </c>
      <c r="H1341" s="38">
        <f t="shared" si="262"/>
        <v>207</v>
      </c>
      <c r="I1341" s="39">
        <f t="shared" si="263"/>
        <v>207.12662559890487</v>
      </c>
      <c r="J1341" s="40">
        <f t="shared" si="264"/>
        <v>112</v>
      </c>
      <c r="K1341" s="43">
        <f>VLOOKUP(J1341,Data!$Z$3:$AA$122,2)</f>
        <v>0</v>
      </c>
      <c r="L1341" s="41">
        <f t="shared" si="265"/>
        <v>0.12662559890486591</v>
      </c>
      <c r="M1341" s="43">
        <f>VLOOKUP(H1341,Data!$P$3:$X$122,9)</f>
        <v>0</v>
      </c>
      <c r="N1341" s="43">
        <f t="shared" si="268"/>
        <v>0</v>
      </c>
      <c r="O1341" s="43">
        <f t="shared" si="269"/>
        <v>0</v>
      </c>
      <c r="P1341" s="30">
        <f t="shared" si="270"/>
        <v>0</v>
      </c>
      <c r="Q1341" s="31">
        <f t="shared" si="272"/>
        <v>848340.75061972369</v>
      </c>
    </row>
    <row r="1342" spans="1:17" x14ac:dyDescent="0.25">
      <c r="A1342" s="6">
        <f t="shared" si="271"/>
        <v>84038</v>
      </c>
      <c r="B1342" s="30">
        <f>IFERROR(VLOOKUP(A1342, Data!$L$3:$N$123, 3),1)*Pension</f>
        <v>5047691.2987378435</v>
      </c>
      <c r="C1342" s="37">
        <f t="shared" si="260"/>
        <v>111.58658453114305</v>
      </c>
      <c r="D1342" s="37">
        <f>IFERROR(VLOOKUP(A1342,Data!$I$3:$J$1442,2),0)</f>
        <v>7.7123680999999999E-2</v>
      </c>
      <c r="E1342" s="37">
        <f t="shared" si="261"/>
        <v>7.6923680999999994E-2</v>
      </c>
      <c r="F1342" s="37">
        <f t="shared" si="266"/>
        <v>1.871405101000438E-4</v>
      </c>
      <c r="G1342" s="30">
        <f t="shared" si="267"/>
        <v>944.62752447335265</v>
      </c>
      <c r="H1342" s="38">
        <f t="shared" si="262"/>
        <v>207</v>
      </c>
      <c r="I1342" s="39">
        <f t="shared" si="263"/>
        <v>207.21149897330596</v>
      </c>
      <c r="J1342" s="40">
        <f t="shared" si="264"/>
        <v>112</v>
      </c>
      <c r="K1342" s="43">
        <f>VLOOKUP(J1342,Data!$Z$3:$AA$122,2)</f>
        <v>0</v>
      </c>
      <c r="L1342" s="41">
        <f t="shared" si="265"/>
        <v>0.21149897330596445</v>
      </c>
      <c r="M1342" s="43">
        <f>VLOOKUP(H1342,Data!$P$3:$X$122,9)</f>
        <v>0</v>
      </c>
      <c r="N1342" s="43">
        <f t="shared" si="268"/>
        <v>0</v>
      </c>
      <c r="O1342" s="43">
        <f t="shared" si="269"/>
        <v>0</v>
      </c>
      <c r="P1342" s="30">
        <f t="shared" si="270"/>
        <v>0</v>
      </c>
      <c r="Q1342" s="31">
        <f t="shared" si="272"/>
        <v>848340.75061972369</v>
      </c>
    </row>
    <row r="1343" spans="1:17" x14ac:dyDescent="0.25">
      <c r="A1343" s="6">
        <f t="shared" si="271"/>
        <v>84066</v>
      </c>
      <c r="B1343" s="30">
        <f>IFERROR(VLOOKUP(A1343, Data!$L$3:$N$123, 3),1)*Pension</f>
        <v>5047691.2987378435</v>
      </c>
      <c r="C1343" s="37">
        <f t="shared" si="260"/>
        <v>111.66324435318275</v>
      </c>
      <c r="D1343" s="37">
        <f>IFERROR(VLOOKUP(A1343,Data!$I$3:$J$1442,2),0)</f>
        <v>7.7118790000000007E-2</v>
      </c>
      <c r="E1343" s="37">
        <f t="shared" si="261"/>
        <v>7.6918790000000001E-2</v>
      </c>
      <c r="F1343" s="37">
        <f t="shared" si="266"/>
        <v>1.861418308979707E-4</v>
      </c>
      <c r="G1343" s="30">
        <f t="shared" si="267"/>
        <v>939.58650015481771</v>
      </c>
      <c r="H1343" s="38">
        <f t="shared" si="262"/>
        <v>207</v>
      </c>
      <c r="I1343" s="39">
        <f t="shared" si="263"/>
        <v>207.28815879534565</v>
      </c>
      <c r="J1343" s="40">
        <f t="shared" si="264"/>
        <v>112</v>
      </c>
      <c r="K1343" s="43">
        <f>VLOOKUP(J1343,Data!$Z$3:$AA$122,2)</f>
        <v>0</v>
      </c>
      <c r="L1343" s="41">
        <f t="shared" si="265"/>
        <v>0.2881587953456517</v>
      </c>
      <c r="M1343" s="43">
        <f>VLOOKUP(H1343,Data!$P$3:$X$122,9)</f>
        <v>0</v>
      </c>
      <c r="N1343" s="43">
        <f t="shared" si="268"/>
        <v>0</v>
      </c>
      <c r="O1343" s="43">
        <f t="shared" si="269"/>
        <v>0</v>
      </c>
      <c r="P1343" s="30">
        <f t="shared" si="270"/>
        <v>0</v>
      </c>
      <c r="Q1343" s="31">
        <f t="shared" si="272"/>
        <v>848340.75061972369</v>
      </c>
    </row>
    <row r="1344" spans="1:17" x14ac:dyDescent="0.25">
      <c r="A1344" s="6">
        <f t="shared" si="271"/>
        <v>84097</v>
      </c>
      <c r="B1344" s="30">
        <f>IFERROR(VLOOKUP(A1344, Data!$L$3:$N$123, 3),1)*Pension</f>
        <v>5047691.2987378435</v>
      </c>
      <c r="C1344" s="37">
        <f t="shared" si="260"/>
        <v>111.74811772758385</v>
      </c>
      <c r="D1344" s="37">
        <f>IFERROR(VLOOKUP(A1344,Data!$I$3:$J$1442,2),0)</f>
        <v>7.7113383999999993E-2</v>
      </c>
      <c r="E1344" s="37">
        <f t="shared" si="261"/>
        <v>7.6913383999999987E-2</v>
      </c>
      <c r="F1344" s="37">
        <f t="shared" si="266"/>
        <v>1.8504234076751683E-4</v>
      </c>
      <c r="G1344" s="30">
        <f t="shared" si="267"/>
        <v>934.03661339027769</v>
      </c>
      <c r="H1344" s="38">
        <f t="shared" si="262"/>
        <v>207</v>
      </c>
      <c r="I1344" s="39">
        <f t="shared" si="263"/>
        <v>207.37303216974675</v>
      </c>
      <c r="J1344" s="40">
        <f t="shared" si="264"/>
        <v>112</v>
      </c>
      <c r="K1344" s="43">
        <f>VLOOKUP(J1344,Data!$Z$3:$AA$122,2)</f>
        <v>0</v>
      </c>
      <c r="L1344" s="41">
        <f t="shared" si="265"/>
        <v>0.37303216974675024</v>
      </c>
      <c r="M1344" s="43">
        <f>VLOOKUP(H1344,Data!$P$3:$X$122,9)</f>
        <v>0</v>
      </c>
      <c r="N1344" s="43">
        <f t="shared" si="268"/>
        <v>0</v>
      </c>
      <c r="O1344" s="43">
        <f t="shared" si="269"/>
        <v>0</v>
      </c>
      <c r="P1344" s="30">
        <f t="shared" si="270"/>
        <v>0</v>
      </c>
      <c r="Q1344" s="31">
        <f t="shared" si="272"/>
        <v>848340.75061972369</v>
      </c>
    </row>
    <row r="1345" spans="1:17" x14ac:dyDescent="0.25">
      <c r="A1345" s="6">
        <f t="shared" si="271"/>
        <v>84127</v>
      </c>
      <c r="B1345" s="30">
        <f>IFERROR(VLOOKUP(A1345, Data!$L$3:$N$123, 3),1)*Pension</f>
        <v>5047691.2987378435</v>
      </c>
      <c r="C1345" s="37">
        <f t="shared" si="260"/>
        <v>111.8302532511978</v>
      </c>
      <c r="D1345" s="37">
        <f>IFERROR(VLOOKUP(A1345,Data!$I$3:$J$1442,2),0)</f>
        <v>7.7108158999999996E-2</v>
      </c>
      <c r="E1345" s="37">
        <f t="shared" si="261"/>
        <v>7.690815899999999E-2</v>
      </c>
      <c r="F1345" s="37">
        <f t="shared" si="266"/>
        <v>1.8398452667419481E-4</v>
      </c>
      <c r="G1345" s="30">
        <f t="shared" si="267"/>
        <v>928.69709439573376</v>
      </c>
      <c r="H1345" s="38">
        <f t="shared" si="262"/>
        <v>207</v>
      </c>
      <c r="I1345" s="39">
        <f t="shared" si="263"/>
        <v>207.45516769336072</v>
      </c>
      <c r="J1345" s="40">
        <f t="shared" si="264"/>
        <v>112</v>
      </c>
      <c r="K1345" s="43">
        <f>VLOOKUP(J1345,Data!$Z$3:$AA$122,2)</f>
        <v>0</v>
      </c>
      <c r="L1345" s="41">
        <f t="shared" si="265"/>
        <v>0.45516769336072116</v>
      </c>
      <c r="M1345" s="43">
        <f>VLOOKUP(H1345,Data!$P$3:$X$122,9)</f>
        <v>0</v>
      </c>
      <c r="N1345" s="43">
        <f t="shared" si="268"/>
        <v>0</v>
      </c>
      <c r="O1345" s="43">
        <f t="shared" si="269"/>
        <v>0</v>
      </c>
      <c r="P1345" s="30">
        <f t="shared" si="270"/>
        <v>0</v>
      </c>
      <c r="Q1345" s="31">
        <f t="shared" si="272"/>
        <v>848340.75061972369</v>
      </c>
    </row>
    <row r="1346" spans="1:17" x14ac:dyDescent="0.25">
      <c r="A1346" s="6">
        <f t="shared" si="271"/>
        <v>84158</v>
      </c>
      <c r="B1346" s="30">
        <f>IFERROR(VLOOKUP(A1346, Data!$L$3:$N$123, 3),1)*Pension</f>
        <v>5047691.2987378435</v>
      </c>
      <c r="C1346" s="37">
        <f t="shared" si="260"/>
        <v>111.9151266255989</v>
      </c>
      <c r="D1346" s="37">
        <f>IFERROR(VLOOKUP(A1346,Data!$I$3:$J$1442,2),0)</f>
        <v>7.7102769000000002E-2</v>
      </c>
      <c r="E1346" s="37">
        <f t="shared" si="261"/>
        <v>7.6902768999999996E-2</v>
      </c>
      <c r="F1346" s="37">
        <f t="shared" si="266"/>
        <v>1.8289778181565262E-4</v>
      </c>
      <c r="G1346" s="30">
        <f t="shared" si="267"/>
        <v>923.2115418293223</v>
      </c>
      <c r="H1346" s="38">
        <f t="shared" si="262"/>
        <v>207</v>
      </c>
      <c r="I1346" s="39">
        <f t="shared" si="263"/>
        <v>207.54004106776182</v>
      </c>
      <c r="J1346" s="40">
        <f t="shared" si="264"/>
        <v>112</v>
      </c>
      <c r="K1346" s="43">
        <f>VLOOKUP(J1346,Data!$Z$3:$AA$122,2)</f>
        <v>0</v>
      </c>
      <c r="L1346" s="41">
        <f t="shared" si="265"/>
        <v>0.5400410677618197</v>
      </c>
      <c r="M1346" s="43">
        <f>VLOOKUP(H1346,Data!$P$3:$X$122,9)</f>
        <v>0</v>
      </c>
      <c r="N1346" s="43">
        <f t="shared" si="268"/>
        <v>0</v>
      </c>
      <c r="O1346" s="43">
        <f t="shared" si="269"/>
        <v>0</v>
      </c>
      <c r="P1346" s="30">
        <f t="shared" si="270"/>
        <v>0</v>
      </c>
      <c r="Q1346" s="31">
        <f t="shared" si="272"/>
        <v>848340.75061972369</v>
      </c>
    </row>
    <row r="1347" spans="1:17" x14ac:dyDescent="0.25">
      <c r="A1347" s="6">
        <f t="shared" si="271"/>
        <v>84188</v>
      </c>
      <c r="B1347" s="30">
        <f>IFERROR(VLOOKUP(A1347, Data!$L$3:$N$123, 3),1)*Pension</f>
        <v>5047691.2987378435</v>
      </c>
      <c r="C1347" s="37">
        <f t="shared" ref="C1347:C1410" si="273">(A1347-EffDate)/365.25</f>
        <v>111.99726214921287</v>
      </c>
      <c r="D1347" s="37">
        <f>IFERROR(VLOOKUP(A1347,Data!$I$3:$J$1442,2),0)</f>
        <v>7.7097559999999996E-2</v>
      </c>
      <c r="E1347" s="37">
        <f t="shared" ref="E1347:E1410" si="274">D1347-Fees</f>
        <v>7.689755999999999E-2</v>
      </c>
      <c r="F1347" s="37">
        <f t="shared" si="266"/>
        <v>1.8185221868836229E-4</v>
      </c>
      <c r="G1347" s="30">
        <f t="shared" si="267"/>
        <v>917.93386192941784</v>
      </c>
      <c r="H1347" s="38">
        <f t="shared" ref="H1347:H1410" si="275">IF(OR(A1347 = DATE(YEAR(A1347), MONTH(Date_of_Birth), DAY(Date_of_Birth)),AND(A1347 = DATE(YEAR(A1347), MONTH(Date_of_Birth), DAY(Date_of_Birth)-1), AND(MONTH(Date_of_Birth)=2, DAY(Date_of_Birth) = 29))), ROUND((A1347-Date_of_Birth)/365.25,0),ROUNDDOWN((A1347-Date_of_Birth)/365.25,0))</f>
        <v>207</v>
      </c>
      <c r="I1347" s="39">
        <f t="shared" ref="I1347:I1410" si="276">IF(OR(A1347 = DATE(YEAR(A1347), MONTH(Date_of_Birth), DAY(Date_of_Birth)),AND(A1347 = DATE(YEAR(A1347), MONTH(Date_of_Birth), DAY(Date_of_Birth)-1), AND(MONTH(Date_of_Birth)=2, DAY(Date_of_Birth) = 29))), ROUND((A1347-Date_of_Birth)/365.25,0),(A1347-Date_of_Birth)/365.25)</f>
        <v>207.62217659137576</v>
      </c>
      <c r="J1347" s="40">
        <f t="shared" ref="J1347:J1410" si="277">H1347-StartAge</f>
        <v>112</v>
      </c>
      <c r="K1347" s="43">
        <f>VLOOKUP(J1347,Data!$Z$3:$AA$122,2)</f>
        <v>0</v>
      </c>
      <c r="L1347" s="41">
        <f t="shared" ref="L1347:L1410" si="278">IF(A1347&lt;=NextBirth,(A1347-EffDate)/365.25,(I1347-H1347))</f>
        <v>0.6221765913757622</v>
      </c>
      <c r="M1347" s="43">
        <f>VLOOKUP(H1347,Data!$P$3:$X$122,9)</f>
        <v>0</v>
      </c>
      <c r="N1347" s="43">
        <f t="shared" si="268"/>
        <v>0</v>
      </c>
      <c r="O1347" s="43">
        <f t="shared" si="269"/>
        <v>0</v>
      </c>
      <c r="P1347" s="30">
        <f t="shared" si="270"/>
        <v>0</v>
      </c>
      <c r="Q1347" s="31">
        <f t="shared" si="272"/>
        <v>848340.75061972369</v>
      </c>
    </row>
    <row r="1348" spans="1:17" x14ac:dyDescent="0.25">
      <c r="A1348" s="6">
        <f t="shared" si="271"/>
        <v>84219</v>
      </c>
      <c r="B1348" s="30">
        <f>IFERROR(VLOOKUP(A1348, Data!$L$3:$N$123, 3),1)*Pension</f>
        <v>5047691.2987378435</v>
      </c>
      <c r="C1348" s="37">
        <f t="shared" si="273"/>
        <v>112.08213552361396</v>
      </c>
      <c r="D1348" s="37">
        <f>IFERROR(VLOOKUP(A1348,Data!$I$3:$J$1442,2),0)</f>
        <v>7.7092185999999993E-2</v>
      </c>
      <c r="E1348" s="37">
        <f t="shared" si="274"/>
        <v>7.6892185999999987E-2</v>
      </c>
      <c r="F1348" s="37">
        <f t="shared" ref="F1348:F1411" si="279">EXP(-E1348*C1348)</f>
        <v>1.8077806993705247E-4</v>
      </c>
      <c r="G1348" s="30">
        <f t="shared" ref="G1348:G1411" si="280">B1348*F1348</f>
        <v>912.51189062388107</v>
      </c>
      <c r="H1348" s="38">
        <f t="shared" si="275"/>
        <v>207</v>
      </c>
      <c r="I1348" s="39">
        <f t="shared" si="276"/>
        <v>207.70704996577686</v>
      </c>
      <c r="J1348" s="40">
        <f t="shared" si="277"/>
        <v>112</v>
      </c>
      <c r="K1348" s="43">
        <f>VLOOKUP(J1348,Data!$Z$3:$AA$122,2)</f>
        <v>0</v>
      </c>
      <c r="L1348" s="41">
        <f t="shared" si="278"/>
        <v>0.70704996577686074</v>
      </c>
      <c r="M1348" s="43">
        <f>VLOOKUP(H1348,Data!$P$3:$X$122,9)</f>
        <v>0</v>
      </c>
      <c r="N1348" s="43">
        <f t="shared" ref="N1348:N1411" si="281">IF(M1348=0, 0, EXP(-L1348*M1348))</f>
        <v>0</v>
      </c>
      <c r="O1348" s="43">
        <f t="shared" ref="O1348:O1411" si="282">K1348*N1348</f>
        <v>0</v>
      </c>
      <c r="P1348" s="30">
        <f t="shared" ref="P1348:P1411" si="283">G1348*O1348</f>
        <v>0</v>
      </c>
      <c r="Q1348" s="31">
        <f t="shared" si="272"/>
        <v>848340.75061972369</v>
      </c>
    </row>
    <row r="1349" spans="1:17" x14ac:dyDescent="0.25">
      <c r="A1349" s="6">
        <f t="shared" ref="A1349:A1412" si="284">EOMONTH(A1348,1)</f>
        <v>84250</v>
      </c>
      <c r="B1349" s="30">
        <f>IFERROR(VLOOKUP(A1349, Data!$L$3:$N$123, 3),1)*Pension</f>
        <v>5047691.2987378435</v>
      </c>
      <c r="C1349" s="37">
        <f t="shared" si="273"/>
        <v>112.16700889801506</v>
      </c>
      <c r="D1349" s="37">
        <f>IFERROR(VLOOKUP(A1349,Data!$I$3:$J$1442,2),0)</f>
        <v>7.7086819000000001E-2</v>
      </c>
      <c r="E1349" s="37">
        <f t="shared" si="274"/>
        <v>7.6886818999999995E-2</v>
      </c>
      <c r="F1349" s="37">
        <f t="shared" si="279"/>
        <v>1.7971028870565359E-4</v>
      </c>
      <c r="G1349" s="30">
        <f t="shared" si="280"/>
        <v>907.1220605931934</v>
      </c>
      <c r="H1349" s="38">
        <f t="shared" si="275"/>
        <v>207</v>
      </c>
      <c r="I1349" s="39">
        <f t="shared" si="276"/>
        <v>207.79192334017796</v>
      </c>
      <c r="J1349" s="40">
        <f t="shared" si="277"/>
        <v>112</v>
      </c>
      <c r="K1349" s="43">
        <f>VLOOKUP(J1349,Data!$Z$3:$AA$122,2)</f>
        <v>0</v>
      </c>
      <c r="L1349" s="41">
        <f t="shared" si="278"/>
        <v>0.79192334017795929</v>
      </c>
      <c r="M1349" s="43">
        <f>VLOOKUP(H1349,Data!$P$3:$X$122,9)</f>
        <v>0</v>
      </c>
      <c r="N1349" s="43">
        <f t="shared" si="281"/>
        <v>0</v>
      </c>
      <c r="O1349" s="43">
        <f t="shared" si="282"/>
        <v>0</v>
      </c>
      <c r="P1349" s="30">
        <f t="shared" si="283"/>
        <v>0</v>
      </c>
      <c r="Q1349" s="31">
        <f t="shared" ref="Q1349:Q1412" si="285">Q1348+P1349</f>
        <v>848340.75061972369</v>
      </c>
    </row>
    <row r="1350" spans="1:17" x14ac:dyDescent="0.25">
      <c r="A1350" s="6">
        <f t="shared" si="284"/>
        <v>84280</v>
      </c>
      <c r="B1350" s="30">
        <f>IFERROR(VLOOKUP(A1350, Data!$L$3:$N$123, 3),1)*Pension</f>
        <v>5047691.2987378435</v>
      </c>
      <c r="C1350" s="37">
        <f t="shared" si="273"/>
        <v>112.24914442162903</v>
      </c>
      <c r="D1350" s="37">
        <f>IFERROR(VLOOKUP(A1350,Data!$I$3:$J$1442,2),0)</f>
        <v>7.7081633999999996E-2</v>
      </c>
      <c r="E1350" s="37">
        <f t="shared" si="274"/>
        <v>7.688163399999999E-2</v>
      </c>
      <c r="F1350" s="37">
        <f t="shared" si="279"/>
        <v>1.7868293452925167E-4</v>
      </c>
      <c r="G1350" s="30">
        <f t="shared" si="280"/>
        <v>901.9362938562474</v>
      </c>
      <c r="H1350" s="38">
        <f t="shared" si="275"/>
        <v>207</v>
      </c>
      <c r="I1350" s="39">
        <f t="shared" si="276"/>
        <v>207.87405886379193</v>
      </c>
      <c r="J1350" s="40">
        <f t="shared" si="277"/>
        <v>112</v>
      </c>
      <c r="K1350" s="43">
        <f>VLOOKUP(J1350,Data!$Z$3:$AA$122,2)</f>
        <v>0</v>
      </c>
      <c r="L1350" s="41">
        <f t="shared" si="278"/>
        <v>0.87405886379193021</v>
      </c>
      <c r="M1350" s="43">
        <f>VLOOKUP(H1350,Data!$P$3:$X$122,9)</f>
        <v>0</v>
      </c>
      <c r="N1350" s="43">
        <f t="shared" si="281"/>
        <v>0</v>
      </c>
      <c r="O1350" s="43">
        <f t="shared" si="282"/>
        <v>0</v>
      </c>
      <c r="P1350" s="30">
        <f t="shared" si="283"/>
        <v>0</v>
      </c>
      <c r="Q1350" s="31">
        <f t="shared" si="285"/>
        <v>848340.75061972369</v>
      </c>
    </row>
    <row r="1351" spans="1:17" x14ac:dyDescent="0.25">
      <c r="A1351" s="6">
        <f t="shared" si="284"/>
        <v>84311</v>
      </c>
      <c r="B1351" s="30">
        <f>IFERROR(VLOOKUP(A1351, Data!$L$3:$N$123, 3),1)*Pension</f>
        <v>5047691.2987378435</v>
      </c>
      <c r="C1351" s="37">
        <f t="shared" si="273"/>
        <v>112.33401779603011</v>
      </c>
      <c r="D1351" s="37">
        <f>IFERROR(VLOOKUP(A1351,Data!$I$3:$J$1442,2),0)</f>
        <v>7.7076283999999995E-2</v>
      </c>
      <c r="E1351" s="37">
        <f t="shared" si="274"/>
        <v>7.6876283999999989E-2</v>
      </c>
      <c r="F1351" s="37">
        <f t="shared" si="279"/>
        <v>1.7762750747847978E-4</v>
      </c>
      <c r="G1351" s="30">
        <f t="shared" si="280"/>
        <v>896.60882391561358</v>
      </c>
      <c r="H1351" s="38">
        <f t="shared" si="275"/>
        <v>207</v>
      </c>
      <c r="I1351" s="39">
        <f t="shared" si="276"/>
        <v>207.95893223819303</v>
      </c>
      <c r="J1351" s="40">
        <f t="shared" si="277"/>
        <v>112</v>
      </c>
      <c r="K1351" s="43">
        <f>VLOOKUP(J1351,Data!$Z$3:$AA$122,2)</f>
        <v>0</v>
      </c>
      <c r="L1351" s="41">
        <f t="shared" si="278"/>
        <v>0.95893223819302875</v>
      </c>
      <c r="M1351" s="43">
        <f>VLOOKUP(H1351,Data!$P$3:$X$122,9)</f>
        <v>0</v>
      </c>
      <c r="N1351" s="43">
        <f t="shared" si="281"/>
        <v>0</v>
      </c>
      <c r="O1351" s="43">
        <f t="shared" si="282"/>
        <v>0</v>
      </c>
      <c r="P1351" s="30">
        <f t="shared" si="283"/>
        <v>0</v>
      </c>
      <c r="Q1351" s="31">
        <f t="shared" si="285"/>
        <v>848340.75061972369</v>
      </c>
    </row>
    <row r="1352" spans="1:17" x14ac:dyDescent="0.25">
      <c r="A1352" s="6">
        <f t="shared" si="284"/>
        <v>84341</v>
      </c>
      <c r="B1352" s="30">
        <f>IFERROR(VLOOKUP(A1352, Data!$L$3:$N$123, 3),1)*Pension</f>
        <v>5047691.2987378435</v>
      </c>
      <c r="C1352" s="37">
        <f t="shared" si="273"/>
        <v>112.41615331964408</v>
      </c>
      <c r="D1352" s="37">
        <f>IFERROR(VLOOKUP(A1352,Data!$I$3:$J$1442,2),0)</f>
        <v>7.7071112999999997E-2</v>
      </c>
      <c r="E1352" s="37">
        <f t="shared" si="274"/>
        <v>7.6871112999999991E-2</v>
      </c>
      <c r="F1352" s="37">
        <f t="shared" si="279"/>
        <v>1.7661208778914269E-4</v>
      </c>
      <c r="G1352" s="30">
        <f t="shared" si="280"/>
        <v>891.48329878517973</v>
      </c>
      <c r="H1352" s="38">
        <f t="shared" si="275"/>
        <v>208</v>
      </c>
      <c r="I1352" s="39">
        <f t="shared" si="276"/>
        <v>208.04106776180697</v>
      </c>
      <c r="J1352" s="40">
        <f t="shared" si="277"/>
        <v>113</v>
      </c>
      <c r="K1352" s="43">
        <f>VLOOKUP(J1352,Data!$Z$3:$AA$122,2)</f>
        <v>0</v>
      </c>
      <c r="L1352" s="41">
        <f t="shared" si="278"/>
        <v>4.1067761806971248E-2</v>
      </c>
      <c r="M1352" s="43">
        <f>VLOOKUP(H1352,Data!$P$3:$X$122,9)</f>
        <v>0</v>
      </c>
      <c r="N1352" s="43">
        <f t="shared" si="281"/>
        <v>0</v>
      </c>
      <c r="O1352" s="43">
        <f t="shared" si="282"/>
        <v>0</v>
      </c>
      <c r="P1352" s="30">
        <f t="shared" si="283"/>
        <v>0</v>
      </c>
      <c r="Q1352" s="31">
        <f t="shared" si="285"/>
        <v>848340.75061972369</v>
      </c>
    </row>
    <row r="1353" spans="1:17" x14ac:dyDescent="0.25">
      <c r="A1353" s="6">
        <f t="shared" si="284"/>
        <v>84372</v>
      </c>
      <c r="B1353" s="30">
        <f>IFERROR(VLOOKUP(A1353, Data!$L$3:$N$123, 3),1)*Pension</f>
        <v>5300075.8636747366</v>
      </c>
      <c r="C1353" s="37">
        <f t="shared" si="273"/>
        <v>112.50102669404518</v>
      </c>
      <c r="D1353" s="37">
        <f>IFERROR(VLOOKUP(A1353,Data!$I$3:$J$1442,2),0)</f>
        <v>7.7065779000000001E-2</v>
      </c>
      <c r="E1353" s="37">
        <f t="shared" si="274"/>
        <v>7.6865778999999995E-2</v>
      </c>
      <c r="F1353" s="37">
        <f t="shared" si="279"/>
        <v>1.7556889023353988E-4</v>
      </c>
      <c r="G1353" s="30">
        <f t="shared" si="280"/>
        <v>930.52843753894388</v>
      </c>
      <c r="H1353" s="38">
        <f t="shared" si="275"/>
        <v>208</v>
      </c>
      <c r="I1353" s="39">
        <f t="shared" si="276"/>
        <v>208.12594113620807</v>
      </c>
      <c r="J1353" s="40">
        <f t="shared" si="277"/>
        <v>113</v>
      </c>
      <c r="K1353" s="43">
        <f>VLOOKUP(J1353,Data!$Z$3:$AA$122,2)</f>
        <v>0</v>
      </c>
      <c r="L1353" s="41">
        <f t="shared" si="278"/>
        <v>0.12594113620806979</v>
      </c>
      <c r="M1353" s="43">
        <f>VLOOKUP(H1353,Data!$P$3:$X$122,9)</f>
        <v>0</v>
      </c>
      <c r="N1353" s="43">
        <f t="shared" si="281"/>
        <v>0</v>
      </c>
      <c r="O1353" s="43">
        <f t="shared" si="282"/>
        <v>0</v>
      </c>
      <c r="P1353" s="30">
        <f t="shared" si="283"/>
        <v>0</v>
      </c>
      <c r="Q1353" s="31">
        <f t="shared" si="285"/>
        <v>848340.75061972369</v>
      </c>
    </row>
    <row r="1354" spans="1:17" x14ac:dyDescent="0.25">
      <c r="A1354" s="6">
        <f t="shared" si="284"/>
        <v>84403</v>
      </c>
      <c r="B1354" s="30">
        <f>IFERROR(VLOOKUP(A1354, Data!$L$3:$N$123, 3),1)*Pension</f>
        <v>5300075.8636747366</v>
      </c>
      <c r="C1354" s="37">
        <f t="shared" si="273"/>
        <v>112.58590006844626</v>
      </c>
      <c r="D1354" s="37">
        <f>IFERROR(VLOOKUP(A1354,Data!$I$3:$J$1442,2),0)</f>
        <v>7.7060453000000001E-2</v>
      </c>
      <c r="E1354" s="37">
        <f t="shared" si="274"/>
        <v>7.6860452999999995E-2</v>
      </c>
      <c r="F1354" s="37">
        <f t="shared" si="279"/>
        <v>1.7453185537790781E-4</v>
      </c>
      <c r="G1354" s="30">
        <f t="shared" si="280"/>
        <v>925.03207413081896</v>
      </c>
      <c r="H1354" s="38">
        <f t="shared" si="275"/>
        <v>208</v>
      </c>
      <c r="I1354" s="39">
        <f t="shared" si="276"/>
        <v>208.21081451060917</v>
      </c>
      <c r="J1354" s="40">
        <f t="shared" si="277"/>
        <v>113</v>
      </c>
      <c r="K1354" s="43">
        <f>VLOOKUP(J1354,Data!$Z$3:$AA$122,2)</f>
        <v>0</v>
      </c>
      <c r="L1354" s="41">
        <f t="shared" si="278"/>
        <v>0.21081451060916834</v>
      </c>
      <c r="M1354" s="43">
        <f>VLOOKUP(H1354,Data!$P$3:$X$122,9)</f>
        <v>0</v>
      </c>
      <c r="N1354" s="43">
        <f t="shared" si="281"/>
        <v>0</v>
      </c>
      <c r="O1354" s="43">
        <f t="shared" si="282"/>
        <v>0</v>
      </c>
      <c r="P1354" s="30">
        <f t="shared" si="283"/>
        <v>0</v>
      </c>
      <c r="Q1354" s="31">
        <f t="shared" si="285"/>
        <v>848340.75061972369</v>
      </c>
    </row>
    <row r="1355" spans="1:17" x14ac:dyDescent="0.25">
      <c r="A1355" s="6">
        <f t="shared" si="284"/>
        <v>84431</v>
      </c>
      <c r="B1355" s="30">
        <f>IFERROR(VLOOKUP(A1355, Data!$L$3:$N$123, 3),1)*Pension</f>
        <v>5300075.8636747366</v>
      </c>
      <c r="C1355" s="37">
        <f t="shared" si="273"/>
        <v>112.66255989048597</v>
      </c>
      <c r="D1355" s="37">
        <f>IFERROR(VLOOKUP(A1355,Data!$I$3:$J$1442,2),0)</f>
        <v>7.7055648000000004E-2</v>
      </c>
      <c r="E1355" s="37">
        <f t="shared" si="274"/>
        <v>7.6855647999999999E-2</v>
      </c>
      <c r="F1355" s="37">
        <f t="shared" si="279"/>
        <v>1.736004704594007E-4</v>
      </c>
      <c r="G1355" s="30">
        <f t="shared" si="280"/>
        <v>920.09566340444883</v>
      </c>
      <c r="H1355" s="38">
        <f t="shared" si="275"/>
        <v>208</v>
      </c>
      <c r="I1355" s="39">
        <f t="shared" si="276"/>
        <v>208.28747433264888</v>
      </c>
      <c r="J1355" s="40">
        <f t="shared" si="277"/>
        <v>113</v>
      </c>
      <c r="K1355" s="43">
        <f>VLOOKUP(J1355,Data!$Z$3:$AA$122,2)</f>
        <v>0</v>
      </c>
      <c r="L1355" s="41">
        <f t="shared" si="278"/>
        <v>0.287474332648884</v>
      </c>
      <c r="M1355" s="43">
        <f>VLOOKUP(H1355,Data!$P$3:$X$122,9)</f>
        <v>0</v>
      </c>
      <c r="N1355" s="43">
        <f t="shared" si="281"/>
        <v>0</v>
      </c>
      <c r="O1355" s="43">
        <f t="shared" si="282"/>
        <v>0</v>
      </c>
      <c r="P1355" s="30">
        <f t="shared" si="283"/>
        <v>0</v>
      </c>
      <c r="Q1355" s="31">
        <f t="shared" si="285"/>
        <v>848340.75061972369</v>
      </c>
    </row>
    <row r="1356" spans="1:17" x14ac:dyDescent="0.25">
      <c r="A1356" s="6">
        <f t="shared" si="284"/>
        <v>84462</v>
      </c>
      <c r="B1356" s="30">
        <f>IFERROR(VLOOKUP(A1356, Data!$L$3:$N$123, 3),1)*Pension</f>
        <v>5300075.8636747366</v>
      </c>
      <c r="C1356" s="37">
        <f t="shared" si="273"/>
        <v>112.74743326488706</v>
      </c>
      <c r="D1356" s="37">
        <f>IFERROR(VLOOKUP(A1356,Data!$I$3:$J$1442,2),0)</f>
        <v>7.7050336999999997E-2</v>
      </c>
      <c r="E1356" s="37">
        <f t="shared" si="274"/>
        <v>7.6850336999999991E-2</v>
      </c>
      <c r="F1356" s="37">
        <f t="shared" si="279"/>
        <v>1.7257506749118848E-4</v>
      </c>
      <c r="G1356" s="30">
        <f t="shared" si="280"/>
        <v>914.6609498820867</v>
      </c>
      <c r="H1356" s="38">
        <f t="shared" si="275"/>
        <v>208</v>
      </c>
      <c r="I1356" s="39">
        <f t="shared" si="276"/>
        <v>208.37234770704995</v>
      </c>
      <c r="J1356" s="40">
        <f t="shared" si="277"/>
        <v>113</v>
      </c>
      <c r="K1356" s="43">
        <f>VLOOKUP(J1356,Data!$Z$3:$AA$122,2)</f>
        <v>0</v>
      </c>
      <c r="L1356" s="41">
        <f t="shared" si="278"/>
        <v>0.37234770704995412</v>
      </c>
      <c r="M1356" s="43">
        <f>VLOOKUP(H1356,Data!$P$3:$X$122,9)</f>
        <v>0</v>
      </c>
      <c r="N1356" s="43">
        <f t="shared" si="281"/>
        <v>0</v>
      </c>
      <c r="O1356" s="43">
        <f t="shared" si="282"/>
        <v>0</v>
      </c>
      <c r="P1356" s="30">
        <f t="shared" si="283"/>
        <v>0</v>
      </c>
      <c r="Q1356" s="31">
        <f t="shared" si="285"/>
        <v>848340.75061972369</v>
      </c>
    </row>
    <row r="1357" spans="1:17" x14ac:dyDescent="0.25">
      <c r="A1357" s="6">
        <f t="shared" si="284"/>
        <v>84492</v>
      </c>
      <c r="B1357" s="30">
        <f>IFERROR(VLOOKUP(A1357, Data!$L$3:$N$123, 3),1)*Pension</f>
        <v>5300075.8636747366</v>
      </c>
      <c r="C1357" s="37">
        <f t="shared" si="273"/>
        <v>112.82956878850102</v>
      </c>
      <c r="D1357" s="37">
        <f>IFERROR(VLOOKUP(A1357,Data!$I$3:$J$1442,2),0)</f>
        <v>7.7045205000000005E-2</v>
      </c>
      <c r="E1357" s="37">
        <f t="shared" si="274"/>
        <v>7.6845205E-2</v>
      </c>
      <c r="F1357" s="37">
        <f t="shared" si="279"/>
        <v>1.7158850786890473E-4</v>
      </c>
      <c r="G1357" s="30">
        <f t="shared" si="280"/>
        <v>909.43210903994452</v>
      </c>
      <c r="H1357" s="38">
        <f t="shared" si="275"/>
        <v>208</v>
      </c>
      <c r="I1357" s="39">
        <f t="shared" si="276"/>
        <v>208.45448323066393</v>
      </c>
      <c r="J1357" s="40">
        <f t="shared" si="277"/>
        <v>113</v>
      </c>
      <c r="K1357" s="43">
        <f>VLOOKUP(J1357,Data!$Z$3:$AA$122,2)</f>
        <v>0</v>
      </c>
      <c r="L1357" s="41">
        <f t="shared" si="278"/>
        <v>0.45448323066392504</v>
      </c>
      <c r="M1357" s="43">
        <f>VLOOKUP(H1357,Data!$P$3:$X$122,9)</f>
        <v>0</v>
      </c>
      <c r="N1357" s="43">
        <f t="shared" si="281"/>
        <v>0</v>
      </c>
      <c r="O1357" s="43">
        <f t="shared" si="282"/>
        <v>0</v>
      </c>
      <c r="P1357" s="30">
        <f t="shared" si="283"/>
        <v>0</v>
      </c>
      <c r="Q1357" s="31">
        <f t="shared" si="285"/>
        <v>848340.75061972369</v>
      </c>
    </row>
    <row r="1358" spans="1:17" x14ac:dyDescent="0.25">
      <c r="A1358" s="6">
        <f t="shared" si="284"/>
        <v>84523</v>
      </c>
      <c r="B1358" s="30">
        <f>IFERROR(VLOOKUP(A1358, Data!$L$3:$N$123, 3),1)*Pension</f>
        <v>5300075.8636747366</v>
      </c>
      <c r="C1358" s="37">
        <f t="shared" si="273"/>
        <v>112.91444216290212</v>
      </c>
      <c r="D1358" s="37">
        <f>IFERROR(VLOOKUP(A1358,Data!$I$3:$J$1442,2),0)</f>
        <v>7.7039910000000003E-2</v>
      </c>
      <c r="E1358" s="37">
        <f t="shared" si="274"/>
        <v>7.6839909999999997E-2</v>
      </c>
      <c r="F1358" s="37">
        <f t="shared" si="279"/>
        <v>1.7057498324359703E-4</v>
      </c>
      <c r="G1358" s="30">
        <f t="shared" si="280"/>
        <v>904.06035163611125</v>
      </c>
      <c r="H1358" s="38">
        <f t="shared" si="275"/>
        <v>208</v>
      </c>
      <c r="I1358" s="39">
        <f t="shared" si="276"/>
        <v>208.53935660506502</v>
      </c>
      <c r="J1358" s="40">
        <f t="shared" si="277"/>
        <v>113</v>
      </c>
      <c r="K1358" s="43">
        <f>VLOOKUP(J1358,Data!$Z$3:$AA$122,2)</f>
        <v>0</v>
      </c>
      <c r="L1358" s="41">
        <f t="shared" si="278"/>
        <v>0.53935660506502359</v>
      </c>
      <c r="M1358" s="43">
        <f>VLOOKUP(H1358,Data!$P$3:$X$122,9)</f>
        <v>0</v>
      </c>
      <c r="N1358" s="43">
        <f t="shared" si="281"/>
        <v>0</v>
      </c>
      <c r="O1358" s="43">
        <f t="shared" si="282"/>
        <v>0</v>
      </c>
      <c r="P1358" s="30">
        <f t="shared" si="283"/>
        <v>0</v>
      </c>
      <c r="Q1358" s="31">
        <f t="shared" si="285"/>
        <v>848340.75061972369</v>
      </c>
    </row>
    <row r="1359" spans="1:17" x14ac:dyDescent="0.25">
      <c r="A1359" s="6">
        <f t="shared" si="284"/>
        <v>84553</v>
      </c>
      <c r="B1359" s="30">
        <f>IFERROR(VLOOKUP(A1359, Data!$L$3:$N$123, 3),1)*Pension</f>
        <v>5300075.8636747366</v>
      </c>
      <c r="C1359" s="37">
        <f t="shared" si="273"/>
        <v>112.99657768651609</v>
      </c>
      <c r="D1359" s="37">
        <f>IFERROR(VLOOKUP(A1359,Data!$I$3:$J$1442,2),0)</f>
        <v>7.7034792000000005E-2</v>
      </c>
      <c r="E1359" s="37">
        <f t="shared" si="274"/>
        <v>7.6834791999999999E-2</v>
      </c>
      <c r="F1359" s="37">
        <f t="shared" si="279"/>
        <v>1.6959987981320044E-4</v>
      </c>
      <c r="G1359" s="30">
        <f t="shared" si="280"/>
        <v>898.89222948007989</v>
      </c>
      <c r="H1359" s="38">
        <f t="shared" si="275"/>
        <v>208</v>
      </c>
      <c r="I1359" s="39">
        <f t="shared" si="276"/>
        <v>208.62149212867899</v>
      </c>
      <c r="J1359" s="40">
        <f t="shared" si="277"/>
        <v>113</v>
      </c>
      <c r="K1359" s="43">
        <f>VLOOKUP(J1359,Data!$Z$3:$AA$122,2)</f>
        <v>0</v>
      </c>
      <c r="L1359" s="41">
        <f t="shared" si="278"/>
        <v>0.6214921286789945</v>
      </c>
      <c r="M1359" s="43">
        <f>VLOOKUP(H1359,Data!$P$3:$X$122,9)</f>
        <v>0</v>
      </c>
      <c r="N1359" s="43">
        <f t="shared" si="281"/>
        <v>0</v>
      </c>
      <c r="O1359" s="43">
        <f t="shared" si="282"/>
        <v>0</v>
      </c>
      <c r="P1359" s="30">
        <f t="shared" si="283"/>
        <v>0</v>
      </c>
      <c r="Q1359" s="31">
        <f t="shared" si="285"/>
        <v>848340.75061972369</v>
      </c>
    </row>
    <row r="1360" spans="1:17" x14ac:dyDescent="0.25">
      <c r="A1360" s="6">
        <f t="shared" si="284"/>
        <v>84584</v>
      </c>
      <c r="B1360" s="30">
        <f>IFERROR(VLOOKUP(A1360, Data!$L$3:$N$123, 3),1)*Pension</f>
        <v>5300075.8636747366</v>
      </c>
      <c r="C1360" s="37">
        <f t="shared" si="273"/>
        <v>113.08145106091717</v>
      </c>
      <c r="D1360" s="37">
        <f>IFERROR(VLOOKUP(A1360,Data!$I$3:$J$1442,2),0)</f>
        <v>7.7029512999999994E-2</v>
      </c>
      <c r="E1360" s="37">
        <f t="shared" si="274"/>
        <v>7.6829512999999988E-2</v>
      </c>
      <c r="F1360" s="37">
        <f t="shared" si="279"/>
        <v>1.6859809450249039E-4</v>
      </c>
      <c r="G1360" s="30">
        <f t="shared" si="280"/>
        <v>893.58269133420163</v>
      </c>
      <c r="H1360" s="38">
        <f t="shared" si="275"/>
        <v>208</v>
      </c>
      <c r="I1360" s="39">
        <f t="shared" si="276"/>
        <v>208.70636550308009</v>
      </c>
      <c r="J1360" s="40">
        <f t="shared" si="277"/>
        <v>113</v>
      </c>
      <c r="K1360" s="43">
        <f>VLOOKUP(J1360,Data!$Z$3:$AA$122,2)</f>
        <v>0</v>
      </c>
      <c r="L1360" s="41">
        <f t="shared" si="278"/>
        <v>0.70636550308009305</v>
      </c>
      <c r="M1360" s="43">
        <f>VLOOKUP(H1360,Data!$P$3:$X$122,9)</f>
        <v>0</v>
      </c>
      <c r="N1360" s="43">
        <f t="shared" si="281"/>
        <v>0</v>
      </c>
      <c r="O1360" s="43">
        <f t="shared" si="282"/>
        <v>0</v>
      </c>
      <c r="P1360" s="30">
        <f t="shared" si="283"/>
        <v>0</v>
      </c>
      <c r="Q1360" s="31">
        <f t="shared" si="285"/>
        <v>848340.75061972369</v>
      </c>
    </row>
    <row r="1361" spans="1:17" x14ac:dyDescent="0.25">
      <c r="A1361" s="6">
        <f t="shared" si="284"/>
        <v>84615</v>
      </c>
      <c r="B1361" s="30">
        <f>IFERROR(VLOOKUP(A1361, Data!$L$3:$N$123, 3),1)*Pension</f>
        <v>5300075.8636747366</v>
      </c>
      <c r="C1361" s="37">
        <f t="shared" si="273"/>
        <v>113.16632443531827</v>
      </c>
      <c r="D1361" s="37">
        <f>IFERROR(VLOOKUP(A1361,Data!$I$3:$J$1442,2),0)</f>
        <v>7.7024240999999993E-2</v>
      </c>
      <c r="E1361" s="37">
        <f t="shared" si="274"/>
        <v>7.6824240999999988E-2</v>
      </c>
      <c r="F1361" s="37">
        <f t="shared" si="279"/>
        <v>1.6760224391307581E-4</v>
      </c>
      <c r="G1361" s="30">
        <f t="shared" si="280"/>
        <v>888.30460766141914</v>
      </c>
      <c r="H1361" s="38">
        <f t="shared" si="275"/>
        <v>208</v>
      </c>
      <c r="I1361" s="39">
        <f t="shared" si="276"/>
        <v>208.79123887748116</v>
      </c>
      <c r="J1361" s="40">
        <f t="shared" si="277"/>
        <v>113</v>
      </c>
      <c r="K1361" s="43">
        <f>VLOOKUP(J1361,Data!$Z$3:$AA$122,2)</f>
        <v>0</v>
      </c>
      <c r="L1361" s="41">
        <f t="shared" si="278"/>
        <v>0.79123887748116317</v>
      </c>
      <c r="M1361" s="43">
        <f>VLOOKUP(H1361,Data!$P$3:$X$122,9)</f>
        <v>0</v>
      </c>
      <c r="N1361" s="43">
        <f t="shared" si="281"/>
        <v>0</v>
      </c>
      <c r="O1361" s="43">
        <f t="shared" si="282"/>
        <v>0</v>
      </c>
      <c r="P1361" s="30">
        <f t="shared" si="283"/>
        <v>0</v>
      </c>
      <c r="Q1361" s="31">
        <f t="shared" si="285"/>
        <v>848340.75061972369</v>
      </c>
    </row>
    <row r="1362" spans="1:17" x14ac:dyDescent="0.25">
      <c r="A1362" s="6">
        <f t="shared" si="284"/>
        <v>84645</v>
      </c>
      <c r="B1362" s="30">
        <f>IFERROR(VLOOKUP(A1362, Data!$L$3:$N$123, 3),1)*Pension</f>
        <v>5300075.8636747366</v>
      </c>
      <c r="C1362" s="37">
        <f t="shared" si="273"/>
        <v>113.24845995893224</v>
      </c>
      <c r="D1362" s="37">
        <f>IFERROR(VLOOKUP(A1362,Data!$I$3:$J$1442,2),0)</f>
        <v>7.7019145999999997E-2</v>
      </c>
      <c r="E1362" s="37">
        <f t="shared" si="274"/>
        <v>7.6819145999999991E-2</v>
      </c>
      <c r="F1362" s="37">
        <f t="shared" si="279"/>
        <v>1.6664412958220163E-4</v>
      </c>
      <c r="G1362" s="30">
        <f t="shared" si="280"/>
        <v>883.22652902171205</v>
      </c>
      <c r="H1362" s="38">
        <f t="shared" si="275"/>
        <v>208</v>
      </c>
      <c r="I1362" s="39">
        <f t="shared" si="276"/>
        <v>208.87337440109513</v>
      </c>
      <c r="J1362" s="40">
        <f t="shared" si="277"/>
        <v>113</v>
      </c>
      <c r="K1362" s="43">
        <f>VLOOKUP(J1362,Data!$Z$3:$AA$122,2)</f>
        <v>0</v>
      </c>
      <c r="L1362" s="41">
        <f t="shared" si="278"/>
        <v>0.87337440109513409</v>
      </c>
      <c r="M1362" s="43">
        <f>VLOOKUP(H1362,Data!$P$3:$X$122,9)</f>
        <v>0</v>
      </c>
      <c r="N1362" s="43">
        <f t="shared" si="281"/>
        <v>0</v>
      </c>
      <c r="O1362" s="43">
        <f t="shared" si="282"/>
        <v>0</v>
      </c>
      <c r="P1362" s="30">
        <f t="shared" si="283"/>
        <v>0</v>
      </c>
      <c r="Q1362" s="31">
        <f t="shared" si="285"/>
        <v>848340.75061972369</v>
      </c>
    </row>
    <row r="1363" spans="1:17" x14ac:dyDescent="0.25">
      <c r="A1363" s="6">
        <f t="shared" si="284"/>
        <v>84676</v>
      </c>
      <c r="B1363" s="30">
        <f>IFERROR(VLOOKUP(A1363, Data!$L$3:$N$123, 3),1)*Pension</f>
        <v>5300075.8636747366</v>
      </c>
      <c r="C1363" s="37">
        <f t="shared" si="273"/>
        <v>113.33333333333333</v>
      </c>
      <c r="D1363" s="37">
        <f>IFERROR(VLOOKUP(A1363,Data!$I$3:$J$1442,2),0)</f>
        <v>7.7013890000000002E-2</v>
      </c>
      <c r="E1363" s="37">
        <f t="shared" si="274"/>
        <v>7.6813889999999996E-2</v>
      </c>
      <c r="F1363" s="37">
        <f t="shared" si="279"/>
        <v>1.6565981161058716E-4</v>
      </c>
      <c r="G1363" s="30">
        <f t="shared" si="280"/>
        <v>878.00956909817694</v>
      </c>
      <c r="H1363" s="38">
        <f t="shared" si="275"/>
        <v>208</v>
      </c>
      <c r="I1363" s="39">
        <f t="shared" si="276"/>
        <v>208.95824777549623</v>
      </c>
      <c r="J1363" s="40">
        <f t="shared" si="277"/>
        <v>113</v>
      </c>
      <c r="K1363" s="43">
        <f>VLOOKUP(J1363,Data!$Z$3:$AA$122,2)</f>
        <v>0</v>
      </c>
      <c r="L1363" s="41">
        <f t="shared" si="278"/>
        <v>0.95824777549623263</v>
      </c>
      <c r="M1363" s="43">
        <f>VLOOKUP(H1363,Data!$P$3:$X$122,9)</f>
        <v>0</v>
      </c>
      <c r="N1363" s="43">
        <f t="shared" si="281"/>
        <v>0</v>
      </c>
      <c r="O1363" s="43">
        <f t="shared" si="282"/>
        <v>0</v>
      </c>
      <c r="P1363" s="30">
        <f t="shared" si="283"/>
        <v>0</v>
      </c>
      <c r="Q1363" s="31">
        <f t="shared" si="285"/>
        <v>848340.75061972369</v>
      </c>
    </row>
    <row r="1364" spans="1:17" x14ac:dyDescent="0.25">
      <c r="A1364" s="6">
        <f t="shared" si="284"/>
        <v>84706</v>
      </c>
      <c r="B1364" s="30">
        <f>IFERROR(VLOOKUP(A1364, Data!$L$3:$N$123, 3),1)*Pension</f>
        <v>5300075.8636747366</v>
      </c>
      <c r="C1364" s="37">
        <f t="shared" si="273"/>
        <v>113.4154688569473</v>
      </c>
      <c r="D1364" s="37">
        <f>IFERROR(VLOOKUP(A1364,Data!$I$3:$J$1442,2),0)</f>
        <v>7.7008810999999996E-2</v>
      </c>
      <c r="E1364" s="37">
        <f t="shared" si="274"/>
        <v>7.6808810999999991E-2</v>
      </c>
      <c r="F1364" s="37">
        <f t="shared" si="279"/>
        <v>1.6471278267707673E-4</v>
      </c>
      <c r="G1364" s="30">
        <f t="shared" si="280"/>
        <v>872.99024390547663</v>
      </c>
      <c r="H1364" s="38">
        <f t="shared" si="275"/>
        <v>209</v>
      </c>
      <c r="I1364" s="39">
        <f t="shared" si="276"/>
        <v>209.0403832991102</v>
      </c>
      <c r="J1364" s="40">
        <f t="shared" si="277"/>
        <v>114</v>
      </c>
      <c r="K1364" s="43">
        <f>VLOOKUP(J1364,Data!$Z$3:$AA$122,2)</f>
        <v>0</v>
      </c>
      <c r="L1364" s="41">
        <f t="shared" si="278"/>
        <v>4.0383299110203552E-2</v>
      </c>
      <c r="M1364" s="43">
        <f>VLOOKUP(H1364,Data!$P$3:$X$122,9)</f>
        <v>0</v>
      </c>
      <c r="N1364" s="43">
        <f t="shared" si="281"/>
        <v>0</v>
      </c>
      <c r="O1364" s="43">
        <f t="shared" si="282"/>
        <v>0</v>
      </c>
      <c r="P1364" s="30">
        <f t="shared" si="283"/>
        <v>0</v>
      </c>
      <c r="Q1364" s="31">
        <f t="shared" si="285"/>
        <v>848340.75061972369</v>
      </c>
    </row>
    <row r="1365" spans="1:17" x14ac:dyDescent="0.25">
      <c r="A1365" s="6">
        <f t="shared" si="284"/>
        <v>84737</v>
      </c>
      <c r="B1365" s="30">
        <f>IFERROR(VLOOKUP(A1365, Data!$L$3:$N$123, 3),1)*Pension</f>
        <v>5565079.6568584731</v>
      </c>
      <c r="C1365" s="37">
        <f t="shared" si="273"/>
        <v>113.5003422313484</v>
      </c>
      <c r="D1365" s="37">
        <f>IFERROR(VLOOKUP(A1365,Data!$I$3:$J$1442,2),0)</f>
        <v>7.7003569999999993E-2</v>
      </c>
      <c r="E1365" s="37">
        <f t="shared" si="274"/>
        <v>7.6803569999999988E-2</v>
      </c>
      <c r="F1365" s="37">
        <f t="shared" si="279"/>
        <v>1.6373988119466293E-4</v>
      </c>
      <c r="G1365" s="30">
        <f t="shared" si="280"/>
        <v>911.22548185284199</v>
      </c>
      <c r="H1365" s="38">
        <f t="shared" si="275"/>
        <v>209</v>
      </c>
      <c r="I1365" s="39">
        <f t="shared" si="276"/>
        <v>209.1252566735113</v>
      </c>
      <c r="J1365" s="40">
        <f t="shared" si="277"/>
        <v>114</v>
      </c>
      <c r="K1365" s="43">
        <f>VLOOKUP(J1365,Data!$Z$3:$AA$122,2)</f>
        <v>0</v>
      </c>
      <c r="L1365" s="41">
        <f t="shared" si="278"/>
        <v>0.1252566735113021</v>
      </c>
      <c r="M1365" s="43">
        <f>VLOOKUP(H1365,Data!$P$3:$X$122,9)</f>
        <v>0</v>
      </c>
      <c r="N1365" s="43">
        <f t="shared" si="281"/>
        <v>0</v>
      </c>
      <c r="O1365" s="43">
        <f t="shared" si="282"/>
        <v>0</v>
      </c>
      <c r="P1365" s="30">
        <f t="shared" si="283"/>
        <v>0</v>
      </c>
      <c r="Q1365" s="31">
        <f t="shared" si="285"/>
        <v>848340.75061972369</v>
      </c>
    </row>
    <row r="1366" spans="1:17" x14ac:dyDescent="0.25">
      <c r="A1366" s="6">
        <f t="shared" si="284"/>
        <v>84768</v>
      </c>
      <c r="B1366" s="30">
        <f>IFERROR(VLOOKUP(A1366, Data!$L$3:$N$123, 3),1)*Pension</f>
        <v>5565079.6568584731</v>
      </c>
      <c r="C1366" s="37">
        <f t="shared" si="273"/>
        <v>113.58521560574948</v>
      </c>
      <c r="D1366" s="37">
        <f>IFERROR(VLOOKUP(A1366,Data!$I$3:$J$1442,2),0)</f>
        <v>7.6998337E-2</v>
      </c>
      <c r="E1366" s="37">
        <f t="shared" si="274"/>
        <v>7.6798336999999994E-2</v>
      </c>
      <c r="F1366" s="37">
        <f t="shared" si="279"/>
        <v>1.6277272320603777E-4</v>
      </c>
      <c r="G1366" s="30">
        <f t="shared" si="280"/>
        <v>905.84317060537592</v>
      </c>
      <c r="H1366" s="38">
        <f t="shared" si="275"/>
        <v>209</v>
      </c>
      <c r="I1366" s="39">
        <f t="shared" si="276"/>
        <v>209.2101300479124</v>
      </c>
      <c r="J1366" s="40">
        <f t="shared" si="277"/>
        <v>114</v>
      </c>
      <c r="K1366" s="43">
        <f>VLOOKUP(J1366,Data!$Z$3:$AA$122,2)</f>
        <v>0</v>
      </c>
      <c r="L1366" s="41">
        <f t="shared" si="278"/>
        <v>0.21013004791240064</v>
      </c>
      <c r="M1366" s="43">
        <f>VLOOKUP(H1366,Data!$P$3:$X$122,9)</f>
        <v>0</v>
      </c>
      <c r="N1366" s="43">
        <f t="shared" si="281"/>
        <v>0</v>
      </c>
      <c r="O1366" s="43">
        <f t="shared" si="282"/>
        <v>0</v>
      </c>
      <c r="P1366" s="30">
        <f t="shared" si="283"/>
        <v>0</v>
      </c>
      <c r="Q1366" s="31">
        <f t="shared" si="285"/>
        <v>848340.75061972369</v>
      </c>
    </row>
    <row r="1367" spans="1:17" x14ac:dyDescent="0.25">
      <c r="A1367" s="6">
        <f t="shared" si="284"/>
        <v>84797</v>
      </c>
      <c r="B1367" s="30">
        <f>IFERROR(VLOOKUP(A1367, Data!$L$3:$N$123, 3),1)*Pension</f>
        <v>5565079.6568584731</v>
      </c>
      <c r="C1367" s="37">
        <f t="shared" si="273"/>
        <v>113.66461327857631</v>
      </c>
      <c r="D1367" s="37">
        <f>IFERROR(VLOOKUP(A1367,Data!$I$3:$J$1442,2),0)</f>
        <v>7.6993448000000006E-2</v>
      </c>
      <c r="E1367" s="37">
        <f t="shared" si="274"/>
        <v>7.6793448E-2</v>
      </c>
      <c r="F1367" s="37">
        <f t="shared" si="279"/>
        <v>1.6187314755551258E-4</v>
      </c>
      <c r="G1367" s="30">
        <f t="shared" si="280"/>
        <v>900.83696045283295</v>
      </c>
      <c r="H1367" s="38">
        <f t="shared" si="275"/>
        <v>209</v>
      </c>
      <c r="I1367" s="39">
        <f t="shared" si="276"/>
        <v>209.28952772073922</v>
      </c>
      <c r="J1367" s="40">
        <f t="shared" si="277"/>
        <v>114</v>
      </c>
      <c r="K1367" s="43">
        <f>VLOOKUP(J1367,Data!$Z$3:$AA$122,2)</f>
        <v>0</v>
      </c>
      <c r="L1367" s="41">
        <f t="shared" si="278"/>
        <v>0.28952772073921551</v>
      </c>
      <c r="M1367" s="43">
        <f>VLOOKUP(H1367,Data!$P$3:$X$122,9)</f>
        <v>0</v>
      </c>
      <c r="N1367" s="43">
        <f t="shared" si="281"/>
        <v>0</v>
      </c>
      <c r="O1367" s="43">
        <f t="shared" si="282"/>
        <v>0</v>
      </c>
      <c r="P1367" s="30">
        <f t="shared" si="283"/>
        <v>0</v>
      </c>
      <c r="Q1367" s="31">
        <f t="shared" si="285"/>
        <v>848340.75061972369</v>
      </c>
    </row>
    <row r="1368" spans="1:17" x14ac:dyDescent="0.25">
      <c r="A1368" s="6">
        <f t="shared" si="284"/>
        <v>84828</v>
      </c>
      <c r="B1368" s="30">
        <f>IFERROR(VLOOKUP(A1368, Data!$L$3:$N$123, 3),1)*Pension</f>
        <v>5565079.6568584731</v>
      </c>
      <c r="C1368" s="37">
        <f t="shared" si="273"/>
        <v>113.74948665297741</v>
      </c>
      <c r="D1368" s="37">
        <f>IFERROR(VLOOKUP(A1368,Data!$I$3:$J$1442,2),0)</f>
        <v>7.6988230000000005E-2</v>
      </c>
      <c r="E1368" s="37">
        <f t="shared" si="274"/>
        <v>7.6788229999999999E-2</v>
      </c>
      <c r="F1368" s="37">
        <f t="shared" si="279"/>
        <v>1.6091701776034336E-4</v>
      </c>
      <c r="G1368" s="30">
        <f t="shared" si="280"/>
        <v>895.51602198042042</v>
      </c>
      <c r="H1368" s="38">
        <f t="shared" si="275"/>
        <v>209</v>
      </c>
      <c r="I1368" s="39">
        <f t="shared" si="276"/>
        <v>209.37440109514031</v>
      </c>
      <c r="J1368" s="40">
        <f t="shared" si="277"/>
        <v>114</v>
      </c>
      <c r="K1368" s="43">
        <f>VLOOKUP(J1368,Data!$Z$3:$AA$122,2)</f>
        <v>0</v>
      </c>
      <c r="L1368" s="41">
        <f t="shared" si="278"/>
        <v>0.37440109514031406</v>
      </c>
      <c r="M1368" s="43">
        <f>VLOOKUP(H1368,Data!$P$3:$X$122,9)</f>
        <v>0</v>
      </c>
      <c r="N1368" s="43">
        <f t="shared" si="281"/>
        <v>0</v>
      </c>
      <c r="O1368" s="43">
        <f t="shared" si="282"/>
        <v>0</v>
      </c>
      <c r="P1368" s="30">
        <f t="shared" si="283"/>
        <v>0</v>
      </c>
      <c r="Q1368" s="31">
        <f t="shared" si="285"/>
        <v>848340.75061972369</v>
      </c>
    </row>
    <row r="1369" spans="1:17" x14ac:dyDescent="0.25">
      <c r="A1369" s="6">
        <f t="shared" si="284"/>
        <v>84858</v>
      </c>
      <c r="B1369" s="30">
        <f>IFERROR(VLOOKUP(A1369, Data!$L$3:$N$123, 3),1)*Pension</f>
        <v>5565079.6568584731</v>
      </c>
      <c r="C1369" s="37">
        <f t="shared" si="273"/>
        <v>113.83162217659138</v>
      </c>
      <c r="D1369" s="37">
        <f>IFERROR(VLOOKUP(A1369,Data!$I$3:$J$1442,2),0)</f>
        <v>7.6983187999999994E-2</v>
      </c>
      <c r="E1369" s="37">
        <f t="shared" si="274"/>
        <v>7.6783187999999988E-2</v>
      </c>
      <c r="F1369" s="37">
        <f t="shared" si="279"/>
        <v>1.5999710351425993E-4</v>
      </c>
      <c r="G1369" s="30">
        <f t="shared" si="280"/>
        <v>890.39662592348725</v>
      </c>
      <c r="H1369" s="38">
        <f t="shared" si="275"/>
        <v>209</v>
      </c>
      <c r="I1369" s="39">
        <f t="shared" si="276"/>
        <v>209.45653661875428</v>
      </c>
      <c r="J1369" s="40">
        <f t="shared" si="277"/>
        <v>114</v>
      </c>
      <c r="K1369" s="43">
        <f>VLOOKUP(J1369,Data!$Z$3:$AA$122,2)</f>
        <v>0</v>
      </c>
      <c r="L1369" s="41">
        <f t="shared" si="278"/>
        <v>0.45653661875428497</v>
      </c>
      <c r="M1369" s="43">
        <f>VLOOKUP(H1369,Data!$P$3:$X$122,9)</f>
        <v>0</v>
      </c>
      <c r="N1369" s="43">
        <f t="shared" si="281"/>
        <v>0</v>
      </c>
      <c r="O1369" s="43">
        <f t="shared" si="282"/>
        <v>0</v>
      </c>
      <c r="P1369" s="30">
        <f t="shared" si="283"/>
        <v>0</v>
      </c>
      <c r="Q1369" s="31">
        <f t="shared" si="285"/>
        <v>848340.75061972369</v>
      </c>
    </row>
    <row r="1370" spans="1:17" x14ac:dyDescent="0.25">
      <c r="A1370" s="6">
        <f t="shared" si="284"/>
        <v>84889</v>
      </c>
      <c r="B1370" s="30">
        <f>IFERROR(VLOOKUP(A1370, Data!$L$3:$N$123, 3),1)*Pension</f>
        <v>5565079.6568584731</v>
      </c>
      <c r="C1370" s="37">
        <f t="shared" si="273"/>
        <v>113.91649555099247</v>
      </c>
      <c r="D1370" s="37">
        <f>IFERROR(VLOOKUP(A1370,Data!$I$3:$J$1442,2),0)</f>
        <v>7.6977984999999999E-2</v>
      </c>
      <c r="E1370" s="37">
        <f t="shared" si="274"/>
        <v>7.6777984999999993E-2</v>
      </c>
      <c r="F1370" s="37">
        <f t="shared" si="279"/>
        <v>1.590520602042886E-4</v>
      </c>
      <c r="G1370" s="30">
        <f t="shared" si="280"/>
        <v>885.13738462431559</v>
      </c>
      <c r="H1370" s="38">
        <f t="shared" si="275"/>
        <v>209</v>
      </c>
      <c r="I1370" s="39">
        <f t="shared" si="276"/>
        <v>209.54140999315538</v>
      </c>
      <c r="J1370" s="40">
        <f t="shared" si="277"/>
        <v>114</v>
      </c>
      <c r="K1370" s="43">
        <f>VLOOKUP(J1370,Data!$Z$3:$AA$122,2)</f>
        <v>0</v>
      </c>
      <c r="L1370" s="41">
        <f t="shared" si="278"/>
        <v>0.54140999315538352</v>
      </c>
      <c r="M1370" s="43">
        <f>VLOOKUP(H1370,Data!$P$3:$X$122,9)</f>
        <v>0</v>
      </c>
      <c r="N1370" s="43">
        <f t="shared" si="281"/>
        <v>0</v>
      </c>
      <c r="O1370" s="43">
        <f t="shared" si="282"/>
        <v>0</v>
      </c>
      <c r="P1370" s="30">
        <f t="shared" si="283"/>
        <v>0</v>
      </c>
      <c r="Q1370" s="31">
        <f t="shared" si="285"/>
        <v>848340.75061972369</v>
      </c>
    </row>
    <row r="1371" spans="1:17" x14ac:dyDescent="0.25">
      <c r="A1371" s="6">
        <f t="shared" si="284"/>
        <v>84919</v>
      </c>
      <c r="B1371" s="30">
        <f>IFERROR(VLOOKUP(A1371, Data!$L$3:$N$123, 3),1)*Pension</f>
        <v>5565079.6568584731</v>
      </c>
      <c r="C1371" s="37">
        <f t="shared" si="273"/>
        <v>113.99863107460644</v>
      </c>
      <c r="D1371" s="37">
        <f>IFERROR(VLOOKUP(A1371,Data!$I$3:$J$1442,2),0)</f>
        <v>7.6972957999999994E-2</v>
      </c>
      <c r="E1371" s="37">
        <f t="shared" si="274"/>
        <v>7.6772957999999988E-2</v>
      </c>
      <c r="F1371" s="37">
        <f t="shared" si="279"/>
        <v>1.5814280317862417E-4</v>
      </c>
      <c r="G1371" s="30">
        <f t="shared" si="280"/>
        <v>880.0772968479348</v>
      </c>
      <c r="H1371" s="38">
        <f t="shared" si="275"/>
        <v>209</v>
      </c>
      <c r="I1371" s="39">
        <f t="shared" si="276"/>
        <v>209.62354551676933</v>
      </c>
      <c r="J1371" s="40">
        <f t="shared" si="277"/>
        <v>114</v>
      </c>
      <c r="K1371" s="43">
        <f>VLOOKUP(J1371,Data!$Z$3:$AA$122,2)</f>
        <v>0</v>
      </c>
      <c r="L1371" s="41">
        <f t="shared" si="278"/>
        <v>0.62354551676932601</v>
      </c>
      <c r="M1371" s="43">
        <f>VLOOKUP(H1371,Data!$P$3:$X$122,9)</f>
        <v>0</v>
      </c>
      <c r="N1371" s="43">
        <f t="shared" si="281"/>
        <v>0</v>
      </c>
      <c r="O1371" s="43">
        <f t="shared" si="282"/>
        <v>0</v>
      </c>
      <c r="P1371" s="30">
        <f t="shared" si="283"/>
        <v>0</v>
      </c>
      <c r="Q1371" s="31">
        <f t="shared" si="285"/>
        <v>848340.75061972369</v>
      </c>
    </row>
    <row r="1372" spans="1:17" x14ac:dyDescent="0.25">
      <c r="A1372" s="6">
        <f t="shared" si="284"/>
        <v>84950</v>
      </c>
      <c r="B1372" s="30">
        <f>IFERROR(VLOOKUP(A1372, Data!$L$3:$N$123, 3),1)*Pension</f>
        <v>5565079.6568584731</v>
      </c>
      <c r="C1372" s="37">
        <f t="shared" si="273"/>
        <v>114.08350444900753</v>
      </c>
      <c r="D1372" s="37">
        <f>IFERROR(VLOOKUP(A1372,Data!$I$3:$J$1442,2),0)</f>
        <v>7.6967770000000005E-2</v>
      </c>
      <c r="E1372" s="37">
        <f t="shared" si="274"/>
        <v>7.6767769999999999E-2</v>
      </c>
      <c r="F1372" s="37">
        <f t="shared" si="279"/>
        <v>1.5720871660968581E-4</v>
      </c>
      <c r="G1372" s="30">
        <f t="shared" si="280"/>
        <v>874.87903068539117</v>
      </c>
      <c r="H1372" s="38">
        <f t="shared" si="275"/>
        <v>209</v>
      </c>
      <c r="I1372" s="39">
        <f t="shared" si="276"/>
        <v>209.70841889117042</v>
      </c>
      <c r="J1372" s="40">
        <f t="shared" si="277"/>
        <v>114</v>
      </c>
      <c r="K1372" s="43">
        <f>VLOOKUP(J1372,Data!$Z$3:$AA$122,2)</f>
        <v>0</v>
      </c>
      <c r="L1372" s="41">
        <f t="shared" si="278"/>
        <v>0.70841889117042456</v>
      </c>
      <c r="M1372" s="43">
        <f>VLOOKUP(H1372,Data!$P$3:$X$122,9)</f>
        <v>0</v>
      </c>
      <c r="N1372" s="43">
        <f t="shared" si="281"/>
        <v>0</v>
      </c>
      <c r="O1372" s="43">
        <f t="shared" si="282"/>
        <v>0</v>
      </c>
      <c r="P1372" s="30">
        <f t="shared" si="283"/>
        <v>0</v>
      </c>
      <c r="Q1372" s="31">
        <f t="shared" si="285"/>
        <v>848340.75061972369</v>
      </c>
    </row>
    <row r="1373" spans="1:17" x14ac:dyDescent="0.25">
      <c r="A1373" s="6">
        <f t="shared" si="284"/>
        <v>84981</v>
      </c>
      <c r="B1373" s="30">
        <f>IFERROR(VLOOKUP(A1373, Data!$L$3:$N$123, 3),1)*Pension</f>
        <v>5565079.6568584731</v>
      </c>
      <c r="C1373" s="37">
        <f t="shared" si="273"/>
        <v>114.16837782340862</v>
      </c>
      <c r="D1373" s="37">
        <f>IFERROR(VLOOKUP(A1373,Data!$I$3:$J$1442,2),0)</f>
        <v>7.6962590999999997E-2</v>
      </c>
      <c r="E1373" s="37">
        <f t="shared" si="274"/>
        <v>7.6762590999999991E-2</v>
      </c>
      <c r="F1373" s="37">
        <f t="shared" si="279"/>
        <v>1.5628012436542601E-4</v>
      </c>
      <c r="G1373" s="30">
        <f t="shared" si="280"/>
        <v>869.71134087734447</v>
      </c>
      <c r="H1373" s="38">
        <f t="shared" si="275"/>
        <v>209</v>
      </c>
      <c r="I1373" s="39">
        <f t="shared" si="276"/>
        <v>209.79329226557152</v>
      </c>
      <c r="J1373" s="40">
        <f t="shared" si="277"/>
        <v>114</v>
      </c>
      <c r="K1373" s="43">
        <f>VLOOKUP(J1373,Data!$Z$3:$AA$122,2)</f>
        <v>0</v>
      </c>
      <c r="L1373" s="41">
        <f t="shared" si="278"/>
        <v>0.7932922655715231</v>
      </c>
      <c r="M1373" s="43">
        <f>VLOOKUP(H1373,Data!$P$3:$X$122,9)</f>
        <v>0</v>
      </c>
      <c r="N1373" s="43">
        <f t="shared" si="281"/>
        <v>0</v>
      </c>
      <c r="O1373" s="43">
        <f t="shared" si="282"/>
        <v>0</v>
      </c>
      <c r="P1373" s="30">
        <f t="shared" si="283"/>
        <v>0</v>
      </c>
      <c r="Q1373" s="31">
        <f t="shared" si="285"/>
        <v>848340.75061972369</v>
      </c>
    </row>
    <row r="1374" spans="1:17" x14ac:dyDescent="0.25">
      <c r="A1374" s="6">
        <f t="shared" si="284"/>
        <v>85011</v>
      </c>
      <c r="B1374" s="30">
        <f>IFERROR(VLOOKUP(A1374, Data!$L$3:$N$123, 3),1)*Pension</f>
        <v>5565079.6568584731</v>
      </c>
      <c r="C1374" s="37">
        <f t="shared" si="273"/>
        <v>114.25051334702259</v>
      </c>
      <c r="D1374" s="37">
        <f>IFERROR(VLOOKUP(A1374,Data!$I$3:$J$1442,2),0)</f>
        <v>7.6957584999999995E-2</v>
      </c>
      <c r="E1374" s="37">
        <f t="shared" si="274"/>
        <v>7.6757584999999989E-2</v>
      </c>
      <c r="F1374" s="37">
        <f t="shared" si="279"/>
        <v>1.5538673414642495E-4</v>
      </c>
      <c r="G1374" s="30">
        <f t="shared" si="280"/>
        <v>864.73955314394527</v>
      </c>
      <c r="H1374" s="38">
        <f t="shared" si="275"/>
        <v>209</v>
      </c>
      <c r="I1374" s="39">
        <f t="shared" si="276"/>
        <v>209.87542778918549</v>
      </c>
      <c r="J1374" s="40">
        <f t="shared" si="277"/>
        <v>114</v>
      </c>
      <c r="K1374" s="43">
        <f>VLOOKUP(J1374,Data!$Z$3:$AA$122,2)</f>
        <v>0</v>
      </c>
      <c r="L1374" s="41">
        <f t="shared" si="278"/>
        <v>0.87542778918549402</v>
      </c>
      <c r="M1374" s="43">
        <f>VLOOKUP(H1374,Data!$P$3:$X$122,9)</f>
        <v>0</v>
      </c>
      <c r="N1374" s="43">
        <f t="shared" si="281"/>
        <v>0</v>
      </c>
      <c r="O1374" s="43">
        <f t="shared" si="282"/>
        <v>0</v>
      </c>
      <c r="P1374" s="30">
        <f t="shared" si="283"/>
        <v>0</v>
      </c>
      <c r="Q1374" s="31">
        <f t="shared" si="285"/>
        <v>848340.75061972369</v>
      </c>
    </row>
    <row r="1375" spans="1:17" x14ac:dyDescent="0.25">
      <c r="A1375" s="6">
        <f t="shared" si="284"/>
        <v>85042</v>
      </c>
      <c r="B1375" s="30">
        <f>IFERROR(VLOOKUP(A1375, Data!$L$3:$N$123, 3),1)*Pension</f>
        <v>5565079.6568584731</v>
      </c>
      <c r="C1375" s="37">
        <f t="shared" si="273"/>
        <v>114.33538672142369</v>
      </c>
      <c r="D1375" s="37">
        <f>IFERROR(VLOOKUP(A1375,Data!$I$3:$J$1442,2),0)</f>
        <v>7.6952420999999993E-2</v>
      </c>
      <c r="E1375" s="37">
        <f t="shared" si="274"/>
        <v>7.6752420999999987E-2</v>
      </c>
      <c r="F1375" s="37">
        <f t="shared" si="279"/>
        <v>1.5446890610874966E-4</v>
      </c>
      <c r="G1375" s="30">
        <f t="shared" si="280"/>
        <v>859.63176700298425</v>
      </c>
      <c r="H1375" s="38">
        <f t="shared" si="275"/>
        <v>209</v>
      </c>
      <c r="I1375" s="39">
        <f t="shared" si="276"/>
        <v>209.96030116358659</v>
      </c>
      <c r="J1375" s="40">
        <f t="shared" si="277"/>
        <v>114</v>
      </c>
      <c r="K1375" s="43">
        <f>VLOOKUP(J1375,Data!$Z$3:$AA$122,2)</f>
        <v>0</v>
      </c>
      <c r="L1375" s="41">
        <f t="shared" si="278"/>
        <v>0.96030116358659257</v>
      </c>
      <c r="M1375" s="43">
        <f>VLOOKUP(H1375,Data!$P$3:$X$122,9)</f>
        <v>0</v>
      </c>
      <c r="N1375" s="43">
        <f t="shared" si="281"/>
        <v>0</v>
      </c>
      <c r="O1375" s="43">
        <f t="shared" si="282"/>
        <v>0</v>
      </c>
      <c r="P1375" s="30">
        <f t="shared" si="283"/>
        <v>0</v>
      </c>
      <c r="Q1375" s="31">
        <f t="shared" si="285"/>
        <v>848340.75061972369</v>
      </c>
    </row>
    <row r="1376" spans="1:17" x14ac:dyDescent="0.25">
      <c r="A1376" s="6">
        <f t="shared" si="284"/>
        <v>85072</v>
      </c>
      <c r="B1376" s="30">
        <f>IFERROR(VLOOKUP(A1376, Data!$L$3:$N$123, 3),1)*Pension</f>
        <v>5565079.6568584731</v>
      </c>
      <c r="C1376" s="37">
        <f t="shared" si="273"/>
        <v>114.41752224503765</v>
      </c>
      <c r="D1376" s="37">
        <f>IFERROR(VLOOKUP(A1376,Data!$I$3:$J$1442,2),0)</f>
        <v>7.6947429999999997E-2</v>
      </c>
      <c r="E1376" s="37">
        <f t="shared" si="274"/>
        <v>7.6747429999999991E-2</v>
      </c>
      <c r="F1376" s="37">
        <f t="shared" si="279"/>
        <v>1.5358586299575868E-4</v>
      </c>
      <c r="G1376" s="30">
        <f t="shared" si="280"/>
        <v>854.71756173874917</v>
      </c>
      <c r="H1376" s="38">
        <f t="shared" si="275"/>
        <v>210</v>
      </c>
      <c r="I1376" s="39">
        <f t="shared" si="276"/>
        <v>210.04243668720054</v>
      </c>
      <c r="J1376" s="40">
        <f t="shared" si="277"/>
        <v>115</v>
      </c>
      <c r="K1376" s="43">
        <f>VLOOKUP(J1376,Data!$Z$3:$AA$122,2)</f>
        <v>0</v>
      </c>
      <c r="L1376" s="41">
        <f t="shared" si="278"/>
        <v>4.2436687200535061E-2</v>
      </c>
      <c r="M1376" s="43">
        <f>VLOOKUP(H1376,Data!$P$3:$X$122,9)</f>
        <v>0</v>
      </c>
      <c r="N1376" s="43">
        <f t="shared" si="281"/>
        <v>0</v>
      </c>
      <c r="O1376" s="43">
        <f t="shared" si="282"/>
        <v>0</v>
      </c>
      <c r="P1376" s="30">
        <f t="shared" si="283"/>
        <v>0</v>
      </c>
      <c r="Q1376" s="31">
        <f t="shared" si="285"/>
        <v>848340.75061972369</v>
      </c>
    </row>
    <row r="1377" spans="1:17" x14ac:dyDescent="0.25">
      <c r="A1377" s="6">
        <f t="shared" si="284"/>
        <v>85103</v>
      </c>
      <c r="B1377" s="30">
        <f>IFERROR(VLOOKUP(A1377, Data!$L$3:$N$123, 3),1)*Pension</f>
        <v>5843333.6397013962</v>
      </c>
      <c r="C1377" s="37">
        <f t="shared" si="273"/>
        <v>114.50239561943874</v>
      </c>
      <c r="D1377" s="37">
        <f>IFERROR(VLOOKUP(A1377,Data!$I$3:$J$1442,2),0)</f>
        <v>7.6942280000000002E-2</v>
      </c>
      <c r="E1377" s="37">
        <f t="shared" si="274"/>
        <v>7.6742279999999996E-2</v>
      </c>
      <c r="F1377" s="37">
        <f t="shared" si="279"/>
        <v>1.5267869074247508E-4</v>
      </c>
      <c r="G1377" s="30">
        <f t="shared" si="280"/>
        <v>892.15252968107075</v>
      </c>
      <c r="H1377" s="38">
        <f t="shared" si="275"/>
        <v>210</v>
      </c>
      <c r="I1377" s="39">
        <f t="shared" si="276"/>
        <v>210.12731006160163</v>
      </c>
      <c r="J1377" s="40">
        <f t="shared" si="277"/>
        <v>115</v>
      </c>
      <c r="K1377" s="43">
        <f>VLOOKUP(J1377,Data!$Z$3:$AA$122,2)</f>
        <v>0</v>
      </c>
      <c r="L1377" s="41">
        <f t="shared" si="278"/>
        <v>0.12731006160163361</v>
      </c>
      <c r="M1377" s="43">
        <f>VLOOKUP(H1377,Data!$P$3:$X$122,9)</f>
        <v>0</v>
      </c>
      <c r="N1377" s="43">
        <f t="shared" si="281"/>
        <v>0</v>
      </c>
      <c r="O1377" s="43">
        <f t="shared" si="282"/>
        <v>0</v>
      </c>
      <c r="P1377" s="30">
        <f t="shared" si="283"/>
        <v>0</v>
      </c>
      <c r="Q1377" s="31">
        <f t="shared" si="285"/>
        <v>848340.75061972369</v>
      </c>
    </row>
    <row r="1378" spans="1:17" x14ac:dyDescent="0.25">
      <c r="A1378" s="6">
        <f t="shared" si="284"/>
        <v>85134</v>
      </c>
      <c r="B1378" s="30">
        <f>IFERROR(VLOOKUP(A1378, Data!$L$3:$N$123, 3),1)*Pension</f>
        <v>5843333.6397013962</v>
      </c>
      <c r="C1378" s="37">
        <f t="shared" si="273"/>
        <v>114.58726899383984</v>
      </c>
      <c r="D1378" s="37">
        <f>IFERROR(VLOOKUP(A1378,Data!$I$3:$J$1442,2),0)</f>
        <v>7.6937138000000002E-2</v>
      </c>
      <c r="E1378" s="37">
        <f t="shared" si="274"/>
        <v>7.6737137999999996E-2</v>
      </c>
      <c r="F1378" s="37">
        <f t="shared" si="279"/>
        <v>1.5177687035372508E-4</v>
      </c>
      <c r="G1378" s="30">
        <f t="shared" si="280"/>
        <v>886.88289226651932</v>
      </c>
      <c r="H1378" s="38">
        <f t="shared" si="275"/>
        <v>210</v>
      </c>
      <c r="I1378" s="39">
        <f t="shared" si="276"/>
        <v>210.21218343600273</v>
      </c>
      <c r="J1378" s="40">
        <f t="shared" si="277"/>
        <v>115</v>
      </c>
      <c r="K1378" s="43">
        <f>VLOOKUP(J1378,Data!$Z$3:$AA$122,2)</f>
        <v>0</v>
      </c>
      <c r="L1378" s="41">
        <f t="shared" si="278"/>
        <v>0.21218343600273215</v>
      </c>
      <c r="M1378" s="43">
        <f>VLOOKUP(H1378,Data!$P$3:$X$122,9)</f>
        <v>0</v>
      </c>
      <c r="N1378" s="43">
        <f t="shared" si="281"/>
        <v>0</v>
      </c>
      <c r="O1378" s="43">
        <f t="shared" si="282"/>
        <v>0</v>
      </c>
      <c r="P1378" s="30">
        <f t="shared" si="283"/>
        <v>0</v>
      </c>
      <c r="Q1378" s="31">
        <f t="shared" si="285"/>
        <v>848340.75061972369</v>
      </c>
    </row>
    <row r="1379" spans="1:17" x14ac:dyDescent="0.25">
      <c r="A1379" s="6">
        <f t="shared" si="284"/>
        <v>85162</v>
      </c>
      <c r="B1379" s="30">
        <f>IFERROR(VLOOKUP(A1379, Data!$L$3:$N$123, 3),1)*Pension</f>
        <v>5843333.6397013962</v>
      </c>
      <c r="C1379" s="37">
        <f t="shared" si="273"/>
        <v>114.66392881587953</v>
      </c>
      <c r="D1379" s="37">
        <f>IFERROR(VLOOKUP(A1379,Data!$I$3:$J$1442,2),0)</f>
        <v>7.6932501E-2</v>
      </c>
      <c r="E1379" s="37">
        <f t="shared" si="274"/>
        <v>7.6732500999999995E-2</v>
      </c>
      <c r="F1379" s="37">
        <f t="shared" si="279"/>
        <v>1.509668876128572E-4</v>
      </c>
      <c r="G1379" s="30">
        <f t="shared" si="280"/>
        <v>882.14989286922855</v>
      </c>
      <c r="H1379" s="38">
        <f t="shared" si="275"/>
        <v>210</v>
      </c>
      <c r="I1379" s="39">
        <f t="shared" si="276"/>
        <v>210.28884325804245</v>
      </c>
      <c r="J1379" s="40">
        <f t="shared" si="277"/>
        <v>115</v>
      </c>
      <c r="K1379" s="43">
        <f>VLOOKUP(J1379,Data!$Z$3:$AA$122,2)</f>
        <v>0</v>
      </c>
      <c r="L1379" s="41">
        <f t="shared" si="278"/>
        <v>0.28884325804244781</v>
      </c>
      <c r="M1379" s="43">
        <f>VLOOKUP(H1379,Data!$P$3:$X$122,9)</f>
        <v>0</v>
      </c>
      <c r="N1379" s="43">
        <f t="shared" si="281"/>
        <v>0</v>
      </c>
      <c r="O1379" s="43">
        <f t="shared" si="282"/>
        <v>0</v>
      </c>
      <c r="P1379" s="30">
        <f t="shared" si="283"/>
        <v>0</v>
      </c>
      <c r="Q1379" s="31">
        <f t="shared" si="285"/>
        <v>848340.75061972369</v>
      </c>
    </row>
    <row r="1380" spans="1:17" x14ac:dyDescent="0.25">
      <c r="A1380" s="6">
        <f t="shared" si="284"/>
        <v>85193</v>
      </c>
      <c r="B1380" s="30">
        <f>IFERROR(VLOOKUP(A1380, Data!$L$3:$N$123, 3),1)*Pension</f>
        <v>5843333.6397013962</v>
      </c>
      <c r="C1380" s="37">
        <f t="shared" si="273"/>
        <v>114.74880219028063</v>
      </c>
      <c r="D1380" s="37">
        <f>IFERROR(VLOOKUP(A1380,Data!$I$3:$J$1442,2),0)</f>
        <v>7.6927372999999993E-2</v>
      </c>
      <c r="E1380" s="37">
        <f t="shared" si="274"/>
        <v>7.6727372999999988E-2</v>
      </c>
      <c r="F1380" s="37">
        <f t="shared" si="279"/>
        <v>1.5007518637367935E-4</v>
      </c>
      <c r="G1380" s="30">
        <f t="shared" si="280"/>
        <v>876.93938502177718</v>
      </c>
      <c r="H1380" s="38">
        <f t="shared" si="275"/>
        <v>210</v>
      </c>
      <c r="I1380" s="39">
        <f t="shared" si="276"/>
        <v>210.37371663244352</v>
      </c>
      <c r="J1380" s="40">
        <f t="shared" si="277"/>
        <v>115</v>
      </c>
      <c r="K1380" s="43">
        <f>VLOOKUP(J1380,Data!$Z$3:$AA$122,2)</f>
        <v>0</v>
      </c>
      <c r="L1380" s="41">
        <f t="shared" si="278"/>
        <v>0.37371663244351794</v>
      </c>
      <c r="M1380" s="43">
        <f>VLOOKUP(H1380,Data!$P$3:$X$122,9)</f>
        <v>0</v>
      </c>
      <c r="N1380" s="43">
        <f t="shared" si="281"/>
        <v>0</v>
      </c>
      <c r="O1380" s="43">
        <f t="shared" si="282"/>
        <v>0</v>
      </c>
      <c r="P1380" s="30">
        <f t="shared" si="283"/>
        <v>0</v>
      </c>
      <c r="Q1380" s="31">
        <f t="shared" si="285"/>
        <v>848340.75061972369</v>
      </c>
    </row>
    <row r="1381" spans="1:17" x14ac:dyDescent="0.25">
      <c r="A1381" s="6">
        <f t="shared" si="284"/>
        <v>85223</v>
      </c>
      <c r="B1381" s="30">
        <f>IFERROR(VLOOKUP(A1381, Data!$L$3:$N$123, 3),1)*Pension</f>
        <v>5843333.6397013962</v>
      </c>
      <c r="C1381" s="37">
        <f t="shared" si="273"/>
        <v>114.8309377138946</v>
      </c>
      <c r="D1381" s="37">
        <f>IFERROR(VLOOKUP(A1381,Data!$I$3:$J$1442,2),0)</f>
        <v>7.6922418000000006E-2</v>
      </c>
      <c r="E1381" s="37">
        <f t="shared" si="274"/>
        <v>7.6722418000000001E-2</v>
      </c>
      <c r="F1381" s="37">
        <f t="shared" si="279"/>
        <v>1.4921725860063333E-4</v>
      </c>
      <c r="G1381" s="30">
        <f t="shared" si="280"/>
        <v>871.92622680510317</v>
      </c>
      <c r="H1381" s="38">
        <f t="shared" si="275"/>
        <v>210</v>
      </c>
      <c r="I1381" s="39">
        <f t="shared" si="276"/>
        <v>210.45585215605749</v>
      </c>
      <c r="J1381" s="40">
        <f t="shared" si="277"/>
        <v>115</v>
      </c>
      <c r="K1381" s="43">
        <f>VLOOKUP(J1381,Data!$Z$3:$AA$122,2)</f>
        <v>0</v>
      </c>
      <c r="L1381" s="41">
        <f t="shared" si="278"/>
        <v>0.45585215605748886</v>
      </c>
      <c r="M1381" s="43">
        <f>VLOOKUP(H1381,Data!$P$3:$X$122,9)</f>
        <v>0</v>
      </c>
      <c r="N1381" s="43">
        <f t="shared" si="281"/>
        <v>0</v>
      </c>
      <c r="O1381" s="43">
        <f t="shared" si="282"/>
        <v>0</v>
      </c>
      <c r="P1381" s="30">
        <f t="shared" si="283"/>
        <v>0</v>
      </c>
      <c r="Q1381" s="31">
        <f t="shared" si="285"/>
        <v>848340.75061972369</v>
      </c>
    </row>
    <row r="1382" spans="1:17" x14ac:dyDescent="0.25">
      <c r="A1382" s="6">
        <f t="shared" si="284"/>
        <v>85254</v>
      </c>
      <c r="B1382" s="30">
        <f>IFERROR(VLOOKUP(A1382, Data!$L$3:$N$123, 3),1)*Pension</f>
        <v>5843333.6397013962</v>
      </c>
      <c r="C1382" s="37">
        <f t="shared" si="273"/>
        <v>114.91581108829568</v>
      </c>
      <c r="D1382" s="37">
        <f>IFERROR(VLOOKUP(A1382,Data!$I$3:$J$1442,2),0)</f>
        <v>7.6917306000000005E-2</v>
      </c>
      <c r="E1382" s="37">
        <f t="shared" si="274"/>
        <v>7.6717305999999999E-2</v>
      </c>
      <c r="F1382" s="37">
        <f t="shared" si="279"/>
        <v>1.4833587296520401E-4</v>
      </c>
      <c r="G1382" s="30">
        <f t="shared" si="280"/>
        <v>866.77599647204954</v>
      </c>
      <c r="H1382" s="38">
        <f t="shared" si="275"/>
        <v>210</v>
      </c>
      <c r="I1382" s="39">
        <f t="shared" si="276"/>
        <v>210.54072553045859</v>
      </c>
      <c r="J1382" s="40">
        <f t="shared" si="277"/>
        <v>115</v>
      </c>
      <c r="K1382" s="43">
        <f>VLOOKUP(J1382,Data!$Z$3:$AA$122,2)</f>
        <v>0</v>
      </c>
      <c r="L1382" s="41">
        <f t="shared" si="278"/>
        <v>0.5407255304585874</v>
      </c>
      <c r="M1382" s="43">
        <f>VLOOKUP(H1382,Data!$P$3:$X$122,9)</f>
        <v>0</v>
      </c>
      <c r="N1382" s="43">
        <f t="shared" si="281"/>
        <v>0</v>
      </c>
      <c r="O1382" s="43">
        <f t="shared" si="282"/>
        <v>0</v>
      </c>
      <c r="P1382" s="30">
        <f t="shared" si="283"/>
        <v>0</v>
      </c>
      <c r="Q1382" s="31">
        <f t="shared" si="285"/>
        <v>848340.75061972369</v>
      </c>
    </row>
    <row r="1383" spans="1:17" x14ac:dyDescent="0.25">
      <c r="A1383" s="6">
        <f t="shared" si="284"/>
        <v>85284</v>
      </c>
      <c r="B1383" s="30">
        <f>IFERROR(VLOOKUP(A1383, Data!$L$3:$N$123, 3),1)*Pension</f>
        <v>5843333.6397013962</v>
      </c>
      <c r="C1383" s="37">
        <f t="shared" si="273"/>
        <v>114.99794661190965</v>
      </c>
      <c r="D1383" s="37">
        <f>IFERROR(VLOOKUP(A1383,Data!$I$3:$J$1442,2),0)</f>
        <v>7.6912364999999996E-2</v>
      </c>
      <c r="E1383" s="37">
        <f t="shared" si="274"/>
        <v>7.6712364999999991E-2</v>
      </c>
      <c r="F1383" s="37">
        <f t="shared" si="279"/>
        <v>1.4748789479431782E-4</v>
      </c>
      <c r="G1383" s="30">
        <f t="shared" si="280"/>
        <v>861.82097710037772</v>
      </c>
      <c r="H1383" s="38">
        <f t="shared" si="275"/>
        <v>210</v>
      </c>
      <c r="I1383" s="39">
        <f t="shared" si="276"/>
        <v>210.62286105407256</v>
      </c>
      <c r="J1383" s="40">
        <f t="shared" si="277"/>
        <v>115</v>
      </c>
      <c r="K1383" s="43">
        <f>VLOOKUP(J1383,Data!$Z$3:$AA$122,2)</f>
        <v>0</v>
      </c>
      <c r="L1383" s="41">
        <f t="shared" si="278"/>
        <v>0.62286105407255832</v>
      </c>
      <c r="M1383" s="43">
        <f>VLOOKUP(H1383,Data!$P$3:$X$122,9)</f>
        <v>0</v>
      </c>
      <c r="N1383" s="43">
        <f t="shared" si="281"/>
        <v>0</v>
      </c>
      <c r="O1383" s="43">
        <f t="shared" si="282"/>
        <v>0</v>
      </c>
      <c r="P1383" s="30">
        <f t="shared" si="283"/>
        <v>0</v>
      </c>
      <c r="Q1383" s="31">
        <f t="shared" si="285"/>
        <v>848340.75061972369</v>
      </c>
    </row>
    <row r="1384" spans="1:17" x14ac:dyDescent="0.25">
      <c r="A1384" s="6">
        <f t="shared" si="284"/>
        <v>85315</v>
      </c>
      <c r="B1384" s="30">
        <f>IFERROR(VLOOKUP(A1384, Data!$L$3:$N$123, 3),1)*Pension</f>
        <v>5843333.6397013962</v>
      </c>
      <c r="C1384" s="37">
        <f t="shared" si="273"/>
        <v>115.08281998631075</v>
      </c>
      <c r="D1384" s="37">
        <f>IFERROR(VLOOKUP(A1384,Data!$I$3:$J$1442,2),0)</f>
        <v>7.6907267000000001E-2</v>
      </c>
      <c r="E1384" s="37">
        <f t="shared" si="274"/>
        <v>7.6707266999999996E-2</v>
      </c>
      <c r="F1384" s="37">
        <f t="shared" si="279"/>
        <v>1.4661673808818201E-4</v>
      </c>
      <c r="G1384" s="30">
        <f t="shared" si="280"/>
        <v>856.73051781396293</v>
      </c>
      <c r="H1384" s="38">
        <f t="shared" si="275"/>
        <v>210</v>
      </c>
      <c r="I1384" s="39">
        <f t="shared" si="276"/>
        <v>210.70773442847366</v>
      </c>
      <c r="J1384" s="40">
        <f t="shared" si="277"/>
        <v>115</v>
      </c>
      <c r="K1384" s="43">
        <f>VLOOKUP(J1384,Data!$Z$3:$AA$122,2)</f>
        <v>0</v>
      </c>
      <c r="L1384" s="41">
        <f t="shared" si="278"/>
        <v>0.70773442847365686</v>
      </c>
      <c r="M1384" s="43">
        <f>VLOOKUP(H1384,Data!$P$3:$X$122,9)</f>
        <v>0</v>
      </c>
      <c r="N1384" s="43">
        <f t="shared" si="281"/>
        <v>0</v>
      </c>
      <c r="O1384" s="43">
        <f t="shared" si="282"/>
        <v>0</v>
      </c>
      <c r="P1384" s="30">
        <f t="shared" si="283"/>
        <v>0</v>
      </c>
      <c r="Q1384" s="31">
        <f t="shared" si="285"/>
        <v>848340.75061972369</v>
      </c>
    </row>
    <row r="1385" spans="1:17" x14ac:dyDescent="0.25">
      <c r="A1385" s="6">
        <f t="shared" si="284"/>
        <v>85346</v>
      </c>
      <c r="B1385" s="30">
        <f>IFERROR(VLOOKUP(A1385, Data!$L$3:$N$123, 3),1)*Pension</f>
        <v>5843333.6397013962</v>
      </c>
      <c r="C1385" s="37">
        <f t="shared" si="273"/>
        <v>115.16769336071184</v>
      </c>
      <c r="D1385" s="37">
        <f>IFERROR(VLOOKUP(A1385,Data!$I$3:$J$1442,2),0)</f>
        <v>7.6902177000000002E-2</v>
      </c>
      <c r="E1385" s="37">
        <f t="shared" si="274"/>
        <v>7.6702176999999996E-2</v>
      </c>
      <c r="F1385" s="37">
        <f t="shared" si="279"/>
        <v>1.4575071882599779E-4</v>
      </c>
      <c r="G1385" s="30">
        <f t="shared" si="280"/>
        <v>851.6700783266125</v>
      </c>
      <c r="H1385" s="38">
        <f t="shared" si="275"/>
        <v>210</v>
      </c>
      <c r="I1385" s="39">
        <f t="shared" si="276"/>
        <v>210.79260780287476</v>
      </c>
      <c r="J1385" s="40">
        <f t="shared" si="277"/>
        <v>115</v>
      </c>
      <c r="K1385" s="43">
        <f>VLOOKUP(J1385,Data!$Z$3:$AA$122,2)</f>
        <v>0</v>
      </c>
      <c r="L1385" s="41">
        <f t="shared" si="278"/>
        <v>0.79260780287475541</v>
      </c>
      <c r="M1385" s="43">
        <f>VLOOKUP(H1385,Data!$P$3:$X$122,9)</f>
        <v>0</v>
      </c>
      <c r="N1385" s="43">
        <f t="shared" si="281"/>
        <v>0</v>
      </c>
      <c r="O1385" s="43">
        <f t="shared" si="282"/>
        <v>0</v>
      </c>
      <c r="P1385" s="30">
        <f t="shared" si="283"/>
        <v>0</v>
      </c>
      <c r="Q1385" s="31">
        <f t="shared" si="285"/>
        <v>848340.75061972369</v>
      </c>
    </row>
    <row r="1386" spans="1:17" x14ac:dyDescent="0.25">
      <c r="A1386" s="6">
        <f t="shared" si="284"/>
        <v>85376</v>
      </c>
      <c r="B1386" s="30">
        <f>IFERROR(VLOOKUP(A1386, Data!$L$3:$N$123, 3),1)*Pension</f>
        <v>5843333.6397013962</v>
      </c>
      <c r="C1386" s="37">
        <f t="shared" si="273"/>
        <v>115.24982888432581</v>
      </c>
      <c r="D1386" s="37">
        <f>IFERROR(VLOOKUP(A1386,Data!$I$3:$J$1442,2),0)</f>
        <v>7.6897257999999996E-2</v>
      </c>
      <c r="E1386" s="37">
        <f t="shared" si="274"/>
        <v>7.669725799999999E-2</v>
      </c>
      <c r="F1386" s="37">
        <f t="shared" si="279"/>
        <v>1.4491751196819418E-4</v>
      </c>
      <c r="G1386" s="30">
        <f t="shared" si="280"/>
        <v>846.8013726655787</v>
      </c>
      <c r="H1386" s="38">
        <f t="shared" si="275"/>
        <v>210</v>
      </c>
      <c r="I1386" s="39">
        <f t="shared" si="276"/>
        <v>210.8747433264887</v>
      </c>
      <c r="J1386" s="40">
        <f t="shared" si="277"/>
        <v>115</v>
      </c>
      <c r="K1386" s="43">
        <f>VLOOKUP(J1386,Data!$Z$3:$AA$122,2)</f>
        <v>0</v>
      </c>
      <c r="L1386" s="41">
        <f t="shared" si="278"/>
        <v>0.8747433264886979</v>
      </c>
      <c r="M1386" s="43">
        <f>VLOOKUP(H1386,Data!$P$3:$X$122,9)</f>
        <v>0</v>
      </c>
      <c r="N1386" s="43">
        <f t="shared" si="281"/>
        <v>0</v>
      </c>
      <c r="O1386" s="43">
        <f t="shared" si="282"/>
        <v>0</v>
      </c>
      <c r="P1386" s="30">
        <f t="shared" si="283"/>
        <v>0</v>
      </c>
      <c r="Q1386" s="31">
        <f t="shared" si="285"/>
        <v>848340.75061972369</v>
      </c>
    </row>
    <row r="1387" spans="1:17" x14ac:dyDescent="0.25">
      <c r="A1387" s="6">
        <f t="shared" si="284"/>
        <v>85407</v>
      </c>
      <c r="B1387" s="30">
        <f>IFERROR(VLOOKUP(A1387, Data!$L$3:$N$123, 3),1)*Pension</f>
        <v>5843333.6397013962</v>
      </c>
      <c r="C1387" s="37">
        <f t="shared" si="273"/>
        <v>115.33470225872689</v>
      </c>
      <c r="D1387" s="37">
        <f>IFERROR(VLOOKUP(A1387,Data!$I$3:$J$1442,2),0)</f>
        <v>7.6892183000000003E-2</v>
      </c>
      <c r="E1387" s="37">
        <f t="shared" si="274"/>
        <v>7.6692182999999997E-2</v>
      </c>
      <c r="F1387" s="37">
        <f t="shared" si="279"/>
        <v>1.4406152511745222E-4</v>
      </c>
      <c r="G1387" s="30">
        <f t="shared" si="280"/>
        <v>841.79955590549616</v>
      </c>
      <c r="H1387" s="38">
        <f t="shared" si="275"/>
        <v>210</v>
      </c>
      <c r="I1387" s="39">
        <f t="shared" si="276"/>
        <v>210.9596167008898</v>
      </c>
      <c r="J1387" s="40">
        <f t="shared" si="277"/>
        <v>115</v>
      </c>
      <c r="K1387" s="43">
        <f>VLOOKUP(J1387,Data!$Z$3:$AA$122,2)</f>
        <v>0</v>
      </c>
      <c r="L1387" s="41">
        <f t="shared" si="278"/>
        <v>0.95961670088979645</v>
      </c>
      <c r="M1387" s="43">
        <f>VLOOKUP(H1387,Data!$P$3:$X$122,9)</f>
        <v>0</v>
      </c>
      <c r="N1387" s="43">
        <f t="shared" si="281"/>
        <v>0</v>
      </c>
      <c r="O1387" s="43">
        <f t="shared" si="282"/>
        <v>0</v>
      </c>
      <c r="P1387" s="30">
        <f t="shared" si="283"/>
        <v>0</v>
      </c>
      <c r="Q1387" s="31">
        <f t="shared" si="285"/>
        <v>848340.75061972369</v>
      </c>
    </row>
    <row r="1388" spans="1:17" x14ac:dyDescent="0.25">
      <c r="A1388" s="6">
        <f t="shared" si="284"/>
        <v>85437</v>
      </c>
      <c r="B1388" s="30">
        <f>IFERROR(VLOOKUP(A1388, Data!$L$3:$N$123, 3),1)*Pension</f>
        <v>5843333.6397013962</v>
      </c>
      <c r="C1388" s="37">
        <f t="shared" si="273"/>
        <v>115.41683778234086</v>
      </c>
      <c r="D1388" s="37">
        <f>IFERROR(VLOOKUP(A1388,Data!$I$3:$J$1442,2),0)</f>
        <v>7.6887278000000003E-2</v>
      </c>
      <c r="E1388" s="37">
        <f t="shared" si="274"/>
        <v>7.6687277999999998E-2</v>
      </c>
      <c r="F1388" s="37">
        <f t="shared" si="279"/>
        <v>1.4323797860261184E-4</v>
      </c>
      <c r="G1388" s="30">
        <f t="shared" si="280"/>
        <v>836.98729885147054</v>
      </c>
      <c r="H1388" s="38">
        <f t="shared" si="275"/>
        <v>211</v>
      </c>
      <c r="I1388" s="39">
        <f t="shared" si="276"/>
        <v>211.04175222450377</v>
      </c>
      <c r="J1388" s="40">
        <f t="shared" si="277"/>
        <v>116</v>
      </c>
      <c r="K1388" s="43">
        <f>VLOOKUP(J1388,Data!$Z$3:$AA$122,2)</f>
        <v>0</v>
      </c>
      <c r="L1388" s="41">
        <f t="shared" si="278"/>
        <v>4.1752224503767366E-2</v>
      </c>
      <c r="M1388" s="43">
        <f>VLOOKUP(H1388,Data!$P$3:$X$122,9)</f>
        <v>0</v>
      </c>
      <c r="N1388" s="43">
        <f t="shared" si="281"/>
        <v>0</v>
      </c>
      <c r="O1388" s="43">
        <f t="shared" si="282"/>
        <v>0</v>
      </c>
      <c r="P1388" s="30">
        <f t="shared" si="283"/>
        <v>0</v>
      </c>
      <c r="Q1388" s="31">
        <f t="shared" si="285"/>
        <v>848340.75061972369</v>
      </c>
    </row>
    <row r="1389" spans="1:17" x14ac:dyDescent="0.25">
      <c r="A1389" s="6">
        <f t="shared" si="284"/>
        <v>85468</v>
      </c>
      <c r="B1389" s="30">
        <f>IFERROR(VLOOKUP(A1389, Data!$L$3:$N$123, 3),1)*Pension</f>
        <v>6135500.3216864672</v>
      </c>
      <c r="C1389" s="37">
        <f t="shared" si="273"/>
        <v>115.50171115674196</v>
      </c>
      <c r="D1389" s="37">
        <f>IFERROR(VLOOKUP(A1389,Data!$I$3:$J$1442,2),0)</f>
        <v>7.6882217000000003E-2</v>
      </c>
      <c r="E1389" s="37">
        <f t="shared" si="274"/>
        <v>7.6682216999999997E-2</v>
      </c>
      <c r="F1389" s="37">
        <f t="shared" si="279"/>
        <v>1.4239192332865167E-4</v>
      </c>
      <c r="G1389" s="30">
        <f t="shared" si="280"/>
        <v>873.64569138849708</v>
      </c>
      <c r="H1389" s="38">
        <f t="shared" si="275"/>
        <v>211</v>
      </c>
      <c r="I1389" s="39">
        <f t="shared" si="276"/>
        <v>211.12662559890487</v>
      </c>
      <c r="J1389" s="40">
        <f t="shared" si="277"/>
        <v>116</v>
      </c>
      <c r="K1389" s="43">
        <f>VLOOKUP(J1389,Data!$Z$3:$AA$122,2)</f>
        <v>0</v>
      </c>
      <c r="L1389" s="41">
        <f t="shared" si="278"/>
        <v>0.12662559890486591</v>
      </c>
      <c r="M1389" s="43">
        <f>VLOOKUP(H1389,Data!$P$3:$X$122,9)</f>
        <v>0</v>
      </c>
      <c r="N1389" s="43">
        <f t="shared" si="281"/>
        <v>0</v>
      </c>
      <c r="O1389" s="43">
        <f t="shared" si="282"/>
        <v>0</v>
      </c>
      <c r="P1389" s="30">
        <f t="shared" si="283"/>
        <v>0</v>
      </c>
      <c r="Q1389" s="31">
        <f t="shared" si="285"/>
        <v>848340.75061972369</v>
      </c>
    </row>
    <row r="1390" spans="1:17" x14ac:dyDescent="0.25">
      <c r="A1390" s="6">
        <f t="shared" si="284"/>
        <v>85499</v>
      </c>
      <c r="B1390" s="30">
        <f>IFERROR(VLOOKUP(A1390, Data!$L$3:$N$123, 3),1)*Pension</f>
        <v>6135500.3216864672</v>
      </c>
      <c r="C1390" s="37">
        <f t="shared" si="273"/>
        <v>115.58658453114305</v>
      </c>
      <c r="D1390" s="37">
        <f>IFERROR(VLOOKUP(A1390,Data!$I$3:$J$1442,2),0)</f>
        <v>7.6877163999999998E-2</v>
      </c>
      <c r="E1390" s="37">
        <f t="shared" si="274"/>
        <v>7.6677163999999992E-2</v>
      </c>
      <c r="F1390" s="37">
        <f t="shared" si="279"/>
        <v>1.4155085611284939E-4</v>
      </c>
      <c r="G1390" s="30">
        <f t="shared" si="280"/>
        <v>868.48532321538232</v>
      </c>
      <c r="H1390" s="38">
        <f t="shared" si="275"/>
        <v>211</v>
      </c>
      <c r="I1390" s="39">
        <f t="shared" si="276"/>
        <v>211.21149897330596</v>
      </c>
      <c r="J1390" s="40">
        <f t="shared" si="277"/>
        <v>116</v>
      </c>
      <c r="K1390" s="43">
        <f>VLOOKUP(J1390,Data!$Z$3:$AA$122,2)</f>
        <v>0</v>
      </c>
      <c r="L1390" s="41">
        <f t="shared" si="278"/>
        <v>0.21149897330596445</v>
      </c>
      <c r="M1390" s="43">
        <f>VLOOKUP(H1390,Data!$P$3:$X$122,9)</f>
        <v>0</v>
      </c>
      <c r="N1390" s="43">
        <f t="shared" si="281"/>
        <v>0</v>
      </c>
      <c r="O1390" s="43">
        <f t="shared" si="282"/>
        <v>0</v>
      </c>
      <c r="P1390" s="30">
        <f t="shared" si="283"/>
        <v>0</v>
      </c>
      <c r="Q1390" s="31">
        <f t="shared" si="285"/>
        <v>848340.75061972369</v>
      </c>
    </row>
    <row r="1391" spans="1:17" x14ac:dyDescent="0.25">
      <c r="A1391" s="6">
        <f t="shared" si="284"/>
        <v>85527</v>
      </c>
      <c r="B1391" s="30">
        <f>IFERROR(VLOOKUP(A1391, Data!$L$3:$N$123, 3),1)*Pension</f>
        <v>6135500.3216864672</v>
      </c>
      <c r="C1391" s="37">
        <f t="shared" si="273"/>
        <v>115.66324435318275</v>
      </c>
      <c r="D1391" s="37">
        <f>IFERROR(VLOOKUP(A1391,Data!$I$3:$J$1442,2),0)</f>
        <v>7.6872605999999996E-2</v>
      </c>
      <c r="E1391" s="37">
        <f t="shared" si="274"/>
        <v>7.667260599999999E-2</v>
      </c>
      <c r="F1391" s="37">
        <f t="shared" si="279"/>
        <v>1.4079545945161129E-4</v>
      </c>
      <c r="G1391" s="30">
        <f t="shared" si="280"/>
        <v>863.85058675735502</v>
      </c>
      <c r="H1391" s="38">
        <f t="shared" si="275"/>
        <v>211</v>
      </c>
      <c r="I1391" s="39">
        <f t="shared" si="276"/>
        <v>211.28815879534565</v>
      </c>
      <c r="J1391" s="40">
        <f t="shared" si="277"/>
        <v>116</v>
      </c>
      <c r="K1391" s="43">
        <f>VLOOKUP(J1391,Data!$Z$3:$AA$122,2)</f>
        <v>0</v>
      </c>
      <c r="L1391" s="41">
        <f t="shared" si="278"/>
        <v>0.2881587953456517</v>
      </c>
      <c r="M1391" s="43">
        <f>VLOOKUP(H1391,Data!$P$3:$X$122,9)</f>
        <v>0</v>
      </c>
      <c r="N1391" s="43">
        <f t="shared" si="281"/>
        <v>0</v>
      </c>
      <c r="O1391" s="43">
        <f t="shared" si="282"/>
        <v>0</v>
      </c>
      <c r="P1391" s="30">
        <f t="shared" si="283"/>
        <v>0</v>
      </c>
      <c r="Q1391" s="31">
        <f t="shared" si="285"/>
        <v>848340.75061972369</v>
      </c>
    </row>
    <row r="1392" spans="1:17" x14ac:dyDescent="0.25">
      <c r="A1392" s="6">
        <f t="shared" si="284"/>
        <v>85558</v>
      </c>
      <c r="B1392" s="30">
        <f>IFERROR(VLOOKUP(A1392, Data!$L$3:$N$123, 3),1)*Pension</f>
        <v>6135500.3216864672</v>
      </c>
      <c r="C1392" s="37">
        <f t="shared" si="273"/>
        <v>115.74811772758385</v>
      </c>
      <c r="D1392" s="37">
        <f>IFERROR(VLOOKUP(A1392,Data!$I$3:$J$1442,2),0)</f>
        <v>7.6867566999999998E-2</v>
      </c>
      <c r="E1392" s="37">
        <f t="shared" si="274"/>
        <v>7.6667566999999992E-2</v>
      </c>
      <c r="F1392" s="37">
        <f t="shared" si="279"/>
        <v>1.3996382368404301E-4</v>
      </c>
      <c r="G1392" s="30">
        <f t="shared" si="280"/>
        <v>858.74808523791387</v>
      </c>
      <c r="H1392" s="38">
        <f t="shared" si="275"/>
        <v>211</v>
      </c>
      <c r="I1392" s="39">
        <f t="shared" si="276"/>
        <v>211.37303216974675</v>
      </c>
      <c r="J1392" s="40">
        <f t="shared" si="277"/>
        <v>116</v>
      </c>
      <c r="K1392" s="43">
        <f>VLOOKUP(J1392,Data!$Z$3:$AA$122,2)</f>
        <v>0</v>
      </c>
      <c r="L1392" s="41">
        <f t="shared" si="278"/>
        <v>0.37303216974675024</v>
      </c>
      <c r="M1392" s="43">
        <f>VLOOKUP(H1392,Data!$P$3:$X$122,9)</f>
        <v>0</v>
      </c>
      <c r="N1392" s="43">
        <f t="shared" si="281"/>
        <v>0</v>
      </c>
      <c r="O1392" s="43">
        <f t="shared" si="282"/>
        <v>0</v>
      </c>
      <c r="P1392" s="30">
        <f t="shared" si="283"/>
        <v>0</v>
      </c>
      <c r="Q1392" s="31">
        <f t="shared" si="285"/>
        <v>848340.75061972369</v>
      </c>
    </row>
    <row r="1393" spans="1:17" x14ac:dyDescent="0.25">
      <c r="A1393" s="6">
        <f t="shared" si="284"/>
        <v>85588</v>
      </c>
      <c r="B1393" s="30">
        <f>IFERROR(VLOOKUP(A1393, Data!$L$3:$N$123, 3),1)*Pension</f>
        <v>6135500.3216864672</v>
      </c>
      <c r="C1393" s="37">
        <f t="shared" si="273"/>
        <v>115.8302532511978</v>
      </c>
      <c r="D1393" s="37">
        <f>IFERROR(VLOOKUP(A1393,Data!$I$3:$J$1442,2),0)</f>
        <v>7.6862696999999994E-2</v>
      </c>
      <c r="E1393" s="37">
        <f t="shared" si="274"/>
        <v>7.6662696999999988E-2</v>
      </c>
      <c r="F1393" s="37">
        <f t="shared" si="279"/>
        <v>1.3916370160095592E-4</v>
      </c>
      <c r="G1393" s="30">
        <f t="shared" si="280"/>
        <v>853.8389359397446</v>
      </c>
      <c r="H1393" s="38">
        <f t="shared" si="275"/>
        <v>211</v>
      </c>
      <c r="I1393" s="39">
        <f t="shared" si="276"/>
        <v>211.45516769336072</v>
      </c>
      <c r="J1393" s="40">
        <f t="shared" si="277"/>
        <v>116</v>
      </c>
      <c r="K1393" s="43">
        <f>VLOOKUP(J1393,Data!$Z$3:$AA$122,2)</f>
        <v>0</v>
      </c>
      <c r="L1393" s="41">
        <f t="shared" si="278"/>
        <v>0.45516769336072116</v>
      </c>
      <c r="M1393" s="43">
        <f>VLOOKUP(H1393,Data!$P$3:$X$122,9)</f>
        <v>0</v>
      </c>
      <c r="N1393" s="43">
        <f t="shared" si="281"/>
        <v>0</v>
      </c>
      <c r="O1393" s="43">
        <f t="shared" si="282"/>
        <v>0</v>
      </c>
      <c r="P1393" s="30">
        <f t="shared" si="283"/>
        <v>0</v>
      </c>
      <c r="Q1393" s="31">
        <f t="shared" si="285"/>
        <v>848340.75061972369</v>
      </c>
    </row>
    <row r="1394" spans="1:17" x14ac:dyDescent="0.25">
      <c r="A1394" s="6">
        <f t="shared" si="284"/>
        <v>85619</v>
      </c>
      <c r="B1394" s="30">
        <f>IFERROR(VLOOKUP(A1394, Data!$L$3:$N$123, 3),1)*Pension</f>
        <v>6135500.3216864672</v>
      </c>
      <c r="C1394" s="37">
        <f t="shared" si="273"/>
        <v>115.9151266255989</v>
      </c>
      <c r="D1394" s="37">
        <f>IFERROR(VLOOKUP(A1394,Data!$I$3:$J$1442,2),0)</f>
        <v>7.6857672000000002E-2</v>
      </c>
      <c r="E1394" s="37">
        <f t="shared" si="274"/>
        <v>7.6657671999999996E-2</v>
      </c>
      <c r="F1394" s="37">
        <f t="shared" si="279"/>
        <v>1.3834171239532071E-4</v>
      </c>
      <c r="G1394" s="30">
        <f t="shared" si="280"/>
        <v>848.79562090414697</v>
      </c>
      <c r="H1394" s="38">
        <f t="shared" si="275"/>
        <v>211</v>
      </c>
      <c r="I1394" s="39">
        <f t="shared" si="276"/>
        <v>211.54004106776182</v>
      </c>
      <c r="J1394" s="40">
        <f t="shared" si="277"/>
        <v>116</v>
      </c>
      <c r="K1394" s="43">
        <f>VLOOKUP(J1394,Data!$Z$3:$AA$122,2)</f>
        <v>0</v>
      </c>
      <c r="L1394" s="41">
        <f t="shared" si="278"/>
        <v>0.5400410677618197</v>
      </c>
      <c r="M1394" s="43">
        <f>VLOOKUP(H1394,Data!$P$3:$X$122,9)</f>
        <v>0</v>
      </c>
      <c r="N1394" s="43">
        <f t="shared" si="281"/>
        <v>0</v>
      </c>
      <c r="O1394" s="43">
        <f t="shared" si="282"/>
        <v>0</v>
      </c>
      <c r="P1394" s="30">
        <f t="shared" si="283"/>
        <v>0</v>
      </c>
      <c r="Q1394" s="31">
        <f t="shared" si="285"/>
        <v>848340.75061972369</v>
      </c>
    </row>
    <row r="1395" spans="1:17" x14ac:dyDescent="0.25">
      <c r="A1395" s="6">
        <f t="shared" si="284"/>
        <v>85649</v>
      </c>
      <c r="B1395" s="30">
        <f>IFERROR(VLOOKUP(A1395, Data!$L$3:$N$123, 3),1)*Pension</f>
        <v>6135500.3216864672</v>
      </c>
      <c r="C1395" s="37">
        <f t="shared" si="273"/>
        <v>115.99726214921287</v>
      </c>
      <c r="D1395" s="37">
        <f>IFERROR(VLOOKUP(A1395,Data!$I$3:$J$1442,2),0)</f>
        <v>7.6852817000000004E-2</v>
      </c>
      <c r="E1395" s="37">
        <f t="shared" si="274"/>
        <v>7.6652816999999998E-2</v>
      </c>
      <c r="F1395" s="37">
        <f t="shared" si="279"/>
        <v>1.3755084766398459E-4</v>
      </c>
      <c r="G1395" s="30">
        <f t="shared" si="280"/>
        <v>843.94327009062363</v>
      </c>
      <c r="H1395" s="38">
        <f t="shared" si="275"/>
        <v>211</v>
      </c>
      <c r="I1395" s="39">
        <f t="shared" si="276"/>
        <v>211.62217659137576</v>
      </c>
      <c r="J1395" s="40">
        <f t="shared" si="277"/>
        <v>116</v>
      </c>
      <c r="K1395" s="43">
        <f>VLOOKUP(J1395,Data!$Z$3:$AA$122,2)</f>
        <v>0</v>
      </c>
      <c r="L1395" s="41">
        <f t="shared" si="278"/>
        <v>0.6221765913757622</v>
      </c>
      <c r="M1395" s="43">
        <f>VLOOKUP(H1395,Data!$P$3:$X$122,9)</f>
        <v>0</v>
      </c>
      <c r="N1395" s="43">
        <f t="shared" si="281"/>
        <v>0</v>
      </c>
      <c r="O1395" s="43">
        <f t="shared" si="282"/>
        <v>0</v>
      </c>
      <c r="P1395" s="30">
        <f t="shared" si="283"/>
        <v>0</v>
      </c>
      <c r="Q1395" s="31">
        <f t="shared" si="285"/>
        <v>848340.75061972369</v>
      </c>
    </row>
    <row r="1396" spans="1:17" x14ac:dyDescent="0.25">
      <c r="A1396" s="6">
        <f t="shared" si="284"/>
        <v>85680</v>
      </c>
      <c r="B1396" s="30">
        <f>IFERROR(VLOOKUP(A1396, Data!$L$3:$N$123, 3),1)*Pension</f>
        <v>6135500.3216864672</v>
      </c>
      <c r="C1396" s="37">
        <f t="shared" si="273"/>
        <v>116.08213552361396</v>
      </c>
      <c r="D1396" s="37">
        <f>IFERROR(VLOOKUP(A1396,Data!$I$3:$J$1442,2),0)</f>
        <v>7.6847806000000005E-2</v>
      </c>
      <c r="E1396" s="37">
        <f t="shared" si="274"/>
        <v>7.6647805999999999E-2</v>
      </c>
      <c r="F1396" s="37">
        <f t="shared" si="279"/>
        <v>1.3673839219304168E-4</v>
      </c>
      <c r="G1396" s="30">
        <f t="shared" si="280"/>
        <v>838.95844928729753</v>
      </c>
      <c r="H1396" s="38">
        <f t="shared" si="275"/>
        <v>211</v>
      </c>
      <c r="I1396" s="39">
        <f t="shared" si="276"/>
        <v>211.70704996577686</v>
      </c>
      <c r="J1396" s="40">
        <f t="shared" si="277"/>
        <v>116</v>
      </c>
      <c r="K1396" s="43">
        <f>VLOOKUP(J1396,Data!$Z$3:$AA$122,2)</f>
        <v>0</v>
      </c>
      <c r="L1396" s="41">
        <f t="shared" si="278"/>
        <v>0.70704996577686074</v>
      </c>
      <c r="M1396" s="43">
        <f>VLOOKUP(H1396,Data!$P$3:$X$122,9)</f>
        <v>0</v>
      </c>
      <c r="N1396" s="43">
        <f t="shared" si="281"/>
        <v>0</v>
      </c>
      <c r="O1396" s="43">
        <f t="shared" si="282"/>
        <v>0</v>
      </c>
      <c r="P1396" s="30">
        <f t="shared" si="283"/>
        <v>0</v>
      </c>
      <c r="Q1396" s="31">
        <f t="shared" si="285"/>
        <v>848340.75061972369</v>
      </c>
    </row>
    <row r="1397" spans="1:17" x14ac:dyDescent="0.25">
      <c r="A1397" s="6">
        <f t="shared" si="284"/>
        <v>85711</v>
      </c>
      <c r="B1397" s="30">
        <f>IFERROR(VLOOKUP(A1397, Data!$L$3:$N$123, 3),1)*Pension</f>
        <v>6135500.3216864672</v>
      </c>
      <c r="C1397" s="37">
        <f t="shared" si="273"/>
        <v>116.16700889801506</v>
      </c>
      <c r="D1397" s="37">
        <f>IFERROR(VLOOKUP(A1397,Data!$I$3:$J$1442,2),0)</f>
        <v>7.6842803000000001E-2</v>
      </c>
      <c r="E1397" s="37">
        <f t="shared" si="274"/>
        <v>7.6642802999999995E-2</v>
      </c>
      <c r="F1397" s="37">
        <f t="shared" si="279"/>
        <v>1.3593072485508764E-4</v>
      </c>
      <c r="G1397" s="30">
        <f t="shared" si="280"/>
        <v>834.0030060754649</v>
      </c>
      <c r="H1397" s="38">
        <f t="shared" si="275"/>
        <v>211</v>
      </c>
      <c r="I1397" s="39">
        <f t="shared" si="276"/>
        <v>211.79192334017796</v>
      </c>
      <c r="J1397" s="40">
        <f t="shared" si="277"/>
        <v>116</v>
      </c>
      <c r="K1397" s="43">
        <f>VLOOKUP(J1397,Data!$Z$3:$AA$122,2)</f>
        <v>0</v>
      </c>
      <c r="L1397" s="41">
        <f t="shared" si="278"/>
        <v>0.79192334017795929</v>
      </c>
      <c r="M1397" s="43">
        <f>VLOOKUP(H1397,Data!$P$3:$X$122,9)</f>
        <v>0</v>
      </c>
      <c r="N1397" s="43">
        <f t="shared" si="281"/>
        <v>0</v>
      </c>
      <c r="O1397" s="43">
        <f t="shared" si="282"/>
        <v>0</v>
      </c>
      <c r="P1397" s="30">
        <f t="shared" si="283"/>
        <v>0</v>
      </c>
      <c r="Q1397" s="31">
        <f t="shared" si="285"/>
        <v>848340.75061972369</v>
      </c>
    </row>
    <row r="1398" spans="1:17" x14ac:dyDescent="0.25">
      <c r="A1398" s="6">
        <f t="shared" si="284"/>
        <v>85741</v>
      </c>
      <c r="B1398" s="30">
        <f>IFERROR(VLOOKUP(A1398, Data!$L$3:$N$123, 3),1)*Pension</f>
        <v>6135500.3216864672</v>
      </c>
      <c r="C1398" s="37">
        <f t="shared" si="273"/>
        <v>116.24914442162903</v>
      </c>
      <c r="D1398" s="37">
        <f>IFERROR(VLOOKUP(A1398,Data!$I$3:$J$1442,2),0)</f>
        <v>7.6837969000000006E-2</v>
      </c>
      <c r="E1398" s="37">
        <f t="shared" si="274"/>
        <v>7.6637969E-2</v>
      </c>
      <c r="F1398" s="37">
        <f t="shared" si="279"/>
        <v>1.3515364352829554E-4</v>
      </c>
      <c r="G1398" s="30">
        <f t="shared" si="280"/>
        <v>829.23522334495533</v>
      </c>
      <c r="H1398" s="38">
        <f t="shared" si="275"/>
        <v>211</v>
      </c>
      <c r="I1398" s="39">
        <f t="shared" si="276"/>
        <v>211.87405886379193</v>
      </c>
      <c r="J1398" s="40">
        <f t="shared" si="277"/>
        <v>116</v>
      </c>
      <c r="K1398" s="43">
        <f>VLOOKUP(J1398,Data!$Z$3:$AA$122,2)</f>
        <v>0</v>
      </c>
      <c r="L1398" s="41">
        <f t="shared" si="278"/>
        <v>0.87405886379193021</v>
      </c>
      <c r="M1398" s="43">
        <f>VLOOKUP(H1398,Data!$P$3:$X$122,9)</f>
        <v>0</v>
      </c>
      <c r="N1398" s="43">
        <f t="shared" si="281"/>
        <v>0</v>
      </c>
      <c r="O1398" s="43">
        <f t="shared" si="282"/>
        <v>0</v>
      </c>
      <c r="P1398" s="30">
        <f t="shared" si="283"/>
        <v>0</v>
      </c>
      <c r="Q1398" s="31">
        <f t="shared" si="285"/>
        <v>848340.75061972369</v>
      </c>
    </row>
    <row r="1399" spans="1:17" x14ac:dyDescent="0.25">
      <c r="A1399" s="6">
        <f t="shared" si="284"/>
        <v>85772</v>
      </c>
      <c r="B1399" s="30">
        <f>IFERROR(VLOOKUP(A1399, Data!$L$3:$N$123, 3),1)*Pension</f>
        <v>6135500.3216864672</v>
      </c>
      <c r="C1399" s="37">
        <f t="shared" si="273"/>
        <v>116.33401779603011</v>
      </c>
      <c r="D1399" s="37">
        <f>IFERROR(VLOOKUP(A1399,Data!$I$3:$J$1442,2),0)</f>
        <v>7.6832979999999995E-2</v>
      </c>
      <c r="E1399" s="37">
        <f t="shared" si="274"/>
        <v>7.6632979999999989E-2</v>
      </c>
      <c r="F1399" s="37">
        <f t="shared" si="279"/>
        <v>1.3435534237542693E-4</v>
      </c>
      <c r="G1399" s="30">
        <f t="shared" si="280"/>
        <v>824.33724636472732</v>
      </c>
      <c r="H1399" s="38">
        <f t="shared" si="275"/>
        <v>211</v>
      </c>
      <c r="I1399" s="39">
        <f t="shared" si="276"/>
        <v>211.95893223819303</v>
      </c>
      <c r="J1399" s="40">
        <f t="shared" si="277"/>
        <v>116</v>
      </c>
      <c r="K1399" s="43">
        <f>VLOOKUP(J1399,Data!$Z$3:$AA$122,2)</f>
        <v>0</v>
      </c>
      <c r="L1399" s="41">
        <f t="shared" si="278"/>
        <v>0.95893223819302875</v>
      </c>
      <c r="M1399" s="43">
        <f>VLOOKUP(H1399,Data!$P$3:$X$122,9)</f>
        <v>0</v>
      </c>
      <c r="N1399" s="43">
        <f t="shared" si="281"/>
        <v>0</v>
      </c>
      <c r="O1399" s="43">
        <f t="shared" si="282"/>
        <v>0</v>
      </c>
      <c r="P1399" s="30">
        <f t="shared" si="283"/>
        <v>0</v>
      </c>
      <c r="Q1399" s="31">
        <f t="shared" si="285"/>
        <v>848340.75061972369</v>
      </c>
    </row>
    <row r="1400" spans="1:17" x14ac:dyDescent="0.25">
      <c r="A1400" s="6">
        <f t="shared" si="284"/>
        <v>85802</v>
      </c>
      <c r="B1400" s="30">
        <f>IFERROR(VLOOKUP(A1400, Data!$L$3:$N$123, 3),1)*Pension</f>
        <v>6135500.3216864672</v>
      </c>
      <c r="C1400" s="37">
        <f t="shared" si="273"/>
        <v>116.41615331964408</v>
      </c>
      <c r="D1400" s="37">
        <f>IFERROR(VLOOKUP(A1400,Data!$I$3:$J$1442,2),0)</f>
        <v>7.6828158999999993E-2</v>
      </c>
      <c r="E1400" s="37">
        <f t="shared" si="274"/>
        <v>7.6628158999999987E-2</v>
      </c>
      <c r="F1400" s="37">
        <f t="shared" si="279"/>
        <v>1.3358728056497046E-4</v>
      </c>
      <c r="G1400" s="30">
        <f t="shared" si="280"/>
        <v>819.62480287959659</v>
      </c>
      <c r="H1400" s="38">
        <f t="shared" si="275"/>
        <v>212</v>
      </c>
      <c r="I1400" s="39">
        <f t="shared" si="276"/>
        <v>212.04106776180697</v>
      </c>
      <c r="J1400" s="40">
        <f t="shared" si="277"/>
        <v>117</v>
      </c>
      <c r="K1400" s="43">
        <f>VLOOKUP(J1400,Data!$Z$3:$AA$122,2)</f>
        <v>0</v>
      </c>
      <c r="L1400" s="41">
        <f t="shared" si="278"/>
        <v>4.1067761806971248E-2</v>
      </c>
      <c r="M1400" s="43">
        <f>VLOOKUP(H1400,Data!$P$3:$X$122,9)</f>
        <v>0</v>
      </c>
      <c r="N1400" s="43">
        <f t="shared" si="281"/>
        <v>0</v>
      </c>
      <c r="O1400" s="43">
        <f t="shared" si="282"/>
        <v>0</v>
      </c>
      <c r="P1400" s="30">
        <f t="shared" si="283"/>
        <v>0</v>
      </c>
      <c r="Q1400" s="31">
        <f t="shared" si="285"/>
        <v>848340.75061972369</v>
      </c>
    </row>
    <row r="1401" spans="1:17" x14ac:dyDescent="0.25">
      <c r="A1401" s="6">
        <f t="shared" si="284"/>
        <v>85833</v>
      </c>
      <c r="B1401" s="30">
        <f>IFERROR(VLOOKUP(A1401, Data!$L$3:$N$123, 3),1)*Pension</f>
        <v>6442275.3377707889</v>
      </c>
      <c r="C1401" s="37">
        <f t="shared" si="273"/>
        <v>116.50102669404518</v>
      </c>
      <c r="D1401" s="37">
        <f>IFERROR(VLOOKUP(A1401,Data!$I$3:$J$1442,2),0)</f>
        <v>7.6823185000000002E-2</v>
      </c>
      <c r="E1401" s="37">
        <f t="shared" si="274"/>
        <v>7.6623184999999996E-2</v>
      </c>
      <c r="F1401" s="37">
        <f t="shared" si="279"/>
        <v>1.3279822047255791E-4</v>
      </c>
      <c r="G1401" s="30">
        <f t="shared" si="280"/>
        <v>855.52270065020764</v>
      </c>
      <c r="H1401" s="38">
        <f t="shared" si="275"/>
        <v>212</v>
      </c>
      <c r="I1401" s="39">
        <f t="shared" si="276"/>
        <v>212.12594113620807</v>
      </c>
      <c r="J1401" s="40">
        <f t="shared" si="277"/>
        <v>117</v>
      </c>
      <c r="K1401" s="43">
        <f>VLOOKUP(J1401,Data!$Z$3:$AA$122,2)</f>
        <v>0</v>
      </c>
      <c r="L1401" s="41">
        <f t="shared" si="278"/>
        <v>0.12594113620806979</v>
      </c>
      <c r="M1401" s="43">
        <f>VLOOKUP(H1401,Data!$P$3:$X$122,9)</f>
        <v>0</v>
      </c>
      <c r="N1401" s="43">
        <f t="shared" si="281"/>
        <v>0</v>
      </c>
      <c r="O1401" s="43">
        <f t="shared" si="282"/>
        <v>0</v>
      </c>
      <c r="P1401" s="30">
        <f t="shared" si="283"/>
        <v>0</v>
      </c>
      <c r="Q1401" s="31">
        <f t="shared" si="285"/>
        <v>848340.75061972369</v>
      </c>
    </row>
    <row r="1402" spans="1:17" x14ac:dyDescent="0.25">
      <c r="A1402" s="6">
        <f t="shared" si="284"/>
        <v>85864</v>
      </c>
      <c r="B1402" s="30">
        <f>IFERROR(VLOOKUP(A1402, Data!$L$3:$N$123, 3),1)*Pension</f>
        <v>6442275.3377707889</v>
      </c>
      <c r="C1402" s="37">
        <f t="shared" si="273"/>
        <v>116.58590006844626</v>
      </c>
      <c r="D1402" s="37">
        <f>IFERROR(VLOOKUP(A1402,Data!$I$3:$J$1442,2),0)</f>
        <v>7.6818217999999994E-2</v>
      </c>
      <c r="E1402" s="37">
        <f t="shared" si="274"/>
        <v>7.6618217999999988E-2</v>
      </c>
      <c r="F1402" s="37">
        <f t="shared" si="279"/>
        <v>1.3201382484729962E-4</v>
      </c>
      <c r="G1402" s="30">
        <f t="shared" si="280"/>
        <v>850.46940805855093</v>
      </c>
      <c r="H1402" s="38">
        <f t="shared" si="275"/>
        <v>212</v>
      </c>
      <c r="I1402" s="39">
        <f t="shared" si="276"/>
        <v>212.21081451060917</v>
      </c>
      <c r="J1402" s="40">
        <f t="shared" si="277"/>
        <v>117</v>
      </c>
      <c r="K1402" s="43">
        <f>VLOOKUP(J1402,Data!$Z$3:$AA$122,2)</f>
        <v>0</v>
      </c>
      <c r="L1402" s="41">
        <f t="shared" si="278"/>
        <v>0.21081451060916834</v>
      </c>
      <c r="M1402" s="43">
        <f>VLOOKUP(H1402,Data!$P$3:$X$122,9)</f>
        <v>0</v>
      </c>
      <c r="N1402" s="43">
        <f t="shared" si="281"/>
        <v>0</v>
      </c>
      <c r="O1402" s="43">
        <f t="shared" si="282"/>
        <v>0</v>
      </c>
      <c r="P1402" s="30">
        <f t="shared" si="283"/>
        <v>0</v>
      </c>
      <c r="Q1402" s="31">
        <f t="shared" si="285"/>
        <v>848340.75061972369</v>
      </c>
    </row>
    <row r="1403" spans="1:17" x14ac:dyDescent="0.25">
      <c r="A1403" s="6">
        <f t="shared" si="284"/>
        <v>85892</v>
      </c>
      <c r="B1403" s="30">
        <f>IFERROR(VLOOKUP(A1403, Data!$L$3:$N$123, 3),1)*Pension</f>
        <v>6442275.3377707889</v>
      </c>
      <c r="C1403" s="37">
        <f t="shared" si="273"/>
        <v>116.66255989048597</v>
      </c>
      <c r="D1403" s="37">
        <f>IFERROR(VLOOKUP(A1403,Data!$I$3:$J$1442,2),0)</f>
        <v>7.6813738000000006E-2</v>
      </c>
      <c r="E1403" s="37">
        <f t="shared" si="274"/>
        <v>7.6613738000000001E-2</v>
      </c>
      <c r="F1403" s="37">
        <f t="shared" si="279"/>
        <v>1.3130931984673541E-4</v>
      </c>
      <c r="G1403" s="30">
        <f t="shared" si="280"/>
        <v>845.93079286807995</v>
      </c>
      <c r="H1403" s="38">
        <f t="shared" si="275"/>
        <v>212</v>
      </c>
      <c r="I1403" s="39">
        <f t="shared" si="276"/>
        <v>212.28747433264888</v>
      </c>
      <c r="J1403" s="40">
        <f t="shared" si="277"/>
        <v>117</v>
      </c>
      <c r="K1403" s="43">
        <f>VLOOKUP(J1403,Data!$Z$3:$AA$122,2)</f>
        <v>0</v>
      </c>
      <c r="L1403" s="41">
        <f t="shared" si="278"/>
        <v>0.287474332648884</v>
      </c>
      <c r="M1403" s="43">
        <f>VLOOKUP(H1403,Data!$P$3:$X$122,9)</f>
        <v>0</v>
      </c>
      <c r="N1403" s="43">
        <f t="shared" si="281"/>
        <v>0</v>
      </c>
      <c r="O1403" s="43">
        <f t="shared" si="282"/>
        <v>0</v>
      </c>
      <c r="P1403" s="30">
        <f t="shared" si="283"/>
        <v>0</v>
      </c>
      <c r="Q1403" s="31">
        <f t="shared" si="285"/>
        <v>848340.75061972369</v>
      </c>
    </row>
    <row r="1404" spans="1:17" x14ac:dyDescent="0.25">
      <c r="A1404" s="6">
        <f t="shared" si="284"/>
        <v>85923</v>
      </c>
      <c r="B1404" s="30">
        <f>IFERROR(VLOOKUP(A1404, Data!$L$3:$N$123, 3),1)*Pension</f>
        <v>6442275.3377707889</v>
      </c>
      <c r="C1404" s="37">
        <f t="shared" si="273"/>
        <v>116.74743326488706</v>
      </c>
      <c r="D1404" s="37">
        <f>IFERROR(VLOOKUP(A1404,Data!$I$3:$J$1442,2),0)</f>
        <v>7.6808784000000005E-2</v>
      </c>
      <c r="E1404" s="37">
        <f t="shared" si="274"/>
        <v>7.6608783999999999E-2</v>
      </c>
      <c r="F1404" s="37">
        <f t="shared" si="279"/>
        <v>1.3053372995057745E-4</v>
      </c>
      <c r="G1404" s="30">
        <f t="shared" si="280"/>
        <v>840.93422920783723</v>
      </c>
      <c r="H1404" s="38">
        <f t="shared" si="275"/>
        <v>212</v>
      </c>
      <c r="I1404" s="39">
        <f t="shared" si="276"/>
        <v>212.37234770704995</v>
      </c>
      <c r="J1404" s="40">
        <f t="shared" si="277"/>
        <v>117</v>
      </c>
      <c r="K1404" s="43">
        <f>VLOOKUP(J1404,Data!$Z$3:$AA$122,2)</f>
        <v>0</v>
      </c>
      <c r="L1404" s="41">
        <f t="shared" si="278"/>
        <v>0.37234770704995412</v>
      </c>
      <c r="M1404" s="43">
        <f>VLOOKUP(H1404,Data!$P$3:$X$122,9)</f>
        <v>0</v>
      </c>
      <c r="N1404" s="43">
        <f t="shared" si="281"/>
        <v>0</v>
      </c>
      <c r="O1404" s="43">
        <f t="shared" si="282"/>
        <v>0</v>
      </c>
      <c r="P1404" s="30">
        <f t="shared" si="283"/>
        <v>0</v>
      </c>
      <c r="Q1404" s="31">
        <f t="shared" si="285"/>
        <v>848340.75061972369</v>
      </c>
    </row>
    <row r="1405" spans="1:17" x14ac:dyDescent="0.25">
      <c r="A1405" s="6">
        <f t="shared" si="284"/>
        <v>85953</v>
      </c>
      <c r="B1405" s="30">
        <f>IFERROR(VLOOKUP(A1405, Data!$L$3:$N$123, 3),1)*Pension</f>
        <v>6442275.3377707889</v>
      </c>
      <c r="C1405" s="37">
        <f t="shared" si="273"/>
        <v>116.82956878850102</v>
      </c>
      <c r="D1405" s="37">
        <f>IFERROR(VLOOKUP(A1405,Data!$I$3:$J$1442,2),0)</f>
        <v>7.6803997999999998E-2</v>
      </c>
      <c r="E1405" s="37">
        <f t="shared" si="274"/>
        <v>7.6603997999999993E-2</v>
      </c>
      <c r="F1405" s="37">
        <f t="shared" si="279"/>
        <v>1.297875008461506E-4</v>
      </c>
      <c r="G1405" s="30">
        <f t="shared" si="280"/>
        <v>836.12681585206144</v>
      </c>
      <c r="H1405" s="38">
        <f t="shared" si="275"/>
        <v>212</v>
      </c>
      <c r="I1405" s="39">
        <f t="shared" si="276"/>
        <v>212.45448323066393</v>
      </c>
      <c r="J1405" s="40">
        <f t="shared" si="277"/>
        <v>117</v>
      </c>
      <c r="K1405" s="43">
        <f>VLOOKUP(J1405,Data!$Z$3:$AA$122,2)</f>
        <v>0</v>
      </c>
      <c r="L1405" s="41">
        <f t="shared" si="278"/>
        <v>0.45448323066392504</v>
      </c>
      <c r="M1405" s="43">
        <f>VLOOKUP(H1405,Data!$P$3:$X$122,9)</f>
        <v>0</v>
      </c>
      <c r="N1405" s="43">
        <f t="shared" si="281"/>
        <v>0</v>
      </c>
      <c r="O1405" s="43">
        <f t="shared" si="282"/>
        <v>0</v>
      </c>
      <c r="P1405" s="30">
        <f t="shared" si="283"/>
        <v>0</v>
      </c>
      <c r="Q1405" s="31">
        <f t="shared" si="285"/>
        <v>848340.75061972369</v>
      </c>
    </row>
    <row r="1406" spans="1:17" x14ac:dyDescent="0.25">
      <c r="A1406" s="6">
        <f t="shared" si="284"/>
        <v>85984</v>
      </c>
      <c r="B1406" s="30">
        <f>IFERROR(VLOOKUP(A1406, Data!$L$3:$N$123, 3),1)*Pension</f>
        <v>6442275.3377707889</v>
      </c>
      <c r="C1406" s="37">
        <f t="shared" si="273"/>
        <v>116.91444216290212</v>
      </c>
      <c r="D1406" s="37">
        <f>IFERROR(VLOOKUP(A1406,Data!$I$3:$J$1442,2),0)</f>
        <v>7.6799058000000003E-2</v>
      </c>
      <c r="E1406" s="37">
        <f t="shared" si="274"/>
        <v>7.6599057999999998E-2</v>
      </c>
      <c r="F1406" s="37">
        <f t="shared" si="279"/>
        <v>1.2902090192860914E-4</v>
      </c>
      <c r="G1406" s="30">
        <f t="shared" si="280"/>
        <v>831.1881745516223</v>
      </c>
      <c r="H1406" s="38">
        <f t="shared" si="275"/>
        <v>212</v>
      </c>
      <c r="I1406" s="39">
        <f t="shared" si="276"/>
        <v>212.53935660506502</v>
      </c>
      <c r="J1406" s="40">
        <f t="shared" si="277"/>
        <v>117</v>
      </c>
      <c r="K1406" s="43">
        <f>VLOOKUP(J1406,Data!$Z$3:$AA$122,2)</f>
        <v>0</v>
      </c>
      <c r="L1406" s="41">
        <f t="shared" si="278"/>
        <v>0.53935660506502359</v>
      </c>
      <c r="M1406" s="43">
        <f>VLOOKUP(H1406,Data!$P$3:$X$122,9)</f>
        <v>0</v>
      </c>
      <c r="N1406" s="43">
        <f t="shared" si="281"/>
        <v>0</v>
      </c>
      <c r="O1406" s="43">
        <f t="shared" si="282"/>
        <v>0</v>
      </c>
      <c r="P1406" s="30">
        <f t="shared" si="283"/>
        <v>0</v>
      </c>
      <c r="Q1406" s="31">
        <f t="shared" si="285"/>
        <v>848340.75061972369</v>
      </c>
    </row>
    <row r="1407" spans="1:17" x14ac:dyDescent="0.25">
      <c r="A1407" s="6">
        <f t="shared" si="284"/>
        <v>86014</v>
      </c>
      <c r="B1407" s="30">
        <f>IFERROR(VLOOKUP(A1407, Data!$L$3:$N$123, 3),1)*Pension</f>
        <v>6442275.3377707889</v>
      </c>
      <c r="C1407" s="37">
        <f t="shared" si="273"/>
        <v>116.99657768651609</v>
      </c>
      <c r="D1407" s="37">
        <f>IFERROR(VLOOKUP(A1407,Data!$I$3:$J$1442,2),0)</f>
        <v>7.6794285000000004E-2</v>
      </c>
      <c r="E1407" s="37">
        <f t="shared" si="274"/>
        <v>7.6594284999999998E-2</v>
      </c>
      <c r="F1407" s="37">
        <f t="shared" si="279"/>
        <v>1.2828333119182313E-4</v>
      </c>
      <c r="G1407" s="30">
        <f t="shared" si="280"/>
        <v>826.43654078416432</v>
      </c>
      <c r="H1407" s="38">
        <f t="shared" si="275"/>
        <v>212</v>
      </c>
      <c r="I1407" s="39">
        <f t="shared" si="276"/>
        <v>212.62149212867899</v>
      </c>
      <c r="J1407" s="40">
        <f t="shared" si="277"/>
        <v>117</v>
      </c>
      <c r="K1407" s="43">
        <f>VLOOKUP(J1407,Data!$Z$3:$AA$122,2)</f>
        <v>0</v>
      </c>
      <c r="L1407" s="41">
        <f t="shared" si="278"/>
        <v>0.6214921286789945</v>
      </c>
      <c r="M1407" s="43">
        <f>VLOOKUP(H1407,Data!$P$3:$X$122,9)</f>
        <v>0</v>
      </c>
      <c r="N1407" s="43">
        <f t="shared" si="281"/>
        <v>0</v>
      </c>
      <c r="O1407" s="43">
        <f t="shared" si="282"/>
        <v>0</v>
      </c>
      <c r="P1407" s="30">
        <f t="shared" si="283"/>
        <v>0</v>
      </c>
      <c r="Q1407" s="31">
        <f t="shared" si="285"/>
        <v>848340.75061972369</v>
      </c>
    </row>
    <row r="1408" spans="1:17" x14ac:dyDescent="0.25">
      <c r="A1408" s="6">
        <f t="shared" si="284"/>
        <v>86045</v>
      </c>
      <c r="B1408" s="30">
        <f>IFERROR(VLOOKUP(A1408, Data!$L$3:$N$123, 3),1)*Pension</f>
        <v>6442275.3377707889</v>
      </c>
      <c r="C1408" s="37">
        <f t="shared" si="273"/>
        <v>117.08145106091717</v>
      </c>
      <c r="D1408" s="37">
        <f>IFERROR(VLOOKUP(A1408,Data!$I$3:$J$1442,2),0)</f>
        <v>7.6789360000000001E-2</v>
      </c>
      <c r="E1408" s="37">
        <f t="shared" si="274"/>
        <v>7.6589359999999995E-2</v>
      </c>
      <c r="F1408" s="37">
        <f t="shared" si="279"/>
        <v>1.2752560313452493E-4</v>
      </c>
      <c r="G1408" s="30">
        <f t="shared" si="280"/>
        <v>821.55504800789515</v>
      </c>
      <c r="H1408" s="38">
        <f t="shared" si="275"/>
        <v>212</v>
      </c>
      <c r="I1408" s="39">
        <f t="shared" si="276"/>
        <v>212.70636550308009</v>
      </c>
      <c r="J1408" s="40">
        <f t="shared" si="277"/>
        <v>117</v>
      </c>
      <c r="K1408" s="43">
        <f>VLOOKUP(J1408,Data!$Z$3:$AA$122,2)</f>
        <v>0</v>
      </c>
      <c r="L1408" s="41">
        <f t="shared" si="278"/>
        <v>0.70636550308009305</v>
      </c>
      <c r="M1408" s="43">
        <f>VLOOKUP(H1408,Data!$P$3:$X$122,9)</f>
        <v>0</v>
      </c>
      <c r="N1408" s="43">
        <f t="shared" si="281"/>
        <v>0</v>
      </c>
      <c r="O1408" s="43">
        <f t="shared" si="282"/>
        <v>0</v>
      </c>
      <c r="P1408" s="30">
        <f t="shared" si="283"/>
        <v>0</v>
      </c>
      <c r="Q1408" s="31">
        <f t="shared" si="285"/>
        <v>848340.75061972369</v>
      </c>
    </row>
    <row r="1409" spans="1:17" x14ac:dyDescent="0.25">
      <c r="A1409" s="6">
        <f t="shared" si="284"/>
        <v>86076</v>
      </c>
      <c r="B1409" s="30">
        <f>IFERROR(VLOOKUP(A1409, Data!$L$3:$N$123, 3),1)*Pension</f>
        <v>6442275.3377707889</v>
      </c>
      <c r="C1409" s="37">
        <f t="shared" si="273"/>
        <v>117.16632443531827</v>
      </c>
      <c r="D1409" s="37">
        <f>IFERROR(VLOOKUP(A1409,Data!$I$3:$J$1442,2),0)</f>
        <v>7.6784441999999994E-2</v>
      </c>
      <c r="E1409" s="37">
        <f t="shared" si="274"/>
        <v>7.6584441999999989E-2</v>
      </c>
      <c r="F1409" s="37">
        <f t="shared" si="279"/>
        <v>1.2677235273914072E-4</v>
      </c>
      <c r="G1409" s="30">
        <f t="shared" si="280"/>
        <v>816.70240156254545</v>
      </c>
      <c r="H1409" s="38">
        <f t="shared" si="275"/>
        <v>212</v>
      </c>
      <c r="I1409" s="39">
        <f t="shared" si="276"/>
        <v>212.79123887748116</v>
      </c>
      <c r="J1409" s="40">
        <f t="shared" si="277"/>
        <v>117</v>
      </c>
      <c r="K1409" s="43">
        <f>VLOOKUP(J1409,Data!$Z$3:$AA$122,2)</f>
        <v>0</v>
      </c>
      <c r="L1409" s="41">
        <f t="shared" si="278"/>
        <v>0.79123887748116317</v>
      </c>
      <c r="M1409" s="43">
        <f>VLOOKUP(H1409,Data!$P$3:$X$122,9)</f>
        <v>0</v>
      </c>
      <c r="N1409" s="43">
        <f t="shared" si="281"/>
        <v>0</v>
      </c>
      <c r="O1409" s="43">
        <f t="shared" si="282"/>
        <v>0</v>
      </c>
      <c r="P1409" s="30">
        <f t="shared" si="283"/>
        <v>0</v>
      </c>
      <c r="Q1409" s="31">
        <f t="shared" si="285"/>
        <v>848340.75061972369</v>
      </c>
    </row>
    <row r="1410" spans="1:17" x14ac:dyDescent="0.25">
      <c r="A1410" s="6">
        <f t="shared" si="284"/>
        <v>86106</v>
      </c>
      <c r="B1410" s="30">
        <f>IFERROR(VLOOKUP(A1410, Data!$L$3:$N$123, 3),1)*Pension</f>
        <v>6442275.3377707889</v>
      </c>
      <c r="C1410" s="37">
        <f t="shared" si="273"/>
        <v>117.24845995893224</v>
      </c>
      <c r="D1410" s="37">
        <f>IFERROR(VLOOKUP(A1410,Data!$I$3:$J$1442,2),0)</f>
        <v>7.6779689999999998E-2</v>
      </c>
      <c r="E1410" s="37">
        <f t="shared" si="274"/>
        <v>7.6579689999999992E-2</v>
      </c>
      <c r="F1410" s="37">
        <f t="shared" si="279"/>
        <v>1.2604762873162509E-4</v>
      </c>
      <c r="G1410" s="30">
        <f t="shared" si="280"/>
        <v>812.03352996223703</v>
      </c>
      <c r="H1410" s="38">
        <f t="shared" si="275"/>
        <v>212</v>
      </c>
      <c r="I1410" s="39">
        <f t="shared" si="276"/>
        <v>212.87337440109513</v>
      </c>
      <c r="J1410" s="40">
        <f t="shared" si="277"/>
        <v>117</v>
      </c>
      <c r="K1410" s="43">
        <f>VLOOKUP(J1410,Data!$Z$3:$AA$122,2)</f>
        <v>0</v>
      </c>
      <c r="L1410" s="41">
        <f t="shared" si="278"/>
        <v>0.87337440109513409</v>
      </c>
      <c r="M1410" s="43">
        <f>VLOOKUP(H1410,Data!$P$3:$X$122,9)</f>
        <v>0</v>
      </c>
      <c r="N1410" s="43">
        <f t="shared" si="281"/>
        <v>0</v>
      </c>
      <c r="O1410" s="43">
        <f t="shared" si="282"/>
        <v>0</v>
      </c>
      <c r="P1410" s="30">
        <f t="shared" si="283"/>
        <v>0</v>
      </c>
      <c r="Q1410" s="31">
        <f t="shared" si="285"/>
        <v>848340.75061972369</v>
      </c>
    </row>
    <row r="1411" spans="1:17" x14ac:dyDescent="0.25">
      <c r="A1411" s="6">
        <f t="shared" si="284"/>
        <v>86137</v>
      </c>
      <c r="B1411" s="30">
        <f>IFERROR(VLOOKUP(A1411, Data!$L$3:$N$123, 3),1)*Pension</f>
        <v>6442275.3377707889</v>
      </c>
      <c r="C1411" s="37">
        <f t="shared" ref="C1411:C1443" si="286">(A1411-EffDate)/365.25</f>
        <v>117.33333333333333</v>
      </c>
      <c r="D1411" s="37">
        <f>IFERROR(VLOOKUP(A1411,Data!$I$3:$J$1442,2),0)</f>
        <v>7.6774785999999998E-2</v>
      </c>
      <c r="E1411" s="37">
        <f t="shared" ref="E1411:E1443" si="287">D1411-Fees</f>
        <v>7.6574785999999992E-2</v>
      </c>
      <c r="F1411" s="37">
        <f t="shared" si="279"/>
        <v>1.2530310815461626E-4</v>
      </c>
      <c r="G1411" s="30">
        <f t="shared" si="280"/>
        <v>807.23712341051021</v>
      </c>
      <c r="H1411" s="38">
        <f t="shared" ref="H1411:H1443" si="288">IF(OR(A1411 = DATE(YEAR(A1411), MONTH(Date_of_Birth), DAY(Date_of_Birth)),AND(A1411 = DATE(YEAR(A1411), MONTH(Date_of_Birth), DAY(Date_of_Birth)-1), AND(MONTH(Date_of_Birth)=2, DAY(Date_of_Birth) = 29))), ROUND((A1411-Date_of_Birth)/365.25,0),ROUNDDOWN((A1411-Date_of_Birth)/365.25,0))</f>
        <v>212</v>
      </c>
      <c r="I1411" s="39">
        <f t="shared" ref="I1411:I1443" si="289">IF(OR(A1411 = DATE(YEAR(A1411), MONTH(Date_of_Birth), DAY(Date_of_Birth)),AND(A1411 = DATE(YEAR(A1411), MONTH(Date_of_Birth), DAY(Date_of_Birth)-1), AND(MONTH(Date_of_Birth)=2, DAY(Date_of_Birth) = 29))), ROUND((A1411-Date_of_Birth)/365.25,0),(A1411-Date_of_Birth)/365.25)</f>
        <v>212.95824777549623</v>
      </c>
      <c r="J1411" s="40">
        <f t="shared" ref="J1411:J1443" si="290">H1411-StartAge</f>
        <v>117</v>
      </c>
      <c r="K1411" s="43">
        <f>VLOOKUP(J1411,Data!$Z$3:$AA$122,2)</f>
        <v>0</v>
      </c>
      <c r="L1411" s="41">
        <f t="shared" ref="L1411:L1443" si="291">IF(A1411&lt;=NextBirth,(A1411-EffDate)/365.25,(I1411-H1411))</f>
        <v>0.95824777549623263</v>
      </c>
      <c r="M1411" s="43">
        <f>VLOOKUP(H1411,Data!$P$3:$X$122,9)</f>
        <v>0</v>
      </c>
      <c r="N1411" s="43">
        <f t="shared" si="281"/>
        <v>0</v>
      </c>
      <c r="O1411" s="43">
        <f t="shared" si="282"/>
        <v>0</v>
      </c>
      <c r="P1411" s="30">
        <f t="shared" si="283"/>
        <v>0</v>
      </c>
      <c r="Q1411" s="31">
        <f t="shared" si="285"/>
        <v>848340.75061972369</v>
      </c>
    </row>
    <row r="1412" spans="1:17" x14ac:dyDescent="0.25">
      <c r="A1412" s="6">
        <f t="shared" si="284"/>
        <v>86167</v>
      </c>
      <c r="B1412" s="30">
        <f>IFERROR(VLOOKUP(A1412, Data!$L$3:$N$123, 3),1)*Pension</f>
        <v>6442275.3377707889</v>
      </c>
      <c r="C1412" s="37">
        <f t="shared" si="286"/>
        <v>117.4154688569473</v>
      </c>
      <c r="D1412" s="37">
        <f>IFERROR(VLOOKUP(A1412,Data!$I$3:$J$1442,2),0)</f>
        <v>7.6770046999999994E-2</v>
      </c>
      <c r="E1412" s="37">
        <f t="shared" si="287"/>
        <v>7.6570046999999988E-2</v>
      </c>
      <c r="F1412" s="37">
        <f t="shared" ref="F1412:F1443" si="292">EXP(-E1412*C1412)</f>
        <v>1.2458679094555242E-4</v>
      </c>
      <c r="G1412" s="30">
        <f t="shared" ref="G1412:G1443" si="293">B1412*F1412</f>
        <v>802.62241072053746</v>
      </c>
      <c r="H1412" s="38">
        <f t="shared" si="288"/>
        <v>213</v>
      </c>
      <c r="I1412" s="39">
        <f t="shared" si="289"/>
        <v>213.0403832991102</v>
      </c>
      <c r="J1412" s="40">
        <f t="shared" si="290"/>
        <v>118</v>
      </c>
      <c r="K1412" s="43">
        <f>VLOOKUP(J1412,Data!$Z$3:$AA$122,2)</f>
        <v>0</v>
      </c>
      <c r="L1412" s="41">
        <f t="shared" si="291"/>
        <v>4.0383299110203552E-2</v>
      </c>
      <c r="M1412" s="43">
        <f>VLOOKUP(H1412,Data!$P$3:$X$122,9)</f>
        <v>0</v>
      </c>
      <c r="N1412" s="43">
        <f t="shared" ref="N1412:N1443" si="294">IF(M1412=0, 0, EXP(-L1412*M1412))</f>
        <v>0</v>
      </c>
      <c r="O1412" s="43">
        <f t="shared" ref="O1412:O1443" si="295">K1412*N1412</f>
        <v>0</v>
      </c>
      <c r="P1412" s="30">
        <f t="shared" ref="P1412:P1443" si="296">G1412*O1412</f>
        <v>0</v>
      </c>
      <c r="Q1412" s="31">
        <f t="shared" si="285"/>
        <v>848340.75061972369</v>
      </c>
    </row>
    <row r="1413" spans="1:17" x14ac:dyDescent="0.25">
      <c r="A1413" s="6">
        <f t="shared" ref="A1413:A1443" si="297">EOMONTH(A1412,1)</f>
        <v>86198</v>
      </c>
      <c r="B1413" s="30">
        <f>IFERROR(VLOOKUP(A1413, Data!$L$3:$N$123, 3),1)*Pension</f>
        <v>6764389.1046593273</v>
      </c>
      <c r="C1413" s="37">
        <f t="shared" si="286"/>
        <v>117.5003422313484</v>
      </c>
      <c r="D1413" s="37">
        <f>IFERROR(VLOOKUP(A1413,Data!$I$3:$J$1442,2),0)</f>
        <v>7.6765157000000001E-2</v>
      </c>
      <c r="E1413" s="37">
        <f t="shared" si="287"/>
        <v>7.6565156999999995E-2</v>
      </c>
      <c r="F1413" s="37">
        <f t="shared" si="292"/>
        <v>1.238508981054927E-4</v>
      </c>
      <c r="G1413" s="30">
        <f t="shared" si="293"/>
        <v>837.77566574706736</v>
      </c>
      <c r="H1413" s="38">
        <f t="shared" si="288"/>
        <v>213</v>
      </c>
      <c r="I1413" s="39">
        <f t="shared" si="289"/>
        <v>213.1252566735113</v>
      </c>
      <c r="J1413" s="40">
        <f t="shared" si="290"/>
        <v>118</v>
      </c>
      <c r="K1413" s="43">
        <f>VLOOKUP(J1413,Data!$Z$3:$AA$122,2)</f>
        <v>0</v>
      </c>
      <c r="L1413" s="41">
        <f t="shared" si="291"/>
        <v>0.1252566735113021</v>
      </c>
      <c r="M1413" s="43">
        <f>VLOOKUP(H1413,Data!$P$3:$X$122,9)</f>
        <v>0</v>
      </c>
      <c r="N1413" s="43">
        <f t="shared" si="294"/>
        <v>0</v>
      </c>
      <c r="O1413" s="43">
        <f t="shared" si="295"/>
        <v>0</v>
      </c>
      <c r="P1413" s="30">
        <f t="shared" si="296"/>
        <v>0</v>
      </c>
      <c r="Q1413" s="31">
        <f t="shared" ref="Q1413:Q1443" si="298">Q1412+P1413</f>
        <v>848340.75061972369</v>
      </c>
    </row>
    <row r="1414" spans="1:17" x14ac:dyDescent="0.25">
      <c r="A1414" s="6">
        <f t="shared" si="297"/>
        <v>86229</v>
      </c>
      <c r="B1414" s="30">
        <f>IFERROR(VLOOKUP(A1414, Data!$L$3:$N$123, 3),1)*Pension</f>
        <v>6764389.1046593273</v>
      </c>
      <c r="C1414" s="37">
        <f t="shared" si="286"/>
        <v>117.58521560574948</v>
      </c>
      <c r="D1414" s="37">
        <f>IFERROR(VLOOKUP(A1414,Data!$I$3:$J$1442,2),0)</f>
        <v>7.6760274000000003E-2</v>
      </c>
      <c r="E1414" s="37">
        <f t="shared" si="287"/>
        <v>7.6560273999999998E-2</v>
      </c>
      <c r="F1414" s="37">
        <f t="shared" si="292"/>
        <v>1.2311935279783065E-4</v>
      </c>
      <c r="G1414" s="30">
        <f t="shared" si="293"/>
        <v>832.82720863835345</v>
      </c>
      <c r="H1414" s="38">
        <f t="shared" si="288"/>
        <v>213</v>
      </c>
      <c r="I1414" s="39">
        <f t="shared" si="289"/>
        <v>213.2101300479124</v>
      </c>
      <c r="J1414" s="40">
        <f t="shared" si="290"/>
        <v>118</v>
      </c>
      <c r="K1414" s="43">
        <f>VLOOKUP(J1414,Data!$Z$3:$AA$122,2)</f>
        <v>0</v>
      </c>
      <c r="L1414" s="41">
        <f t="shared" si="291"/>
        <v>0.21013004791240064</v>
      </c>
      <c r="M1414" s="43">
        <f>VLOOKUP(H1414,Data!$P$3:$X$122,9)</f>
        <v>0</v>
      </c>
      <c r="N1414" s="43">
        <f t="shared" si="294"/>
        <v>0</v>
      </c>
      <c r="O1414" s="43">
        <f t="shared" si="295"/>
        <v>0</v>
      </c>
      <c r="P1414" s="30">
        <f t="shared" si="296"/>
        <v>0</v>
      </c>
      <c r="Q1414" s="31">
        <f t="shared" si="298"/>
        <v>848340.75061972369</v>
      </c>
    </row>
    <row r="1415" spans="1:17" x14ac:dyDescent="0.25">
      <c r="A1415" s="6">
        <f t="shared" si="297"/>
        <v>86258</v>
      </c>
      <c r="B1415" s="30">
        <f>IFERROR(VLOOKUP(A1415, Data!$L$3:$N$123, 3),1)*Pension</f>
        <v>6764389.1046593273</v>
      </c>
      <c r="C1415" s="37">
        <f t="shared" si="286"/>
        <v>117.66461327857631</v>
      </c>
      <c r="D1415" s="37">
        <f>IFERROR(VLOOKUP(A1415,Data!$I$3:$J$1442,2),0)</f>
        <v>7.6755712000000004E-2</v>
      </c>
      <c r="E1415" s="37">
        <f t="shared" si="287"/>
        <v>7.6555711999999998E-2</v>
      </c>
      <c r="F1415" s="37">
        <f t="shared" si="292"/>
        <v>1.2243892218268774E-4</v>
      </c>
      <c r="G1415" s="30">
        <f t="shared" si="293"/>
        <v>828.22451119880418</v>
      </c>
      <c r="H1415" s="38">
        <f t="shared" si="288"/>
        <v>213</v>
      </c>
      <c r="I1415" s="39">
        <f t="shared" si="289"/>
        <v>213.28952772073922</v>
      </c>
      <c r="J1415" s="40">
        <f t="shared" si="290"/>
        <v>118</v>
      </c>
      <c r="K1415" s="43">
        <f>VLOOKUP(J1415,Data!$Z$3:$AA$122,2)</f>
        <v>0</v>
      </c>
      <c r="L1415" s="41">
        <f t="shared" si="291"/>
        <v>0.28952772073921551</v>
      </c>
      <c r="M1415" s="43">
        <f>VLOOKUP(H1415,Data!$P$3:$X$122,9)</f>
        <v>0</v>
      </c>
      <c r="N1415" s="43">
        <f t="shared" si="294"/>
        <v>0</v>
      </c>
      <c r="O1415" s="43">
        <f t="shared" si="295"/>
        <v>0</v>
      </c>
      <c r="P1415" s="30">
        <f t="shared" si="296"/>
        <v>0</v>
      </c>
      <c r="Q1415" s="31">
        <f t="shared" si="298"/>
        <v>848340.75061972369</v>
      </c>
    </row>
    <row r="1416" spans="1:17" x14ac:dyDescent="0.25">
      <c r="A1416" s="6">
        <f t="shared" si="297"/>
        <v>86289</v>
      </c>
      <c r="B1416" s="30">
        <f>IFERROR(VLOOKUP(A1416, Data!$L$3:$N$123, 3),1)*Pension</f>
        <v>6764389.1046593273</v>
      </c>
      <c r="C1416" s="37">
        <f t="shared" si="286"/>
        <v>117.74948665297741</v>
      </c>
      <c r="D1416" s="37">
        <f>IFERROR(VLOOKUP(A1416,Data!$I$3:$J$1442,2),0)</f>
        <v>7.6750842999999999E-2</v>
      </c>
      <c r="E1416" s="37">
        <f t="shared" si="287"/>
        <v>7.6550842999999993E-2</v>
      </c>
      <c r="F1416" s="37">
        <f t="shared" si="292"/>
        <v>1.2171571149444194E-4</v>
      </c>
      <c r="G1416" s="30">
        <f t="shared" si="293"/>
        <v>823.33243269886111</v>
      </c>
      <c r="H1416" s="38">
        <f t="shared" si="288"/>
        <v>213</v>
      </c>
      <c r="I1416" s="39">
        <f t="shared" si="289"/>
        <v>213.37440109514031</v>
      </c>
      <c r="J1416" s="40">
        <f t="shared" si="290"/>
        <v>118</v>
      </c>
      <c r="K1416" s="43">
        <f>VLOOKUP(J1416,Data!$Z$3:$AA$122,2)</f>
        <v>0</v>
      </c>
      <c r="L1416" s="41">
        <f t="shared" si="291"/>
        <v>0.37440109514031406</v>
      </c>
      <c r="M1416" s="43">
        <f>VLOOKUP(H1416,Data!$P$3:$X$122,9)</f>
        <v>0</v>
      </c>
      <c r="N1416" s="43">
        <f t="shared" si="294"/>
        <v>0</v>
      </c>
      <c r="O1416" s="43">
        <f t="shared" si="295"/>
        <v>0</v>
      </c>
      <c r="P1416" s="30">
        <f t="shared" si="296"/>
        <v>0</v>
      </c>
      <c r="Q1416" s="31">
        <f t="shared" si="298"/>
        <v>848340.75061972369</v>
      </c>
    </row>
    <row r="1417" spans="1:17" x14ac:dyDescent="0.25">
      <c r="A1417" s="6">
        <f t="shared" si="297"/>
        <v>86319</v>
      </c>
      <c r="B1417" s="30">
        <f>IFERROR(VLOOKUP(A1417, Data!$L$3:$N$123, 3),1)*Pension</f>
        <v>6764389.1046593273</v>
      </c>
      <c r="C1417" s="37">
        <f t="shared" si="286"/>
        <v>117.83162217659138</v>
      </c>
      <c r="D1417" s="37">
        <f>IFERROR(VLOOKUP(A1417,Data!$I$3:$J$1442,2),0)</f>
        <v>7.6746137000000006E-2</v>
      </c>
      <c r="E1417" s="37">
        <f t="shared" si="287"/>
        <v>7.6546137E-2</v>
      </c>
      <c r="F1417" s="37">
        <f t="shared" si="292"/>
        <v>1.2101990835261688E-4</v>
      </c>
      <c r="G1417" s="30">
        <f t="shared" si="293"/>
        <v>818.62574950731198</v>
      </c>
      <c r="H1417" s="38">
        <f t="shared" si="288"/>
        <v>213</v>
      </c>
      <c r="I1417" s="39">
        <f t="shared" si="289"/>
        <v>213.45653661875428</v>
      </c>
      <c r="J1417" s="40">
        <f t="shared" si="290"/>
        <v>118</v>
      </c>
      <c r="K1417" s="43">
        <f>VLOOKUP(J1417,Data!$Z$3:$AA$122,2)</f>
        <v>0</v>
      </c>
      <c r="L1417" s="41">
        <f t="shared" si="291"/>
        <v>0.45653661875428497</v>
      </c>
      <c r="M1417" s="43">
        <f>VLOOKUP(H1417,Data!$P$3:$X$122,9)</f>
        <v>0</v>
      </c>
      <c r="N1417" s="43">
        <f t="shared" si="294"/>
        <v>0</v>
      </c>
      <c r="O1417" s="43">
        <f t="shared" si="295"/>
        <v>0</v>
      </c>
      <c r="P1417" s="30">
        <f t="shared" si="296"/>
        <v>0</v>
      </c>
      <c r="Q1417" s="31">
        <f t="shared" si="298"/>
        <v>848340.75061972369</v>
      </c>
    </row>
    <row r="1418" spans="1:17" x14ac:dyDescent="0.25">
      <c r="A1418" s="6">
        <f t="shared" si="297"/>
        <v>86350</v>
      </c>
      <c r="B1418" s="30">
        <f>IFERROR(VLOOKUP(A1418, Data!$L$3:$N$123, 3),1)*Pension</f>
        <v>6764389.1046593273</v>
      </c>
      <c r="C1418" s="37">
        <f t="shared" si="286"/>
        <v>117.91649555099247</v>
      </c>
      <c r="D1418" s="37">
        <f>IFERROR(VLOOKUP(A1418,Data!$I$3:$J$1442,2),0)</f>
        <v>7.6741280999999995E-2</v>
      </c>
      <c r="E1418" s="37">
        <f t="shared" si="287"/>
        <v>7.6541280999999989E-2</v>
      </c>
      <c r="F1418" s="37">
        <f t="shared" si="292"/>
        <v>1.2030509053963034E-4</v>
      </c>
      <c r="G1418" s="30">
        <f t="shared" si="293"/>
        <v>813.79044368132941</v>
      </c>
      <c r="H1418" s="38">
        <f t="shared" si="288"/>
        <v>213</v>
      </c>
      <c r="I1418" s="39">
        <f t="shared" si="289"/>
        <v>213.54140999315538</v>
      </c>
      <c r="J1418" s="40">
        <f t="shared" si="290"/>
        <v>118</v>
      </c>
      <c r="K1418" s="43">
        <f>VLOOKUP(J1418,Data!$Z$3:$AA$122,2)</f>
        <v>0</v>
      </c>
      <c r="L1418" s="41">
        <f t="shared" si="291"/>
        <v>0.54140999315538352</v>
      </c>
      <c r="M1418" s="43">
        <f>VLOOKUP(H1418,Data!$P$3:$X$122,9)</f>
        <v>0</v>
      </c>
      <c r="N1418" s="43">
        <f t="shared" si="294"/>
        <v>0</v>
      </c>
      <c r="O1418" s="43">
        <f t="shared" si="295"/>
        <v>0</v>
      </c>
      <c r="P1418" s="30">
        <f t="shared" si="296"/>
        <v>0</v>
      </c>
      <c r="Q1418" s="31">
        <f t="shared" si="298"/>
        <v>848340.75061972369</v>
      </c>
    </row>
    <row r="1419" spans="1:17" x14ac:dyDescent="0.25">
      <c r="A1419" s="6">
        <f t="shared" si="297"/>
        <v>86380</v>
      </c>
      <c r="B1419" s="30">
        <f>IFERROR(VLOOKUP(A1419, Data!$L$3:$N$123, 3),1)*Pension</f>
        <v>6764389.1046593273</v>
      </c>
      <c r="C1419" s="37">
        <f t="shared" si="286"/>
        <v>117.99863107460644</v>
      </c>
      <c r="D1419" s="37">
        <f>IFERROR(VLOOKUP(A1419,Data!$I$3:$J$1442,2),0)</f>
        <v>7.6736588999999994E-2</v>
      </c>
      <c r="E1419" s="37">
        <f t="shared" si="287"/>
        <v>7.6536588999999988E-2</v>
      </c>
      <c r="F1419" s="37">
        <f t="shared" si="292"/>
        <v>1.1961734174156039E-4</v>
      </c>
      <c r="G1419" s="30">
        <f t="shared" si="293"/>
        <v>809.13824320492245</v>
      </c>
      <c r="H1419" s="38">
        <f t="shared" si="288"/>
        <v>213</v>
      </c>
      <c r="I1419" s="39">
        <f t="shared" si="289"/>
        <v>213.62354551676933</v>
      </c>
      <c r="J1419" s="40">
        <f t="shared" si="290"/>
        <v>118</v>
      </c>
      <c r="K1419" s="43">
        <f>VLOOKUP(J1419,Data!$Z$3:$AA$122,2)</f>
        <v>0</v>
      </c>
      <c r="L1419" s="41">
        <f t="shared" si="291"/>
        <v>0.62354551676932601</v>
      </c>
      <c r="M1419" s="43">
        <f>VLOOKUP(H1419,Data!$P$3:$X$122,9)</f>
        <v>0</v>
      </c>
      <c r="N1419" s="43">
        <f t="shared" si="294"/>
        <v>0</v>
      </c>
      <c r="O1419" s="43">
        <f t="shared" si="295"/>
        <v>0</v>
      </c>
      <c r="P1419" s="30">
        <f t="shared" si="296"/>
        <v>0</v>
      </c>
      <c r="Q1419" s="31">
        <f t="shared" si="298"/>
        <v>848340.75061972369</v>
      </c>
    </row>
    <row r="1420" spans="1:17" x14ac:dyDescent="0.25">
      <c r="A1420" s="6">
        <f t="shared" si="297"/>
        <v>86411</v>
      </c>
      <c r="B1420" s="30">
        <f>IFERROR(VLOOKUP(A1420, Data!$L$3:$N$123, 3),1)*Pension</f>
        <v>6764389.1046593273</v>
      </c>
      <c r="C1420" s="37">
        <f t="shared" si="286"/>
        <v>118.08350444900753</v>
      </c>
      <c r="D1420" s="37">
        <f>IFERROR(VLOOKUP(A1420,Data!$I$3:$J$1442,2),0)</f>
        <v>7.6731747000000003E-2</v>
      </c>
      <c r="E1420" s="37">
        <f t="shared" si="287"/>
        <v>7.6531746999999997E-2</v>
      </c>
      <c r="F1420" s="37">
        <f t="shared" si="292"/>
        <v>1.1891080456561464E-4</v>
      </c>
      <c r="G1420" s="30">
        <f t="shared" si="293"/>
        <v>804.35895082991829</v>
      </c>
      <c r="H1420" s="38">
        <f t="shared" si="288"/>
        <v>213</v>
      </c>
      <c r="I1420" s="39">
        <f t="shared" si="289"/>
        <v>213.70841889117042</v>
      </c>
      <c r="J1420" s="40">
        <f t="shared" si="290"/>
        <v>118</v>
      </c>
      <c r="K1420" s="43">
        <f>VLOOKUP(J1420,Data!$Z$3:$AA$122,2)</f>
        <v>0</v>
      </c>
      <c r="L1420" s="41">
        <f t="shared" si="291"/>
        <v>0.70841889117042456</v>
      </c>
      <c r="M1420" s="43">
        <f>VLOOKUP(H1420,Data!$P$3:$X$122,9)</f>
        <v>0</v>
      </c>
      <c r="N1420" s="43">
        <f t="shared" si="294"/>
        <v>0</v>
      </c>
      <c r="O1420" s="43">
        <f t="shared" si="295"/>
        <v>0</v>
      </c>
      <c r="P1420" s="30">
        <f t="shared" si="296"/>
        <v>0</v>
      </c>
      <c r="Q1420" s="31">
        <f t="shared" si="298"/>
        <v>848340.75061972369</v>
      </c>
    </row>
    <row r="1421" spans="1:17" x14ac:dyDescent="0.25">
      <c r="A1421" s="6">
        <f t="shared" si="297"/>
        <v>86442</v>
      </c>
      <c r="B1421" s="30">
        <f>IFERROR(VLOOKUP(A1421, Data!$L$3:$N$123, 3),1)*Pension</f>
        <v>6764389.1046593273</v>
      </c>
      <c r="C1421" s="37">
        <f t="shared" si="286"/>
        <v>118.16837782340862</v>
      </c>
      <c r="D1421" s="37">
        <f>IFERROR(VLOOKUP(A1421,Data!$I$3:$J$1442,2),0)</f>
        <v>7.6726911999999994E-2</v>
      </c>
      <c r="E1421" s="37">
        <f t="shared" si="287"/>
        <v>7.6526911999999989E-2</v>
      </c>
      <c r="F1421" s="37">
        <f t="shared" si="292"/>
        <v>1.1820844003160698E-4</v>
      </c>
      <c r="G1421" s="30">
        <f t="shared" si="293"/>
        <v>799.60788382857777</v>
      </c>
      <c r="H1421" s="38">
        <f t="shared" si="288"/>
        <v>213</v>
      </c>
      <c r="I1421" s="39">
        <f t="shared" si="289"/>
        <v>213.79329226557152</v>
      </c>
      <c r="J1421" s="40">
        <f t="shared" si="290"/>
        <v>118</v>
      </c>
      <c r="K1421" s="43">
        <f>VLOOKUP(J1421,Data!$Z$3:$AA$122,2)</f>
        <v>0</v>
      </c>
      <c r="L1421" s="41">
        <f t="shared" si="291"/>
        <v>0.7932922655715231</v>
      </c>
      <c r="M1421" s="43">
        <f>VLOOKUP(H1421,Data!$P$3:$X$122,9)</f>
        <v>0</v>
      </c>
      <c r="N1421" s="43">
        <f t="shared" si="294"/>
        <v>0</v>
      </c>
      <c r="O1421" s="43">
        <f t="shared" si="295"/>
        <v>0</v>
      </c>
      <c r="P1421" s="30">
        <f t="shared" si="296"/>
        <v>0</v>
      </c>
      <c r="Q1421" s="31">
        <f t="shared" si="298"/>
        <v>848340.75061972369</v>
      </c>
    </row>
    <row r="1422" spans="1:17" x14ac:dyDescent="0.25">
      <c r="A1422" s="6">
        <f t="shared" si="297"/>
        <v>86472</v>
      </c>
      <c r="B1422" s="30">
        <f>IFERROR(VLOOKUP(A1422, Data!$L$3:$N$123, 3),1)*Pension</f>
        <v>6764389.1046593273</v>
      </c>
      <c r="C1422" s="37">
        <f t="shared" si="286"/>
        <v>118.25051334702259</v>
      </c>
      <c r="D1422" s="37">
        <f>IFERROR(VLOOKUP(A1422,Data!$I$3:$J$1442,2),0)</f>
        <v>7.6722239999999997E-2</v>
      </c>
      <c r="E1422" s="37">
        <f t="shared" si="287"/>
        <v>7.6522239999999991E-2</v>
      </c>
      <c r="F1422" s="37">
        <f t="shared" si="292"/>
        <v>1.1753267681800831E-4</v>
      </c>
      <c r="G1422" s="30">
        <f t="shared" si="293"/>
        <v>795.03675850918125</v>
      </c>
      <c r="H1422" s="38">
        <f t="shared" si="288"/>
        <v>213</v>
      </c>
      <c r="I1422" s="39">
        <f t="shared" si="289"/>
        <v>213.87542778918549</v>
      </c>
      <c r="J1422" s="40">
        <f t="shared" si="290"/>
        <v>118</v>
      </c>
      <c r="K1422" s="43">
        <f>VLOOKUP(J1422,Data!$Z$3:$AA$122,2)</f>
        <v>0</v>
      </c>
      <c r="L1422" s="41">
        <f t="shared" si="291"/>
        <v>0.87542778918549402</v>
      </c>
      <c r="M1422" s="43">
        <f>VLOOKUP(H1422,Data!$P$3:$X$122,9)</f>
        <v>0</v>
      </c>
      <c r="N1422" s="43">
        <f t="shared" si="294"/>
        <v>0</v>
      </c>
      <c r="O1422" s="43">
        <f t="shared" si="295"/>
        <v>0</v>
      </c>
      <c r="P1422" s="30">
        <f t="shared" si="296"/>
        <v>0</v>
      </c>
      <c r="Q1422" s="31">
        <f t="shared" si="298"/>
        <v>848340.75061972369</v>
      </c>
    </row>
    <row r="1423" spans="1:17" x14ac:dyDescent="0.25">
      <c r="A1423" s="6">
        <f t="shared" si="297"/>
        <v>86503</v>
      </c>
      <c r="B1423" s="30">
        <f>IFERROR(VLOOKUP(A1423, Data!$L$3:$N$123, 3),1)*Pension</f>
        <v>6764389.1046593273</v>
      </c>
      <c r="C1423" s="37">
        <f t="shared" si="286"/>
        <v>118.33538672142369</v>
      </c>
      <c r="D1423" s="37">
        <f>IFERROR(VLOOKUP(A1423,Data!$I$3:$J$1442,2),0)</f>
        <v>7.6717418999999995E-2</v>
      </c>
      <c r="E1423" s="37">
        <f t="shared" si="287"/>
        <v>7.6517418999999989E-2</v>
      </c>
      <c r="F1423" s="37">
        <f t="shared" si="292"/>
        <v>1.1683844745844933E-4</v>
      </c>
      <c r="G1423" s="30">
        <f t="shared" si="293"/>
        <v>790.3407209932459</v>
      </c>
      <c r="H1423" s="38">
        <f t="shared" si="288"/>
        <v>213</v>
      </c>
      <c r="I1423" s="39">
        <f t="shared" si="289"/>
        <v>213.96030116358659</v>
      </c>
      <c r="J1423" s="40">
        <f t="shared" si="290"/>
        <v>118</v>
      </c>
      <c r="K1423" s="43">
        <f>VLOOKUP(J1423,Data!$Z$3:$AA$122,2)</f>
        <v>0</v>
      </c>
      <c r="L1423" s="41">
        <f t="shared" si="291"/>
        <v>0.96030116358659257</v>
      </c>
      <c r="M1423" s="43">
        <f>VLOOKUP(H1423,Data!$P$3:$X$122,9)</f>
        <v>0</v>
      </c>
      <c r="N1423" s="43">
        <f t="shared" si="294"/>
        <v>0</v>
      </c>
      <c r="O1423" s="43">
        <f t="shared" si="295"/>
        <v>0</v>
      </c>
      <c r="P1423" s="30">
        <f t="shared" si="296"/>
        <v>0</v>
      </c>
      <c r="Q1423" s="31">
        <f t="shared" si="298"/>
        <v>848340.75061972369</v>
      </c>
    </row>
    <row r="1424" spans="1:17" x14ac:dyDescent="0.25">
      <c r="A1424" s="6">
        <f t="shared" si="297"/>
        <v>86533</v>
      </c>
      <c r="B1424" s="30">
        <f>IFERROR(VLOOKUP(A1424, Data!$L$3:$N$123, 3),1)*Pension</f>
        <v>6764389.1046593273</v>
      </c>
      <c r="C1424" s="37">
        <f t="shared" si="286"/>
        <v>118.41752224503765</v>
      </c>
      <c r="D1424" s="37">
        <f>IFERROR(VLOOKUP(A1424,Data!$I$3:$J$1442,2),0)</f>
        <v>7.6712760000000005E-2</v>
      </c>
      <c r="E1424" s="37">
        <f t="shared" si="287"/>
        <v>7.6512759999999999E-2</v>
      </c>
      <c r="F1424" s="37">
        <f t="shared" si="292"/>
        <v>1.1617051848060679E-4</v>
      </c>
      <c r="G1424" s="30">
        <f t="shared" si="293"/>
        <v>785.82258949284164</v>
      </c>
      <c r="H1424" s="38">
        <f t="shared" si="288"/>
        <v>214</v>
      </c>
      <c r="I1424" s="39">
        <f t="shared" si="289"/>
        <v>214.04243668720054</v>
      </c>
      <c r="J1424" s="40">
        <f t="shared" si="290"/>
        <v>119</v>
      </c>
      <c r="K1424" s="43">
        <f>VLOOKUP(J1424,Data!$Z$3:$AA$122,2)</f>
        <v>0</v>
      </c>
      <c r="L1424" s="41">
        <f t="shared" si="291"/>
        <v>4.2436687200535061E-2</v>
      </c>
      <c r="M1424" s="43">
        <f>VLOOKUP(H1424,Data!$P$3:$X$122,9)</f>
        <v>0</v>
      </c>
      <c r="N1424" s="43">
        <f t="shared" si="294"/>
        <v>0</v>
      </c>
      <c r="O1424" s="43">
        <f t="shared" si="295"/>
        <v>0</v>
      </c>
      <c r="P1424" s="30">
        <f t="shared" si="296"/>
        <v>0</v>
      </c>
      <c r="Q1424" s="31">
        <f t="shared" si="298"/>
        <v>848340.75061972369</v>
      </c>
    </row>
    <row r="1425" spans="1:17" x14ac:dyDescent="0.25">
      <c r="A1425" s="6">
        <f t="shared" si="297"/>
        <v>86564</v>
      </c>
      <c r="B1425" s="30">
        <f>IFERROR(VLOOKUP(A1425, Data!$L$3:$N$123, 3),1)*Pension</f>
        <v>7102608.5598922959</v>
      </c>
      <c r="C1425" s="37">
        <f t="shared" si="286"/>
        <v>118.50239561943874</v>
      </c>
      <c r="D1425" s="37">
        <f>IFERROR(VLOOKUP(A1425,Data!$I$3:$J$1442,2),0)</f>
        <v>7.6707951999999996E-2</v>
      </c>
      <c r="E1425" s="37">
        <f t="shared" si="287"/>
        <v>7.650795199999999E-2</v>
      </c>
      <c r="F1425" s="37">
        <f t="shared" si="292"/>
        <v>1.1548434296487333E-4</v>
      </c>
      <c r="G1425" s="30">
        <f t="shared" si="293"/>
        <v>820.24008287584695</v>
      </c>
      <c r="H1425" s="38">
        <f t="shared" si="288"/>
        <v>214</v>
      </c>
      <c r="I1425" s="39">
        <f t="shared" si="289"/>
        <v>214.12731006160163</v>
      </c>
      <c r="J1425" s="40">
        <f t="shared" si="290"/>
        <v>119</v>
      </c>
      <c r="K1425" s="43">
        <f>VLOOKUP(J1425,Data!$Z$3:$AA$122,2)</f>
        <v>0</v>
      </c>
      <c r="L1425" s="41">
        <f t="shared" si="291"/>
        <v>0.12731006160163361</v>
      </c>
      <c r="M1425" s="43">
        <f>VLOOKUP(H1425,Data!$P$3:$X$122,9)</f>
        <v>0</v>
      </c>
      <c r="N1425" s="43">
        <f t="shared" si="294"/>
        <v>0</v>
      </c>
      <c r="O1425" s="43">
        <f t="shared" si="295"/>
        <v>0</v>
      </c>
      <c r="P1425" s="30">
        <f t="shared" si="296"/>
        <v>0</v>
      </c>
      <c r="Q1425" s="31">
        <f t="shared" si="298"/>
        <v>848340.75061972369</v>
      </c>
    </row>
    <row r="1426" spans="1:17" x14ac:dyDescent="0.25">
      <c r="A1426" s="6">
        <f t="shared" si="297"/>
        <v>86595</v>
      </c>
      <c r="B1426" s="30">
        <f>IFERROR(VLOOKUP(A1426, Data!$L$3:$N$123, 3),1)*Pension</f>
        <v>7102608.5598922959</v>
      </c>
      <c r="C1426" s="37">
        <f t="shared" si="286"/>
        <v>118.58726899383984</v>
      </c>
      <c r="D1426" s="37">
        <f>IFERROR(VLOOKUP(A1426,Data!$I$3:$J$1442,2),0)</f>
        <v>7.6703150999999997E-2</v>
      </c>
      <c r="E1426" s="37">
        <f t="shared" si="287"/>
        <v>7.6503150999999991E-2</v>
      </c>
      <c r="F1426" s="37">
        <f t="shared" si="292"/>
        <v>1.1480221882595718E-4</v>
      </c>
      <c r="G1426" s="30">
        <f t="shared" si="293"/>
        <v>815.39522212787199</v>
      </c>
      <c r="H1426" s="38">
        <f t="shared" si="288"/>
        <v>214</v>
      </c>
      <c r="I1426" s="39">
        <f t="shared" si="289"/>
        <v>214.21218343600273</v>
      </c>
      <c r="J1426" s="40">
        <f t="shared" si="290"/>
        <v>119</v>
      </c>
      <c r="K1426" s="43">
        <f>VLOOKUP(J1426,Data!$Z$3:$AA$122,2)</f>
        <v>0</v>
      </c>
      <c r="L1426" s="41">
        <f t="shared" si="291"/>
        <v>0.21218343600273215</v>
      </c>
      <c r="M1426" s="43">
        <f>VLOOKUP(H1426,Data!$P$3:$X$122,9)</f>
        <v>0</v>
      </c>
      <c r="N1426" s="43">
        <f t="shared" si="294"/>
        <v>0</v>
      </c>
      <c r="O1426" s="43">
        <f t="shared" si="295"/>
        <v>0</v>
      </c>
      <c r="P1426" s="30">
        <f t="shared" si="296"/>
        <v>0</v>
      </c>
      <c r="Q1426" s="31">
        <f t="shared" si="298"/>
        <v>848340.75061972369</v>
      </c>
    </row>
    <row r="1427" spans="1:17" x14ac:dyDescent="0.25">
      <c r="A1427" s="6">
        <f t="shared" si="297"/>
        <v>86623</v>
      </c>
      <c r="B1427" s="30">
        <f>IFERROR(VLOOKUP(A1427, Data!$L$3:$N$123, 3),1)*Pension</f>
        <v>7102608.5598922959</v>
      </c>
      <c r="C1427" s="37">
        <f t="shared" si="286"/>
        <v>118.66392881587953</v>
      </c>
      <c r="D1427" s="37">
        <f>IFERROR(VLOOKUP(A1427,Data!$I$3:$J$1442,2),0)</f>
        <v>7.6698821E-2</v>
      </c>
      <c r="E1427" s="37">
        <f t="shared" si="287"/>
        <v>7.6498820999999995E-2</v>
      </c>
      <c r="F1427" s="37">
        <f t="shared" si="292"/>
        <v>1.1418956386446129E-4</v>
      </c>
      <c r="G1427" s="30">
        <f t="shared" si="293"/>
        <v>811.04377375409081</v>
      </c>
      <c r="H1427" s="38">
        <f t="shared" si="288"/>
        <v>214</v>
      </c>
      <c r="I1427" s="39">
        <f t="shared" si="289"/>
        <v>214.28884325804245</v>
      </c>
      <c r="J1427" s="40">
        <f t="shared" si="290"/>
        <v>119</v>
      </c>
      <c r="K1427" s="43">
        <f>VLOOKUP(J1427,Data!$Z$3:$AA$122,2)</f>
        <v>0</v>
      </c>
      <c r="L1427" s="41">
        <f t="shared" si="291"/>
        <v>0.28884325804244781</v>
      </c>
      <c r="M1427" s="43">
        <f>VLOOKUP(H1427,Data!$P$3:$X$122,9)</f>
        <v>0</v>
      </c>
      <c r="N1427" s="43">
        <f t="shared" si="294"/>
        <v>0</v>
      </c>
      <c r="O1427" s="43">
        <f t="shared" si="295"/>
        <v>0</v>
      </c>
      <c r="P1427" s="30">
        <f t="shared" si="296"/>
        <v>0</v>
      </c>
      <c r="Q1427" s="31">
        <f t="shared" si="298"/>
        <v>848340.75061972369</v>
      </c>
    </row>
    <row r="1428" spans="1:17" x14ac:dyDescent="0.25">
      <c r="A1428" s="6">
        <f t="shared" si="297"/>
        <v>86654</v>
      </c>
      <c r="B1428" s="30">
        <f>IFERROR(VLOOKUP(A1428, Data!$L$3:$N$123, 3),1)*Pension</f>
        <v>7102608.5598922959</v>
      </c>
      <c r="C1428" s="37">
        <f t="shared" si="286"/>
        <v>118.74880219028063</v>
      </c>
      <c r="D1428" s="37">
        <f>IFERROR(VLOOKUP(A1428,Data!$I$3:$J$1442,2),0)</f>
        <v>7.6694032999999995E-2</v>
      </c>
      <c r="E1428" s="37">
        <f t="shared" si="287"/>
        <v>7.6494032999999989E-2</v>
      </c>
      <c r="F1428" s="37">
        <f t="shared" si="292"/>
        <v>1.135150882841561E-4</v>
      </c>
      <c r="G1428" s="30">
        <f t="shared" si="293"/>
        <v>806.25323772397678</v>
      </c>
      <c r="H1428" s="38">
        <f t="shared" si="288"/>
        <v>214</v>
      </c>
      <c r="I1428" s="39">
        <f t="shared" si="289"/>
        <v>214.37371663244352</v>
      </c>
      <c r="J1428" s="40">
        <f t="shared" si="290"/>
        <v>119</v>
      </c>
      <c r="K1428" s="43">
        <f>VLOOKUP(J1428,Data!$Z$3:$AA$122,2)</f>
        <v>0</v>
      </c>
      <c r="L1428" s="41">
        <f t="shared" si="291"/>
        <v>0.37371663244351794</v>
      </c>
      <c r="M1428" s="43">
        <f>VLOOKUP(H1428,Data!$P$3:$X$122,9)</f>
        <v>0</v>
      </c>
      <c r="N1428" s="43">
        <f t="shared" si="294"/>
        <v>0</v>
      </c>
      <c r="O1428" s="43">
        <f t="shared" si="295"/>
        <v>0</v>
      </c>
      <c r="P1428" s="30">
        <f t="shared" si="296"/>
        <v>0</v>
      </c>
      <c r="Q1428" s="31">
        <f t="shared" si="298"/>
        <v>848340.75061972369</v>
      </c>
    </row>
    <row r="1429" spans="1:17" x14ac:dyDescent="0.25">
      <c r="A1429" s="6">
        <f t="shared" si="297"/>
        <v>86684</v>
      </c>
      <c r="B1429" s="30">
        <f>IFERROR(VLOOKUP(A1429, Data!$L$3:$N$123, 3),1)*Pension</f>
        <v>7102608.5598922959</v>
      </c>
      <c r="C1429" s="37">
        <f t="shared" si="286"/>
        <v>118.8309377138946</v>
      </c>
      <c r="D1429" s="37">
        <f>IFERROR(VLOOKUP(A1429,Data!$I$3:$J$1442,2),0)</f>
        <v>7.6689406000000002E-2</v>
      </c>
      <c r="E1429" s="37">
        <f t="shared" si="287"/>
        <v>7.6489405999999996E-2</v>
      </c>
      <c r="F1429" s="37">
        <f t="shared" si="292"/>
        <v>1.1286616291841208E-4</v>
      </c>
      <c r="G1429" s="30">
        <f t="shared" si="293"/>
        <v>801.644174866512</v>
      </c>
      <c r="H1429" s="38">
        <f t="shared" si="288"/>
        <v>214</v>
      </c>
      <c r="I1429" s="39">
        <f t="shared" si="289"/>
        <v>214.45585215605749</v>
      </c>
      <c r="J1429" s="40">
        <f t="shared" si="290"/>
        <v>119</v>
      </c>
      <c r="K1429" s="43">
        <f>VLOOKUP(J1429,Data!$Z$3:$AA$122,2)</f>
        <v>0</v>
      </c>
      <c r="L1429" s="41">
        <f t="shared" si="291"/>
        <v>0.45585215605748886</v>
      </c>
      <c r="M1429" s="43">
        <f>VLOOKUP(H1429,Data!$P$3:$X$122,9)</f>
        <v>0</v>
      </c>
      <c r="N1429" s="43">
        <f t="shared" si="294"/>
        <v>0</v>
      </c>
      <c r="O1429" s="43">
        <f t="shared" si="295"/>
        <v>0</v>
      </c>
      <c r="P1429" s="30">
        <f t="shared" si="296"/>
        <v>0</v>
      </c>
      <c r="Q1429" s="31">
        <f t="shared" si="298"/>
        <v>848340.75061972369</v>
      </c>
    </row>
    <row r="1430" spans="1:17" x14ac:dyDescent="0.25">
      <c r="A1430" s="6">
        <f t="shared" si="297"/>
        <v>86715</v>
      </c>
      <c r="B1430" s="30">
        <f>IFERROR(VLOOKUP(A1430, Data!$L$3:$N$123, 3),1)*Pension</f>
        <v>7102608.5598922959</v>
      </c>
      <c r="C1430" s="37">
        <f t="shared" si="286"/>
        <v>118.91581108829568</v>
      </c>
      <c r="D1430" s="37">
        <f>IFERROR(VLOOKUP(A1430,Data!$I$3:$J$1442,2),0)</f>
        <v>7.6684632000000003E-2</v>
      </c>
      <c r="E1430" s="37">
        <f t="shared" si="287"/>
        <v>7.6484631999999997E-2</v>
      </c>
      <c r="F1430" s="37">
        <f t="shared" si="292"/>
        <v>1.1219949676234648E-4</v>
      </c>
      <c r="G1430" s="30">
        <f t="shared" si="293"/>
        <v>796.90910611985009</v>
      </c>
      <c r="H1430" s="38">
        <f t="shared" si="288"/>
        <v>214</v>
      </c>
      <c r="I1430" s="39">
        <f t="shared" si="289"/>
        <v>214.54072553045859</v>
      </c>
      <c r="J1430" s="40">
        <f t="shared" si="290"/>
        <v>119</v>
      </c>
      <c r="K1430" s="43">
        <f>VLOOKUP(J1430,Data!$Z$3:$AA$122,2)</f>
        <v>0</v>
      </c>
      <c r="L1430" s="41">
        <f t="shared" si="291"/>
        <v>0.5407255304585874</v>
      </c>
      <c r="M1430" s="43">
        <f>VLOOKUP(H1430,Data!$P$3:$X$122,9)</f>
        <v>0</v>
      </c>
      <c r="N1430" s="43">
        <f t="shared" si="294"/>
        <v>0</v>
      </c>
      <c r="O1430" s="43">
        <f t="shared" si="295"/>
        <v>0</v>
      </c>
      <c r="P1430" s="30">
        <f t="shared" si="296"/>
        <v>0</v>
      </c>
      <c r="Q1430" s="31">
        <f t="shared" si="298"/>
        <v>848340.75061972369</v>
      </c>
    </row>
    <row r="1431" spans="1:17" x14ac:dyDescent="0.25">
      <c r="A1431" s="6">
        <f t="shared" si="297"/>
        <v>86745</v>
      </c>
      <c r="B1431" s="30">
        <f>IFERROR(VLOOKUP(A1431, Data!$L$3:$N$123, 3),1)*Pension</f>
        <v>7102608.5598922959</v>
      </c>
      <c r="C1431" s="37">
        <f t="shared" si="286"/>
        <v>118.99794661190965</v>
      </c>
      <c r="D1431" s="37">
        <f>IFERROR(VLOOKUP(A1431,Data!$I$3:$J$1442,2),0)</f>
        <v>7.6680018000000003E-2</v>
      </c>
      <c r="E1431" s="37">
        <f t="shared" si="287"/>
        <v>7.6480017999999997E-2</v>
      </c>
      <c r="F1431" s="37">
        <f t="shared" si="292"/>
        <v>1.1155809193458448E-4</v>
      </c>
      <c r="G1431" s="30">
        <f t="shared" si="293"/>
        <v>792.35345869983144</v>
      </c>
      <c r="H1431" s="38">
        <f t="shared" si="288"/>
        <v>214</v>
      </c>
      <c r="I1431" s="39">
        <f t="shared" si="289"/>
        <v>214.62286105407256</v>
      </c>
      <c r="J1431" s="40">
        <f t="shared" si="290"/>
        <v>119</v>
      </c>
      <c r="K1431" s="43">
        <f>VLOOKUP(J1431,Data!$Z$3:$AA$122,2)</f>
        <v>0</v>
      </c>
      <c r="L1431" s="41">
        <f t="shared" si="291"/>
        <v>0.62286105407255832</v>
      </c>
      <c r="M1431" s="43">
        <f>VLOOKUP(H1431,Data!$P$3:$X$122,9)</f>
        <v>0</v>
      </c>
      <c r="N1431" s="43">
        <f t="shared" si="294"/>
        <v>0</v>
      </c>
      <c r="O1431" s="43">
        <f t="shared" si="295"/>
        <v>0</v>
      </c>
      <c r="P1431" s="30">
        <f t="shared" si="296"/>
        <v>0</v>
      </c>
      <c r="Q1431" s="31">
        <f t="shared" si="298"/>
        <v>848340.75061972369</v>
      </c>
    </row>
    <row r="1432" spans="1:17" x14ac:dyDescent="0.25">
      <c r="A1432" s="6">
        <f t="shared" si="297"/>
        <v>86776</v>
      </c>
      <c r="B1432" s="30">
        <f>IFERROR(VLOOKUP(A1432, Data!$L$3:$N$123, 3),1)*Pension</f>
        <v>7102608.5598922959</v>
      </c>
      <c r="C1432" s="37">
        <f t="shared" si="286"/>
        <v>119.08281998631075</v>
      </c>
      <c r="D1432" s="37">
        <f>IFERROR(VLOOKUP(A1432,Data!$I$3:$J$1442,2),0)</f>
        <v>7.6675256999999997E-2</v>
      </c>
      <c r="E1432" s="37">
        <f t="shared" si="287"/>
        <v>7.6475256999999991E-2</v>
      </c>
      <c r="F1432" s="37">
        <f t="shared" si="292"/>
        <v>1.1089915725969646E-4</v>
      </c>
      <c r="G1432" s="30">
        <f t="shared" si="293"/>
        <v>787.67330363756196</v>
      </c>
      <c r="H1432" s="38">
        <f t="shared" si="288"/>
        <v>214</v>
      </c>
      <c r="I1432" s="39">
        <f t="shared" si="289"/>
        <v>214.70773442847366</v>
      </c>
      <c r="J1432" s="40">
        <f t="shared" si="290"/>
        <v>119</v>
      </c>
      <c r="K1432" s="43">
        <f>VLOOKUP(J1432,Data!$Z$3:$AA$122,2)</f>
        <v>0</v>
      </c>
      <c r="L1432" s="41">
        <f t="shared" si="291"/>
        <v>0.70773442847365686</v>
      </c>
      <c r="M1432" s="43">
        <f>VLOOKUP(H1432,Data!$P$3:$X$122,9)</f>
        <v>0</v>
      </c>
      <c r="N1432" s="43">
        <f t="shared" si="294"/>
        <v>0</v>
      </c>
      <c r="O1432" s="43">
        <f t="shared" si="295"/>
        <v>0</v>
      </c>
      <c r="P1432" s="30">
        <f t="shared" si="296"/>
        <v>0</v>
      </c>
      <c r="Q1432" s="31">
        <f t="shared" si="298"/>
        <v>848340.75061972369</v>
      </c>
    </row>
    <row r="1433" spans="1:17" x14ac:dyDescent="0.25">
      <c r="A1433" s="6">
        <f t="shared" si="297"/>
        <v>86807</v>
      </c>
      <c r="B1433" s="30">
        <f>IFERROR(VLOOKUP(A1433, Data!$L$3:$N$123, 3),1)*Pension</f>
        <v>7102608.5598922959</v>
      </c>
      <c r="C1433" s="37">
        <f t="shared" si="286"/>
        <v>119.16769336071184</v>
      </c>
      <c r="D1433" s="37">
        <f>IFERROR(VLOOKUP(A1433,Data!$I$3:$J$1442,2),0)</f>
        <v>7.6670503000000001E-2</v>
      </c>
      <c r="E1433" s="37">
        <f t="shared" si="287"/>
        <v>7.6470502999999995E-2</v>
      </c>
      <c r="F1433" s="37">
        <f t="shared" si="292"/>
        <v>1.1024411181432268E-4</v>
      </c>
      <c r="G1433" s="30">
        <f t="shared" si="293"/>
        <v>783.02077225013159</v>
      </c>
      <c r="H1433" s="38">
        <f t="shared" si="288"/>
        <v>214</v>
      </c>
      <c r="I1433" s="39">
        <f t="shared" si="289"/>
        <v>214.79260780287476</v>
      </c>
      <c r="J1433" s="40">
        <f t="shared" si="290"/>
        <v>119</v>
      </c>
      <c r="K1433" s="43">
        <f>VLOOKUP(J1433,Data!$Z$3:$AA$122,2)</f>
        <v>0</v>
      </c>
      <c r="L1433" s="41">
        <f t="shared" si="291"/>
        <v>0.79260780287475541</v>
      </c>
      <c r="M1433" s="43">
        <f>VLOOKUP(H1433,Data!$P$3:$X$122,9)</f>
        <v>0</v>
      </c>
      <c r="N1433" s="43">
        <f t="shared" si="294"/>
        <v>0</v>
      </c>
      <c r="O1433" s="43">
        <f t="shared" si="295"/>
        <v>0</v>
      </c>
      <c r="P1433" s="30">
        <f t="shared" si="296"/>
        <v>0</v>
      </c>
      <c r="Q1433" s="31">
        <f t="shared" si="298"/>
        <v>848340.75061972369</v>
      </c>
    </row>
    <row r="1434" spans="1:17" x14ac:dyDescent="0.25">
      <c r="A1434" s="6">
        <f t="shared" si="297"/>
        <v>86837</v>
      </c>
      <c r="B1434" s="30">
        <f>IFERROR(VLOOKUP(A1434, Data!$L$3:$N$123, 3),1)*Pension</f>
        <v>7102608.5598922959</v>
      </c>
      <c r="C1434" s="37">
        <f t="shared" si="286"/>
        <v>119.24982888432581</v>
      </c>
      <c r="D1434" s="37">
        <f>IFERROR(VLOOKUP(A1434,Data!$I$3:$J$1442,2),0)</f>
        <v>7.6665909000000004E-2</v>
      </c>
      <c r="E1434" s="37">
        <f t="shared" si="287"/>
        <v>7.6465908999999999E-2</v>
      </c>
      <c r="F1434" s="37">
        <f t="shared" si="292"/>
        <v>1.0961387839948696E-4</v>
      </c>
      <c r="G1434" s="30">
        <f t="shared" si="293"/>
        <v>778.5444710031893</v>
      </c>
      <c r="H1434" s="38">
        <f t="shared" si="288"/>
        <v>214</v>
      </c>
      <c r="I1434" s="39">
        <f t="shared" si="289"/>
        <v>214.8747433264887</v>
      </c>
      <c r="J1434" s="40">
        <f t="shared" si="290"/>
        <v>119</v>
      </c>
      <c r="K1434" s="43">
        <f>VLOOKUP(J1434,Data!$Z$3:$AA$122,2)</f>
        <v>0</v>
      </c>
      <c r="L1434" s="41">
        <f t="shared" si="291"/>
        <v>0.8747433264886979</v>
      </c>
      <c r="M1434" s="43">
        <f>VLOOKUP(H1434,Data!$P$3:$X$122,9)</f>
        <v>0</v>
      </c>
      <c r="N1434" s="43">
        <f t="shared" si="294"/>
        <v>0</v>
      </c>
      <c r="O1434" s="43">
        <f t="shared" si="295"/>
        <v>0</v>
      </c>
      <c r="P1434" s="30">
        <f t="shared" si="296"/>
        <v>0</v>
      </c>
      <c r="Q1434" s="31">
        <f t="shared" si="298"/>
        <v>848340.75061972369</v>
      </c>
    </row>
    <row r="1435" spans="1:17" x14ac:dyDescent="0.25">
      <c r="A1435" s="6">
        <f t="shared" si="297"/>
        <v>86868</v>
      </c>
      <c r="B1435" s="30">
        <f>IFERROR(VLOOKUP(A1435, Data!$L$3:$N$123, 3),1)*Pension</f>
        <v>7102608.5598922959</v>
      </c>
      <c r="C1435" s="37">
        <f t="shared" si="286"/>
        <v>119.33470225872689</v>
      </c>
      <c r="D1435" s="37">
        <f>IFERROR(VLOOKUP(A1435,Data!$I$3:$J$1442,2),0)</f>
        <v>7.6661168000000002E-2</v>
      </c>
      <c r="E1435" s="37">
        <f t="shared" si="287"/>
        <v>7.6461167999999996E-2</v>
      </c>
      <c r="F1435" s="37">
        <f t="shared" si="292"/>
        <v>1.0896642860393288E-4</v>
      </c>
      <c r="G1435" s="30">
        <f t="shared" si="293"/>
        <v>773.94588854318636</v>
      </c>
      <c r="H1435" s="38">
        <f t="shared" si="288"/>
        <v>214</v>
      </c>
      <c r="I1435" s="39">
        <f t="shared" si="289"/>
        <v>214.9596167008898</v>
      </c>
      <c r="J1435" s="40">
        <f t="shared" si="290"/>
        <v>119</v>
      </c>
      <c r="K1435" s="43">
        <f>VLOOKUP(J1435,Data!$Z$3:$AA$122,2)</f>
        <v>0</v>
      </c>
      <c r="L1435" s="41">
        <f t="shared" si="291"/>
        <v>0.95961670088979645</v>
      </c>
      <c r="M1435" s="43">
        <f>VLOOKUP(H1435,Data!$P$3:$X$122,9)</f>
        <v>0</v>
      </c>
      <c r="N1435" s="43">
        <f t="shared" si="294"/>
        <v>0</v>
      </c>
      <c r="O1435" s="43">
        <f t="shared" si="295"/>
        <v>0</v>
      </c>
      <c r="P1435" s="30">
        <f t="shared" si="296"/>
        <v>0</v>
      </c>
      <c r="Q1435" s="31">
        <f t="shared" si="298"/>
        <v>848340.75061972369</v>
      </c>
    </row>
    <row r="1436" spans="1:17" x14ac:dyDescent="0.25">
      <c r="A1436" s="6">
        <f t="shared" si="297"/>
        <v>86898</v>
      </c>
      <c r="B1436" s="30">
        <f>IFERROR(VLOOKUP(A1436, Data!$L$3:$N$123, 3),1)*Pension</f>
        <v>7102608.5598922959</v>
      </c>
      <c r="C1436" s="37">
        <f t="shared" si="286"/>
        <v>119.41683778234086</v>
      </c>
      <c r="D1436" s="37">
        <f>IFERROR(VLOOKUP(A1436,Data!$I$3:$J$1442,2),0)</f>
        <v>7.6656585999999999E-2</v>
      </c>
      <c r="E1436" s="37">
        <f t="shared" si="287"/>
        <v>7.6456585999999993E-2</v>
      </c>
      <c r="F1436" s="37">
        <f t="shared" si="292"/>
        <v>1.0834351027079989E-4</v>
      </c>
      <c r="G1436" s="30">
        <f t="shared" si="293"/>
        <v>769.52154345816211</v>
      </c>
      <c r="H1436" s="38">
        <f t="shared" si="288"/>
        <v>215</v>
      </c>
      <c r="I1436" s="39">
        <f t="shared" si="289"/>
        <v>215.04175222450377</v>
      </c>
      <c r="J1436" s="40">
        <f t="shared" si="290"/>
        <v>120</v>
      </c>
      <c r="K1436" s="43">
        <f>VLOOKUP(J1436,Data!$Z$3:$AA$122,2)</f>
        <v>0</v>
      </c>
      <c r="L1436" s="41">
        <f t="shared" si="291"/>
        <v>4.1752224503767366E-2</v>
      </c>
      <c r="M1436" s="43">
        <f>VLOOKUP(H1436,Data!$P$3:$X$122,9)</f>
        <v>0</v>
      </c>
      <c r="N1436" s="43">
        <f t="shared" si="294"/>
        <v>0</v>
      </c>
      <c r="O1436" s="43">
        <f t="shared" si="295"/>
        <v>0</v>
      </c>
      <c r="P1436" s="30">
        <f t="shared" si="296"/>
        <v>0</v>
      </c>
      <c r="Q1436" s="31">
        <f t="shared" si="298"/>
        <v>848340.75061972369</v>
      </c>
    </row>
    <row r="1437" spans="1:17" x14ac:dyDescent="0.25">
      <c r="A1437" s="6">
        <f t="shared" si="297"/>
        <v>86929</v>
      </c>
      <c r="B1437" s="30">
        <f>IFERROR(VLOOKUP(A1437, Data!$L$3:$N$123, 3),1)*Pension</f>
        <v>7457738.9878869103</v>
      </c>
      <c r="C1437" s="37">
        <f t="shared" si="286"/>
        <v>119.50171115674196</v>
      </c>
      <c r="D1437" s="37">
        <f>IFERROR(VLOOKUP(A1437,Data!$I$3:$J$1442,2),0)</f>
        <v>7.6651859000000003E-2</v>
      </c>
      <c r="E1437" s="37">
        <f t="shared" si="287"/>
        <v>7.6451858999999997E-2</v>
      </c>
      <c r="F1437" s="37">
        <f t="shared" si="292"/>
        <v>1.0770355439429528E-4</v>
      </c>
      <c r="G1437" s="30">
        <f t="shared" si="293"/>
        <v>803.2249967403344</v>
      </c>
      <c r="H1437" s="38">
        <f t="shared" si="288"/>
        <v>215</v>
      </c>
      <c r="I1437" s="39">
        <f t="shared" si="289"/>
        <v>215.12662559890487</v>
      </c>
      <c r="J1437" s="40">
        <f t="shared" si="290"/>
        <v>120</v>
      </c>
      <c r="K1437" s="43">
        <f>VLOOKUP(J1437,Data!$Z$3:$AA$122,2)</f>
        <v>0</v>
      </c>
      <c r="L1437" s="41">
        <f t="shared" si="291"/>
        <v>0.12662559890486591</v>
      </c>
      <c r="M1437" s="43">
        <f>VLOOKUP(H1437,Data!$P$3:$X$122,9)</f>
        <v>0</v>
      </c>
      <c r="N1437" s="43">
        <f t="shared" si="294"/>
        <v>0</v>
      </c>
      <c r="O1437" s="43">
        <f t="shared" si="295"/>
        <v>0</v>
      </c>
      <c r="P1437" s="30">
        <f t="shared" si="296"/>
        <v>0</v>
      </c>
      <c r="Q1437" s="31">
        <f t="shared" si="298"/>
        <v>848340.75061972369</v>
      </c>
    </row>
    <row r="1438" spans="1:17" x14ac:dyDescent="0.25">
      <c r="A1438" s="6">
        <f t="shared" si="297"/>
        <v>86960</v>
      </c>
      <c r="B1438" s="30">
        <f>IFERROR(VLOOKUP(A1438, Data!$L$3:$N$123, 3),1)*Pension</f>
        <v>7457738.9878869103</v>
      </c>
      <c r="C1438" s="37">
        <f t="shared" si="286"/>
        <v>119.58658453114305</v>
      </c>
      <c r="D1438" s="37">
        <f>IFERROR(VLOOKUP(A1438,Data!$I$3:$J$1442,2),0)</f>
        <v>7.6647138000000004E-2</v>
      </c>
      <c r="E1438" s="37">
        <f t="shared" si="287"/>
        <v>7.6447137999999998E-2</v>
      </c>
      <c r="F1438" s="37">
        <f t="shared" si="292"/>
        <v>1.0706738765161852E-4</v>
      </c>
      <c r="G1438" s="30">
        <f t="shared" si="293"/>
        <v>798.48063122067697</v>
      </c>
      <c r="H1438" s="38">
        <f t="shared" si="288"/>
        <v>215</v>
      </c>
      <c r="I1438" s="39">
        <f t="shared" si="289"/>
        <v>215.21149897330596</v>
      </c>
      <c r="J1438" s="40">
        <f t="shared" si="290"/>
        <v>120</v>
      </c>
      <c r="K1438" s="43">
        <f>VLOOKUP(J1438,Data!$Z$3:$AA$122,2)</f>
        <v>0</v>
      </c>
      <c r="L1438" s="41">
        <f t="shared" si="291"/>
        <v>0.21149897330596445</v>
      </c>
      <c r="M1438" s="43">
        <f>VLOOKUP(H1438,Data!$P$3:$X$122,9)</f>
        <v>0</v>
      </c>
      <c r="N1438" s="43">
        <f t="shared" si="294"/>
        <v>0</v>
      </c>
      <c r="O1438" s="43">
        <f t="shared" si="295"/>
        <v>0</v>
      </c>
      <c r="P1438" s="30">
        <f t="shared" si="296"/>
        <v>0</v>
      </c>
      <c r="Q1438" s="31">
        <f t="shared" si="298"/>
        <v>848340.75061972369</v>
      </c>
    </row>
    <row r="1439" spans="1:17" x14ac:dyDescent="0.25">
      <c r="A1439" s="6">
        <f t="shared" si="297"/>
        <v>86988</v>
      </c>
      <c r="B1439" s="30">
        <f>IFERROR(VLOOKUP(A1439, Data!$L$3:$N$123, 3),1)*Pension</f>
        <v>7457738.9878869103</v>
      </c>
      <c r="C1439" s="37">
        <f t="shared" si="286"/>
        <v>119.66324435318275</v>
      </c>
      <c r="D1439" s="37">
        <f>IFERROR(VLOOKUP(A1439,Data!$I$3:$J$1442,2),0)</f>
        <v>7.6642879999999997E-2</v>
      </c>
      <c r="E1439" s="37">
        <f t="shared" si="287"/>
        <v>7.6442879999999991E-2</v>
      </c>
      <c r="F1439" s="37">
        <f t="shared" si="292"/>
        <v>1.0649601104412131E-4</v>
      </c>
      <c r="G1439" s="30">
        <f t="shared" si="293"/>
        <v>794.21945361817848</v>
      </c>
      <c r="H1439" s="38">
        <f t="shared" si="288"/>
        <v>215</v>
      </c>
      <c r="I1439" s="39">
        <f t="shared" si="289"/>
        <v>215.28815879534565</v>
      </c>
      <c r="J1439" s="40">
        <f t="shared" si="290"/>
        <v>120</v>
      </c>
      <c r="K1439" s="43">
        <f>VLOOKUP(J1439,Data!$Z$3:$AA$122,2)</f>
        <v>0</v>
      </c>
      <c r="L1439" s="41">
        <f t="shared" si="291"/>
        <v>0.2881587953456517</v>
      </c>
      <c r="M1439" s="43">
        <f>VLOOKUP(H1439,Data!$P$3:$X$122,9)</f>
        <v>0</v>
      </c>
      <c r="N1439" s="43">
        <f t="shared" si="294"/>
        <v>0</v>
      </c>
      <c r="O1439" s="43">
        <f t="shared" si="295"/>
        <v>0</v>
      </c>
      <c r="P1439" s="30">
        <f t="shared" si="296"/>
        <v>0</v>
      </c>
      <c r="Q1439" s="31">
        <f t="shared" si="298"/>
        <v>848340.75061972369</v>
      </c>
    </row>
    <row r="1440" spans="1:17" x14ac:dyDescent="0.25">
      <c r="A1440" s="6">
        <f t="shared" si="297"/>
        <v>87019</v>
      </c>
      <c r="B1440" s="30">
        <f>IFERROR(VLOOKUP(A1440, Data!$L$3:$N$123, 3),1)*Pension</f>
        <v>7457738.9878869103</v>
      </c>
      <c r="C1440" s="37">
        <f t="shared" si="286"/>
        <v>119.74811772758385</v>
      </c>
      <c r="D1440" s="37">
        <f>IFERROR(VLOOKUP(A1440,Data!$I$3:$J$1442,2),0)</f>
        <v>7.6638172000000004E-2</v>
      </c>
      <c r="E1440" s="37">
        <f t="shared" si="287"/>
        <v>7.6438171999999999E-2</v>
      </c>
      <c r="F1440" s="37">
        <f t="shared" si="292"/>
        <v>1.0586697343929081E-4</v>
      </c>
      <c r="G1440" s="30">
        <f t="shared" si="293"/>
        <v>789.52825534778708</v>
      </c>
      <c r="H1440" s="38">
        <f t="shared" si="288"/>
        <v>215</v>
      </c>
      <c r="I1440" s="39">
        <f t="shared" si="289"/>
        <v>215.37303216974675</v>
      </c>
      <c r="J1440" s="40">
        <f t="shared" si="290"/>
        <v>120</v>
      </c>
      <c r="K1440" s="43">
        <f>VLOOKUP(J1440,Data!$Z$3:$AA$122,2)</f>
        <v>0</v>
      </c>
      <c r="L1440" s="41">
        <f t="shared" si="291"/>
        <v>0.37303216974675024</v>
      </c>
      <c r="M1440" s="43">
        <f>VLOOKUP(H1440,Data!$P$3:$X$122,9)</f>
        <v>0</v>
      </c>
      <c r="N1440" s="43">
        <f t="shared" si="294"/>
        <v>0</v>
      </c>
      <c r="O1440" s="43">
        <f t="shared" si="295"/>
        <v>0</v>
      </c>
      <c r="P1440" s="30">
        <f t="shared" si="296"/>
        <v>0</v>
      </c>
      <c r="Q1440" s="31">
        <f t="shared" si="298"/>
        <v>848340.75061972369</v>
      </c>
    </row>
    <row r="1441" spans="1:17" x14ac:dyDescent="0.25">
      <c r="A1441" s="6">
        <f t="shared" si="297"/>
        <v>87049</v>
      </c>
      <c r="B1441" s="30">
        <f>IFERROR(VLOOKUP(A1441, Data!$L$3:$N$123, 3),1)*Pension</f>
        <v>7457738.9878869103</v>
      </c>
      <c r="C1441" s="37">
        <f t="shared" si="286"/>
        <v>119.8302532511978</v>
      </c>
      <c r="D1441" s="37">
        <f>IFERROR(VLOOKUP(A1441,Data!$I$3:$J$1442,2),0)</f>
        <v>7.6633621999999998E-2</v>
      </c>
      <c r="E1441" s="37">
        <f t="shared" si="287"/>
        <v>7.6433621999999993E-2</v>
      </c>
      <c r="F1441" s="37">
        <f t="shared" si="292"/>
        <v>1.0526176805362911E-4</v>
      </c>
      <c r="G1441" s="30">
        <f t="shared" si="293"/>
        <v>785.01479154745869</v>
      </c>
      <c r="H1441" s="38">
        <f t="shared" si="288"/>
        <v>215</v>
      </c>
      <c r="I1441" s="39">
        <f t="shared" si="289"/>
        <v>215.45516769336072</v>
      </c>
      <c r="J1441" s="40">
        <f t="shared" si="290"/>
        <v>120</v>
      </c>
      <c r="K1441" s="43">
        <f>VLOOKUP(J1441,Data!$Z$3:$AA$122,2)</f>
        <v>0</v>
      </c>
      <c r="L1441" s="41">
        <f t="shared" si="291"/>
        <v>0.45516769336072116</v>
      </c>
      <c r="M1441" s="43">
        <f>VLOOKUP(H1441,Data!$P$3:$X$122,9)</f>
        <v>0</v>
      </c>
      <c r="N1441" s="43">
        <f t="shared" si="294"/>
        <v>0</v>
      </c>
      <c r="O1441" s="43">
        <f t="shared" si="295"/>
        <v>0</v>
      </c>
      <c r="P1441" s="30">
        <f t="shared" si="296"/>
        <v>0</v>
      </c>
      <c r="Q1441" s="31">
        <f t="shared" si="298"/>
        <v>848340.75061972369</v>
      </c>
    </row>
    <row r="1442" spans="1:17" x14ac:dyDescent="0.25">
      <c r="A1442" s="6">
        <f t="shared" si="297"/>
        <v>87080</v>
      </c>
      <c r="B1442" s="30">
        <f>IFERROR(VLOOKUP(A1442, Data!$L$3:$N$123, 3),1)*Pension</f>
        <v>7457738.9878869103</v>
      </c>
      <c r="C1442" s="37">
        <f t="shared" si="286"/>
        <v>119.9151266255989</v>
      </c>
      <c r="D1442" s="37">
        <f>IFERROR(VLOOKUP(A1442,Data!$I$3:$J$1442,2),0)</f>
        <v>7.6628926999999999E-2</v>
      </c>
      <c r="E1442" s="37">
        <f t="shared" si="287"/>
        <v>7.6428926999999994E-2</v>
      </c>
      <c r="F1442" s="37">
        <f t="shared" si="292"/>
        <v>1.0464002209910519E-4</v>
      </c>
      <c r="G1442" s="30">
        <f t="shared" si="293"/>
        <v>780.37797250184474</v>
      </c>
      <c r="H1442" s="38">
        <f t="shared" si="288"/>
        <v>215</v>
      </c>
      <c r="I1442" s="39">
        <f t="shared" si="289"/>
        <v>215.54004106776182</v>
      </c>
      <c r="J1442" s="40">
        <f t="shared" si="290"/>
        <v>120</v>
      </c>
      <c r="K1442" s="43">
        <f>VLOOKUP(J1442,Data!$Z$3:$AA$122,2)</f>
        <v>0</v>
      </c>
      <c r="L1442" s="41">
        <f t="shared" si="291"/>
        <v>0.5400410677618197</v>
      </c>
      <c r="M1442" s="43">
        <f>VLOOKUP(H1442,Data!$P$3:$X$122,9)</f>
        <v>0</v>
      </c>
      <c r="N1442" s="43">
        <f t="shared" si="294"/>
        <v>0</v>
      </c>
      <c r="O1442" s="43">
        <f t="shared" si="295"/>
        <v>0</v>
      </c>
      <c r="P1442" s="30">
        <f t="shared" si="296"/>
        <v>0</v>
      </c>
      <c r="Q1442" s="31">
        <f t="shared" si="298"/>
        <v>848340.75061972369</v>
      </c>
    </row>
    <row r="1443" spans="1:17" x14ac:dyDescent="0.25">
      <c r="A1443" s="6">
        <f t="shared" si="297"/>
        <v>87110</v>
      </c>
      <c r="B1443" s="30">
        <f>IFERROR(VLOOKUP(A1443, Data!$L$3:$N$123, 3),1)*Pension</f>
        <v>7457738.9878869103</v>
      </c>
      <c r="C1443" s="37">
        <f t="shared" si="286"/>
        <v>119.99726214921287</v>
      </c>
      <c r="D1443" s="37">
        <f>IFERROR(VLOOKUP(A1443,Data!$I$3:$J$1442,2),0)</f>
        <v>7.6628926999999999E-2</v>
      </c>
      <c r="E1443" s="37">
        <f t="shared" si="287"/>
        <v>7.6428926999999994E-2</v>
      </c>
      <c r="F1443" s="37">
        <f t="shared" si="292"/>
        <v>1.0398519871472801E-4</v>
      </c>
      <c r="G1443" s="30">
        <f t="shared" si="293"/>
        <v>775.49447061799492</v>
      </c>
      <c r="H1443" s="38">
        <f t="shared" si="288"/>
        <v>215</v>
      </c>
      <c r="I1443" s="39">
        <f t="shared" si="289"/>
        <v>215.62217659137576</v>
      </c>
      <c r="J1443" s="40">
        <f t="shared" si="290"/>
        <v>120</v>
      </c>
      <c r="K1443" s="43">
        <f>VLOOKUP(J1443,Data!$Z$3:$AA$122,2)</f>
        <v>0</v>
      </c>
      <c r="L1443" s="41">
        <f t="shared" si="291"/>
        <v>0.6221765913757622</v>
      </c>
      <c r="M1443" s="43">
        <f>VLOOKUP(H1443,Data!$P$3:$X$122,9)</f>
        <v>0</v>
      </c>
      <c r="N1443" s="43">
        <f t="shared" si="294"/>
        <v>0</v>
      </c>
      <c r="O1443" s="43">
        <f t="shared" si="295"/>
        <v>0</v>
      </c>
      <c r="P1443" s="30">
        <f t="shared" si="296"/>
        <v>0</v>
      </c>
      <c r="Q1443" s="31">
        <f t="shared" si="298"/>
        <v>848340.75061972369</v>
      </c>
    </row>
    <row r="1444" spans="1:17" x14ac:dyDescent="0.25">
      <c r="A1444" s="1"/>
    </row>
    <row r="1445" spans="1:17" x14ac:dyDescent="0.25">
      <c r="A1445" s="1"/>
    </row>
    <row r="1446" spans="1:17" x14ac:dyDescent="0.25">
      <c r="A1446" s="1"/>
    </row>
    <row r="1447" spans="1:17" x14ac:dyDescent="0.25">
      <c r="A1447" s="1"/>
    </row>
    <row r="1448" spans="1:17" x14ac:dyDescent="0.25">
      <c r="A1448" s="1"/>
    </row>
    <row r="1449" spans="1:17" x14ac:dyDescent="0.25">
      <c r="A1449" s="1"/>
    </row>
    <row r="1450" spans="1:17" x14ac:dyDescent="0.25">
      <c r="A1450" s="1"/>
    </row>
    <row r="1451" spans="1:17" x14ac:dyDescent="0.25">
      <c r="A1451" s="1"/>
    </row>
    <row r="1452" spans="1:17" x14ac:dyDescent="0.25">
      <c r="A1452" s="1"/>
    </row>
    <row r="1453" spans="1:17" x14ac:dyDescent="0.25">
      <c r="A1453" s="1"/>
    </row>
    <row r="1454" spans="1:17" x14ac:dyDescent="0.25">
      <c r="A1454" s="1"/>
    </row>
    <row r="1455" spans="1:17" x14ac:dyDescent="0.25">
      <c r="A1455" s="1"/>
    </row>
    <row r="1456" spans="1:17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449"/>
  <sheetViews>
    <sheetView topLeftCell="M1" workbookViewId="0">
      <selection activeCell="AB5" sqref="AB5"/>
    </sheetView>
  </sheetViews>
  <sheetFormatPr defaultRowHeight="15" x14ac:dyDescent="0.25"/>
  <cols>
    <col min="1" max="1" width="11.85546875" bestFit="1" customWidth="1"/>
    <col min="2" max="2" width="12.85546875" bestFit="1" customWidth="1"/>
    <col min="3" max="3" width="14.5703125" bestFit="1" customWidth="1"/>
    <col min="4" max="4" width="13.28515625" bestFit="1" customWidth="1"/>
    <col min="5" max="6" width="9.140625" style="4"/>
    <col min="7" max="7" width="12.42578125" bestFit="1" customWidth="1"/>
    <col min="9" max="9" width="10.7109375" bestFit="1" customWidth="1"/>
    <col min="12" max="12" width="10.7109375" bestFit="1" customWidth="1"/>
    <col min="13" max="13" width="18.7109375" bestFit="1" customWidth="1"/>
    <col min="16" max="18" width="9.140625" style="49"/>
    <col min="19" max="19" width="11" style="49" bestFit="1" customWidth="1"/>
    <col min="20" max="20" width="9.140625" style="49"/>
    <col min="21" max="21" width="8.85546875" style="49" bestFit="1" customWidth="1"/>
    <col min="22" max="22" width="10.140625" style="49" bestFit="1" customWidth="1"/>
    <col min="23" max="24" width="10.140625" style="49" customWidth="1"/>
    <col min="29" max="29" width="14.85546875" customWidth="1"/>
    <col min="30" max="30" width="10.7109375" bestFit="1" customWidth="1"/>
    <col min="31" max="31" width="12" bestFit="1" customWidth="1"/>
  </cols>
  <sheetData>
    <row r="1" spans="1:30" ht="18" x14ac:dyDescent="0.35">
      <c r="A1" s="2" t="s">
        <v>1941</v>
      </c>
      <c r="I1" s="2" t="s">
        <v>1943</v>
      </c>
      <c r="L1" s="2" t="s">
        <v>1950</v>
      </c>
      <c r="P1" s="2" t="s">
        <v>1992</v>
      </c>
      <c r="Q1"/>
      <c r="R1"/>
      <c r="S1"/>
      <c r="T1"/>
      <c r="U1"/>
      <c r="V1"/>
      <c r="W1" t="s">
        <v>1964</v>
      </c>
      <c r="X1"/>
      <c r="Z1" t="s">
        <v>1961</v>
      </c>
      <c r="AA1" s="3" t="s">
        <v>1963</v>
      </c>
      <c r="AC1" s="9" t="s">
        <v>1936</v>
      </c>
      <c r="AD1" s="23">
        <f>IF(EffDate = DATE(YEAR(EffDate), MONTH(Date_of_Birth), DAY(Date_of_Birth)),ROUND((EffDate-Date_of_Birth)/365.25,0),ROUNDDOWN((EffDate-Date_of_Birth)/365.25,0))</f>
        <v>95</v>
      </c>
    </row>
    <row r="2" spans="1:30" ht="18" x14ac:dyDescent="0.35">
      <c r="A2" t="s">
        <v>0</v>
      </c>
      <c r="B2" t="s">
        <v>1</v>
      </c>
      <c r="C2" t="s">
        <v>2</v>
      </c>
      <c r="D2" t="s">
        <v>3</v>
      </c>
      <c r="E2" s="4" t="s">
        <v>4</v>
      </c>
      <c r="F2" s="4" t="s">
        <v>5</v>
      </c>
      <c r="G2" s="26" t="s">
        <v>1975</v>
      </c>
      <c r="I2" t="s">
        <v>1944</v>
      </c>
      <c r="J2" t="s">
        <v>1943</v>
      </c>
      <c r="L2" s="12" t="s">
        <v>1954</v>
      </c>
      <c r="M2" s="13" t="s">
        <v>1955</v>
      </c>
      <c r="N2" s="13" t="s">
        <v>1956</v>
      </c>
      <c r="P2" s="18" t="s">
        <v>1948</v>
      </c>
      <c r="Q2" s="3" t="s">
        <v>1946</v>
      </c>
      <c r="R2" s="3" t="s">
        <v>1947</v>
      </c>
      <c r="S2" s="19" t="s">
        <v>1949</v>
      </c>
      <c r="T2" s="3" t="s">
        <v>1945</v>
      </c>
      <c r="U2" s="3" t="s">
        <v>1947</v>
      </c>
      <c r="V2" s="19" t="s">
        <v>1949</v>
      </c>
      <c r="W2" s="20" t="s">
        <v>1966</v>
      </c>
      <c r="X2" s="20" t="s">
        <v>1965</v>
      </c>
      <c r="Z2" s="24" t="s">
        <v>1962</v>
      </c>
      <c r="AA2">
        <f>StartAge</f>
        <v>95</v>
      </c>
      <c r="AC2" s="9" t="s">
        <v>1971</v>
      </c>
      <c r="AD2" s="47">
        <f>(EffDate-Date_of_Birth)/365.25</f>
        <v>95.624914442162904</v>
      </c>
    </row>
    <row r="3" spans="1:30" x14ac:dyDescent="0.25">
      <c r="A3">
        <v>1</v>
      </c>
      <c r="B3" t="s">
        <v>6</v>
      </c>
      <c r="C3" t="s">
        <v>7</v>
      </c>
      <c r="D3" s="1">
        <v>8354</v>
      </c>
      <c r="E3" s="4" t="s">
        <v>8</v>
      </c>
      <c r="F3" s="44">
        <v>21374.27</v>
      </c>
      <c r="G3" s="31">
        <v>848340.75061972369</v>
      </c>
      <c r="I3" s="48">
        <v>43281</v>
      </c>
      <c r="J3" s="51">
        <v>7.2649797000000002E-2</v>
      </c>
      <c r="L3" s="15">
        <f>FirstIncrDate</f>
        <v>43465</v>
      </c>
      <c r="M3" s="16">
        <v>1</v>
      </c>
      <c r="N3" s="45">
        <f>(1+Increase)^Data!M3</f>
        <v>1.05</v>
      </c>
      <c r="P3" s="21">
        <v>20</v>
      </c>
      <c r="Q3" s="42">
        <v>3.4000000000000002E-4</v>
      </c>
      <c r="R3" s="42">
        <f>1-Q3</f>
        <v>0.99965999999999999</v>
      </c>
      <c r="S3" s="46">
        <f>IFERROR(-LN(R3),0)</f>
        <v>3.4005781310468206E-4</v>
      </c>
      <c r="T3" s="42">
        <v>2.03E-4</v>
      </c>
      <c r="U3" s="42">
        <f>1-T3</f>
        <v>0.99979700000000005</v>
      </c>
      <c r="V3" s="46">
        <f>IFERROR(-LN(U3),0)</f>
        <v>2.030206072888535E-4</v>
      </c>
      <c r="W3" s="42">
        <f t="shared" ref="W3:W34" si="0">IF(Gender= "Male",R3,U3)</f>
        <v>0.99979700000000005</v>
      </c>
      <c r="X3" s="42">
        <f t="shared" ref="X3:X34" si="1">IF(Gender= "Male",S3,V3)</f>
        <v>2.030206072888535E-4</v>
      </c>
      <c r="Z3" s="25">
        <v>0</v>
      </c>
      <c r="AA3" s="42">
        <v>1</v>
      </c>
      <c r="AC3" s="9" t="s">
        <v>1973</v>
      </c>
      <c r="AD3" s="10">
        <f>IF(DATE(YEAR(EffDate), MONTH(Date_of_Birth), DAY(Date_of_Birth)) &lt;= EffDate,DATE(YEAR(EffDate)+1, MONTH(Date_of_Birth), DAY(Date_of_Birth)),DATE(YEAR(EffDate), MONTH(Date_of_Birth), DAY(Date_of_Birth)))</f>
        <v>43418</v>
      </c>
    </row>
    <row r="4" spans="1:30" x14ac:dyDescent="0.25">
      <c r="A4">
        <v>2</v>
      </c>
      <c r="B4" t="s">
        <v>9</v>
      </c>
      <c r="C4" t="s">
        <v>10</v>
      </c>
      <c r="D4" s="1">
        <v>20638</v>
      </c>
      <c r="E4" s="4" t="s">
        <v>11</v>
      </c>
      <c r="F4" s="44">
        <v>21739.66</v>
      </c>
      <c r="G4" s="31">
        <v>3274802.6033036523</v>
      </c>
      <c r="I4" s="48">
        <v>43312</v>
      </c>
      <c r="J4" s="51">
        <v>7.2649797000000002E-2</v>
      </c>
      <c r="L4" s="15">
        <f>DATE(YEAR(L3)+1,MONTH(L3),DAY(L3))</f>
        <v>43830</v>
      </c>
      <c r="M4" s="16">
        <v>2</v>
      </c>
      <c r="N4" s="45">
        <f>(1+Increase)^Data!M4</f>
        <v>1.1025</v>
      </c>
      <c r="P4" s="21">
        <v>21</v>
      </c>
      <c r="Q4" s="42">
        <v>3.3799999999999998E-4</v>
      </c>
      <c r="R4" s="42">
        <f t="shared" ref="R4:R67" si="2">1-Q4</f>
        <v>0.99966200000000005</v>
      </c>
      <c r="S4" s="46">
        <f t="shared" ref="S4:S67" si="3">IFERROR(-LN(R4),0)</f>
        <v>3.3805713487470391E-4</v>
      </c>
      <c r="T4" s="42">
        <v>2.02E-4</v>
      </c>
      <c r="U4" s="42">
        <f t="shared" ref="U4:U67" si="4">1-T4</f>
        <v>0.99979799999999996</v>
      </c>
      <c r="V4" s="46">
        <f t="shared" ref="V4:V67" si="5">IFERROR(-LN(U4),0)</f>
        <v>2.0202040474792113E-4</v>
      </c>
      <c r="W4" s="42">
        <f t="shared" si="0"/>
        <v>0.99979799999999996</v>
      </c>
      <c r="X4" s="42">
        <f t="shared" si="1"/>
        <v>2.0202040474792113E-4</v>
      </c>
      <c r="Z4">
        <f>MIN(Z3+1, 120 - $AA$2)</f>
        <v>1</v>
      </c>
      <c r="AA4" s="42">
        <f>AA3*VLOOKUP(($AA$2+Z3),$P$3:$X$103,8)</f>
        <v>0.82648100000000002</v>
      </c>
      <c r="AC4" s="4"/>
    </row>
    <row r="5" spans="1:30" x14ac:dyDescent="0.25">
      <c r="A5">
        <v>3</v>
      </c>
      <c r="B5" t="s">
        <v>12</v>
      </c>
      <c r="C5" t="s">
        <v>13</v>
      </c>
      <c r="D5" s="1">
        <v>15570</v>
      </c>
      <c r="E5" s="4" t="s">
        <v>8</v>
      </c>
      <c r="F5" s="44">
        <v>18170.990000000002</v>
      </c>
      <c r="G5" s="31">
        <v>1905891.7013816789</v>
      </c>
      <c r="I5" s="48">
        <v>43343</v>
      </c>
      <c r="J5" s="51">
        <v>7.2649797000000002E-2</v>
      </c>
      <c r="L5" s="15">
        <f t="shared" ref="L5:L68" si="6">DATE(YEAR(L4)+1,MONTH(L4),DAY(L4))</f>
        <v>44196</v>
      </c>
      <c r="M5" s="16">
        <v>3</v>
      </c>
      <c r="N5" s="45">
        <f>(1+Increase)^Data!M5</f>
        <v>1.1576250000000001</v>
      </c>
      <c r="P5" s="21">
        <v>22</v>
      </c>
      <c r="Q5" s="42">
        <v>3.3700000000000001E-4</v>
      </c>
      <c r="R5" s="42">
        <f t="shared" si="2"/>
        <v>0.99966299999999997</v>
      </c>
      <c r="S5" s="46">
        <f t="shared" si="3"/>
        <v>3.370567972608414E-4</v>
      </c>
      <c r="T5" s="42">
        <v>2.02E-4</v>
      </c>
      <c r="U5" s="42">
        <f t="shared" si="4"/>
        <v>0.99979799999999996</v>
      </c>
      <c r="V5" s="46">
        <f t="shared" si="5"/>
        <v>2.0202040474792113E-4</v>
      </c>
      <c r="W5" s="42">
        <f t="shared" si="0"/>
        <v>0.99979799999999996</v>
      </c>
      <c r="X5" s="42">
        <f t="shared" si="1"/>
        <v>2.0202040474792113E-4</v>
      </c>
      <c r="Z5">
        <f t="shared" ref="Z5:Z68" si="7">MIN(Z4+1, 120 - $AA$2)</f>
        <v>2</v>
      </c>
      <c r="AA5" s="42">
        <f t="shared" ref="AA5:AA68" si="8">AA4*VLOOKUP(($AA$2+Z4),$P$3:$X$103,8)</f>
        <v>0.67345391044500003</v>
      </c>
    </row>
    <row r="6" spans="1:30" x14ac:dyDescent="0.25">
      <c r="A6">
        <v>4</v>
      </c>
      <c r="B6" t="s">
        <v>14</v>
      </c>
      <c r="C6" t="s">
        <v>15</v>
      </c>
      <c r="D6" s="1">
        <v>14040</v>
      </c>
      <c r="E6" s="4" t="s">
        <v>11</v>
      </c>
      <c r="F6" s="44">
        <v>21037.34</v>
      </c>
      <c r="G6" s="31">
        <v>1541421.5197912899</v>
      </c>
      <c r="I6" s="48">
        <v>43373</v>
      </c>
      <c r="J6" s="51">
        <v>7.2689666999999999E-2</v>
      </c>
      <c r="L6" s="15">
        <f t="shared" si="6"/>
        <v>44561</v>
      </c>
      <c r="M6" s="16">
        <v>4</v>
      </c>
      <c r="N6" s="45">
        <f>(1+Increase)^Data!M6</f>
        <v>1.21550625</v>
      </c>
      <c r="P6" s="21">
        <v>23</v>
      </c>
      <c r="Q6" s="42">
        <v>3.3500000000000001E-4</v>
      </c>
      <c r="R6" s="42">
        <f t="shared" si="2"/>
        <v>0.99966500000000003</v>
      </c>
      <c r="S6" s="46">
        <f t="shared" si="3"/>
        <v>3.3505612503491534E-4</v>
      </c>
      <c r="T6" s="42">
        <v>2.02E-4</v>
      </c>
      <c r="U6" s="42">
        <f t="shared" si="4"/>
        <v>0.99979799999999996</v>
      </c>
      <c r="V6" s="46">
        <f t="shared" si="5"/>
        <v>2.0202040474792113E-4</v>
      </c>
      <c r="W6" s="42">
        <f t="shared" si="0"/>
        <v>0.99979799999999996</v>
      </c>
      <c r="X6" s="42">
        <f t="shared" si="1"/>
        <v>2.0202040474792113E-4</v>
      </c>
      <c r="Z6">
        <f t="shared" si="7"/>
        <v>3</v>
      </c>
      <c r="AA6" s="42">
        <f t="shared" si="8"/>
        <v>0.54068247200076835</v>
      </c>
    </row>
    <row r="7" spans="1:30" x14ac:dyDescent="0.25">
      <c r="A7">
        <v>5</v>
      </c>
      <c r="B7" t="s">
        <v>16</v>
      </c>
      <c r="C7" t="s">
        <v>17</v>
      </c>
      <c r="D7" s="1">
        <v>20032</v>
      </c>
      <c r="E7" s="4" t="s">
        <v>8</v>
      </c>
      <c r="F7" s="44">
        <v>26482.61</v>
      </c>
      <c r="G7" s="31">
        <v>4163287.0711797536</v>
      </c>
      <c r="I7" s="48">
        <v>43404</v>
      </c>
      <c r="J7" s="51">
        <v>7.3606678999999994E-2</v>
      </c>
      <c r="L7" s="15">
        <f t="shared" si="6"/>
        <v>44926</v>
      </c>
      <c r="M7" s="16">
        <v>5</v>
      </c>
      <c r="N7" s="45">
        <f>(1+Increase)^Data!M7</f>
        <v>1.2762815625000001</v>
      </c>
      <c r="P7" s="21">
        <v>24</v>
      </c>
      <c r="Q7" s="42">
        <v>3.3399999999999999E-4</v>
      </c>
      <c r="R7" s="42">
        <f t="shared" si="2"/>
        <v>0.99966600000000005</v>
      </c>
      <c r="S7" s="46">
        <f t="shared" si="3"/>
        <v>3.3405579042295879E-4</v>
      </c>
      <c r="T7" s="42">
        <v>2.02E-4</v>
      </c>
      <c r="U7" s="42">
        <f t="shared" si="4"/>
        <v>0.99979799999999996</v>
      </c>
      <c r="V7" s="46">
        <f t="shared" si="5"/>
        <v>2.0202040474792113E-4</v>
      </c>
      <c r="W7" s="42">
        <f t="shared" si="0"/>
        <v>0.99979799999999996</v>
      </c>
      <c r="X7" s="42">
        <f t="shared" si="1"/>
        <v>2.0202040474792113E-4</v>
      </c>
      <c r="Z7">
        <f t="shared" si="7"/>
        <v>4</v>
      </c>
      <c r="AA7" s="42">
        <f t="shared" si="8"/>
        <v>0.42742192981346339</v>
      </c>
    </row>
    <row r="8" spans="1:30" x14ac:dyDescent="0.25">
      <c r="A8">
        <v>6</v>
      </c>
      <c r="B8" t="s">
        <v>18</v>
      </c>
      <c r="C8" t="s">
        <v>19</v>
      </c>
      <c r="D8" s="1">
        <v>15372</v>
      </c>
      <c r="E8" s="4" t="s">
        <v>11</v>
      </c>
      <c r="F8" s="44">
        <v>22226.91</v>
      </c>
      <c r="G8" s="31">
        <v>1917238.5937358667</v>
      </c>
      <c r="I8" s="48">
        <v>43434</v>
      </c>
      <c r="J8" s="51">
        <v>7.4142595000000006E-2</v>
      </c>
      <c r="L8" s="15">
        <f t="shared" si="6"/>
        <v>45291</v>
      </c>
      <c r="M8" s="16">
        <v>6</v>
      </c>
      <c r="N8" s="45">
        <f>(1+Increase)^Data!M8</f>
        <v>1.340095640625</v>
      </c>
      <c r="P8" s="21">
        <v>25</v>
      </c>
      <c r="Q8" s="42">
        <v>3.3300000000000002E-4</v>
      </c>
      <c r="R8" s="42">
        <f t="shared" si="2"/>
        <v>0.99966699999999997</v>
      </c>
      <c r="S8" s="46">
        <f t="shared" si="3"/>
        <v>3.3305545681178161E-4</v>
      </c>
      <c r="T8" s="42">
        <v>2.03E-4</v>
      </c>
      <c r="U8" s="42">
        <f t="shared" si="4"/>
        <v>0.99979700000000005</v>
      </c>
      <c r="V8" s="46">
        <f t="shared" si="5"/>
        <v>2.030206072888535E-4</v>
      </c>
      <c r="W8" s="42">
        <f t="shared" si="0"/>
        <v>0.99979700000000005</v>
      </c>
      <c r="X8" s="42">
        <f t="shared" si="1"/>
        <v>2.030206072888535E-4</v>
      </c>
      <c r="Z8">
        <f t="shared" si="7"/>
        <v>5</v>
      </c>
      <c r="AA8" s="42">
        <f t="shared" si="8"/>
        <v>0.33249023693610374</v>
      </c>
    </row>
    <row r="9" spans="1:30" x14ac:dyDescent="0.25">
      <c r="A9">
        <v>7</v>
      </c>
      <c r="B9" t="s">
        <v>20</v>
      </c>
      <c r="C9" t="s">
        <v>21</v>
      </c>
      <c r="D9" s="1">
        <v>6977</v>
      </c>
      <c r="E9" s="4" t="s">
        <v>11</v>
      </c>
      <c r="F9" s="44">
        <v>18712.22</v>
      </c>
      <c r="G9" s="31">
        <v>468742.27687979513</v>
      </c>
      <c r="I9" s="48">
        <v>43465</v>
      </c>
      <c r="J9" s="51">
        <v>7.4552405000000002E-2</v>
      </c>
      <c r="L9" s="15">
        <f t="shared" si="6"/>
        <v>45657</v>
      </c>
      <c r="M9" s="16">
        <v>7</v>
      </c>
      <c r="N9" s="45">
        <f>(1+Increase)^Data!M9</f>
        <v>1.4071004226562502</v>
      </c>
      <c r="P9" s="21">
        <v>26</v>
      </c>
      <c r="Q9" s="42">
        <v>3.3199999999999999E-4</v>
      </c>
      <c r="R9" s="42">
        <f t="shared" si="2"/>
        <v>0.999668</v>
      </c>
      <c r="S9" s="46">
        <f t="shared" si="3"/>
        <v>3.3205512420115976E-4</v>
      </c>
      <c r="T9" s="42">
        <v>2.04E-4</v>
      </c>
      <c r="U9" s="42">
        <f t="shared" si="4"/>
        <v>0.99979600000000002</v>
      </c>
      <c r="V9" s="46">
        <f t="shared" si="5"/>
        <v>2.0402081083030301E-4</v>
      </c>
      <c r="W9" s="42">
        <f t="shared" si="0"/>
        <v>0.99979600000000002</v>
      </c>
      <c r="X9" s="42">
        <f t="shared" si="1"/>
        <v>2.0402081083030301E-4</v>
      </c>
      <c r="Z9">
        <f t="shared" si="7"/>
        <v>6</v>
      </c>
      <c r="AA9" s="42">
        <f t="shared" si="8"/>
        <v>0.25435669370730402</v>
      </c>
    </row>
    <row r="10" spans="1:30" x14ac:dyDescent="0.25">
      <c r="A10">
        <v>8</v>
      </c>
      <c r="B10" t="s">
        <v>22</v>
      </c>
      <c r="C10" t="s">
        <v>23</v>
      </c>
      <c r="D10" s="1">
        <v>9925</v>
      </c>
      <c r="E10" s="4" t="s">
        <v>11</v>
      </c>
      <c r="F10" s="44">
        <v>21036.15</v>
      </c>
      <c r="G10" s="31">
        <v>814014.31723854539</v>
      </c>
      <c r="I10" s="48">
        <v>43496</v>
      </c>
      <c r="J10" s="51">
        <v>7.5324301999999996E-2</v>
      </c>
      <c r="L10" s="15">
        <f t="shared" si="6"/>
        <v>46022</v>
      </c>
      <c r="M10" s="16">
        <v>8</v>
      </c>
      <c r="N10" s="45">
        <f>(1+Increase)^Data!M10</f>
        <v>1.4774554437890626</v>
      </c>
      <c r="P10" s="21">
        <v>27</v>
      </c>
      <c r="Q10" s="42">
        <v>3.3100000000000002E-4</v>
      </c>
      <c r="R10" s="42">
        <f t="shared" si="2"/>
        <v>0.99966900000000003</v>
      </c>
      <c r="S10" s="46">
        <f t="shared" si="3"/>
        <v>3.310547925912022E-4</v>
      </c>
      <c r="T10" s="42">
        <v>2.0599999999999999E-4</v>
      </c>
      <c r="U10" s="42">
        <f t="shared" si="4"/>
        <v>0.99979399999999996</v>
      </c>
      <c r="V10" s="46">
        <f t="shared" si="5"/>
        <v>2.0602122091442843E-4</v>
      </c>
      <c r="W10" s="42">
        <f t="shared" si="0"/>
        <v>0.99979399999999996</v>
      </c>
      <c r="X10" s="42">
        <f t="shared" si="1"/>
        <v>2.0602122091442843E-4</v>
      </c>
      <c r="Z10">
        <f t="shared" si="7"/>
        <v>7</v>
      </c>
      <c r="AA10" s="42">
        <f t="shared" si="8"/>
        <v>0.19124698264811629</v>
      </c>
    </row>
    <row r="11" spans="1:30" x14ac:dyDescent="0.25">
      <c r="A11">
        <v>9</v>
      </c>
      <c r="B11" t="s">
        <v>24</v>
      </c>
      <c r="C11" t="s">
        <v>25</v>
      </c>
      <c r="D11" s="1">
        <v>20938</v>
      </c>
      <c r="E11" s="4" t="s">
        <v>11</v>
      </c>
      <c r="F11" s="44">
        <v>21139.87</v>
      </c>
      <c r="G11" s="31">
        <v>3276319.7796370452</v>
      </c>
      <c r="I11" s="48">
        <v>43524</v>
      </c>
      <c r="J11" s="51">
        <v>7.5852915000000007E-2</v>
      </c>
      <c r="L11" s="15">
        <f t="shared" si="6"/>
        <v>46387</v>
      </c>
      <c r="M11" s="16">
        <v>9</v>
      </c>
      <c r="N11" s="45">
        <f>(1+Increase)^Data!M11</f>
        <v>1.5513282159785158</v>
      </c>
      <c r="P11" s="21">
        <v>28</v>
      </c>
      <c r="Q11" s="42">
        <v>3.3100000000000002E-4</v>
      </c>
      <c r="R11" s="42">
        <f t="shared" si="2"/>
        <v>0.99966900000000003</v>
      </c>
      <c r="S11" s="46">
        <f t="shared" si="3"/>
        <v>3.310547925912022E-4</v>
      </c>
      <c r="T11" s="42">
        <v>2.0900000000000001E-4</v>
      </c>
      <c r="U11" s="42">
        <f t="shared" si="4"/>
        <v>0.99979099999999999</v>
      </c>
      <c r="V11" s="46">
        <f t="shared" si="5"/>
        <v>2.090218435436015E-4</v>
      </c>
      <c r="W11" s="42">
        <f t="shared" si="0"/>
        <v>0.99979099999999999</v>
      </c>
      <c r="X11" s="42">
        <f t="shared" si="1"/>
        <v>2.090218435436015E-4</v>
      </c>
      <c r="Z11">
        <f t="shared" si="7"/>
        <v>8</v>
      </c>
      <c r="AA11" s="42">
        <f t="shared" si="8"/>
        <v>0.14125043145631513</v>
      </c>
    </row>
    <row r="12" spans="1:30" x14ac:dyDescent="0.25">
      <c r="A12">
        <v>10</v>
      </c>
      <c r="B12" t="s">
        <v>26</v>
      </c>
      <c r="C12" t="s">
        <v>27</v>
      </c>
      <c r="D12" s="1">
        <v>11444</v>
      </c>
      <c r="E12" s="4" t="s">
        <v>11</v>
      </c>
      <c r="F12" s="44">
        <v>20270.48</v>
      </c>
      <c r="G12" s="31">
        <v>1008720.5507339324</v>
      </c>
      <c r="I12" s="48">
        <v>43555</v>
      </c>
      <c r="J12" s="51">
        <v>7.6300048999999995E-2</v>
      </c>
      <c r="L12" s="15">
        <f t="shared" si="6"/>
        <v>46752</v>
      </c>
      <c r="M12" s="16">
        <v>10</v>
      </c>
      <c r="N12" s="45">
        <f>(1+Increase)^Data!M12</f>
        <v>1.6288946267774416</v>
      </c>
      <c r="P12" s="21">
        <v>29</v>
      </c>
      <c r="Q12" s="42">
        <v>3.3199999999999999E-4</v>
      </c>
      <c r="R12" s="42">
        <f t="shared" si="2"/>
        <v>0.999668</v>
      </c>
      <c r="S12" s="46">
        <f t="shared" si="3"/>
        <v>3.3205512420115976E-4</v>
      </c>
      <c r="T12" s="42">
        <v>2.12E-4</v>
      </c>
      <c r="U12" s="42">
        <f t="shared" si="4"/>
        <v>0.99978800000000001</v>
      </c>
      <c r="V12" s="46">
        <f t="shared" si="5"/>
        <v>2.1202247517653771E-4</v>
      </c>
      <c r="W12" s="42">
        <f t="shared" si="0"/>
        <v>0.99978800000000001</v>
      </c>
      <c r="X12" s="42">
        <f t="shared" si="1"/>
        <v>2.1202247517653771E-4</v>
      </c>
      <c r="Z12">
        <f t="shared" si="7"/>
        <v>9</v>
      </c>
      <c r="AA12" s="42">
        <f t="shared" si="8"/>
        <v>0.1024236541080347</v>
      </c>
    </row>
    <row r="13" spans="1:30" x14ac:dyDescent="0.25">
      <c r="A13">
        <v>11</v>
      </c>
      <c r="B13" t="s">
        <v>28</v>
      </c>
      <c r="C13" t="s">
        <v>29</v>
      </c>
      <c r="D13" s="1">
        <v>8799</v>
      </c>
      <c r="E13" s="4" t="s">
        <v>11</v>
      </c>
      <c r="F13" s="44">
        <v>16043.77</v>
      </c>
      <c r="G13" s="31">
        <v>516194.82797173742</v>
      </c>
      <c r="I13" s="48">
        <v>43585</v>
      </c>
      <c r="J13" s="51">
        <v>7.6487400999999997E-2</v>
      </c>
      <c r="L13" s="15">
        <f t="shared" si="6"/>
        <v>47118</v>
      </c>
      <c r="M13" s="16">
        <v>11</v>
      </c>
      <c r="N13" s="45">
        <f>(1+Increase)^Data!M13</f>
        <v>1.7103393581163138</v>
      </c>
      <c r="P13" s="21">
        <v>30</v>
      </c>
      <c r="Q13" s="42">
        <v>3.3300000000000002E-4</v>
      </c>
      <c r="R13" s="42">
        <f t="shared" si="2"/>
        <v>0.99966699999999997</v>
      </c>
      <c r="S13" s="46">
        <f t="shared" si="3"/>
        <v>3.3305545681178161E-4</v>
      </c>
      <c r="T13" s="42">
        <v>2.1699999999999999E-4</v>
      </c>
      <c r="U13" s="42">
        <f t="shared" si="4"/>
        <v>0.99978299999999998</v>
      </c>
      <c r="V13" s="46">
        <f t="shared" si="5"/>
        <v>2.170235479066815E-4</v>
      </c>
      <c r="W13" s="42">
        <f t="shared" si="0"/>
        <v>0.99978299999999998</v>
      </c>
      <c r="X13" s="42">
        <f t="shared" si="1"/>
        <v>2.170235479066815E-4</v>
      </c>
      <c r="Z13">
        <f t="shared" si="7"/>
        <v>10</v>
      </c>
      <c r="AA13" s="42">
        <f t="shared" si="8"/>
        <v>7.2880882588075485E-2</v>
      </c>
    </row>
    <row r="14" spans="1:30" x14ac:dyDescent="0.25">
      <c r="A14">
        <v>12</v>
      </c>
      <c r="B14" t="s">
        <v>30</v>
      </c>
      <c r="C14" t="s">
        <v>31</v>
      </c>
      <c r="D14" s="1">
        <v>10519</v>
      </c>
      <c r="E14" s="4" t="s">
        <v>11</v>
      </c>
      <c r="F14" s="44">
        <v>21897.68</v>
      </c>
      <c r="G14" s="31">
        <v>867467.56156997627</v>
      </c>
      <c r="I14" s="48">
        <v>43616</v>
      </c>
      <c r="J14" s="51">
        <v>7.6645850000000001E-2</v>
      </c>
      <c r="L14" s="15">
        <f t="shared" si="6"/>
        <v>47483</v>
      </c>
      <c r="M14" s="16">
        <v>12</v>
      </c>
      <c r="N14" s="45">
        <f>(1+Increase)^Data!M14</f>
        <v>1.7958563260221292</v>
      </c>
      <c r="P14" s="21">
        <v>31</v>
      </c>
      <c r="Q14" s="42">
        <v>3.3500000000000001E-4</v>
      </c>
      <c r="R14" s="42">
        <f t="shared" si="2"/>
        <v>0.99966500000000003</v>
      </c>
      <c r="S14" s="46">
        <f t="shared" si="3"/>
        <v>3.3505612503491534E-4</v>
      </c>
      <c r="T14" s="42">
        <v>2.22E-4</v>
      </c>
      <c r="U14" s="42">
        <f t="shared" si="4"/>
        <v>0.99977800000000006</v>
      </c>
      <c r="V14" s="46">
        <f t="shared" si="5"/>
        <v>2.220246456475678E-4</v>
      </c>
      <c r="W14" s="42">
        <f t="shared" si="0"/>
        <v>0.99977800000000006</v>
      </c>
      <c r="X14" s="42">
        <f t="shared" si="1"/>
        <v>2.220246456475678E-4</v>
      </c>
      <c r="Z14">
        <f t="shared" si="7"/>
        <v>11</v>
      </c>
      <c r="AA14" s="42">
        <f t="shared" si="8"/>
        <v>5.0866920478816927E-2</v>
      </c>
    </row>
    <row r="15" spans="1:30" x14ac:dyDescent="0.25">
      <c r="A15">
        <v>13</v>
      </c>
      <c r="B15" t="s">
        <v>32</v>
      </c>
      <c r="C15" t="s">
        <v>33</v>
      </c>
      <c r="D15" s="1">
        <v>10011</v>
      </c>
      <c r="E15" s="4" t="s">
        <v>8</v>
      </c>
      <c r="F15" s="44">
        <v>15634.3</v>
      </c>
      <c r="G15" s="31">
        <v>848603.00024929037</v>
      </c>
      <c r="I15" s="48">
        <v>43646</v>
      </c>
      <c r="J15" s="51">
        <v>7.6754370000000002E-2</v>
      </c>
      <c r="L15" s="15">
        <f t="shared" si="6"/>
        <v>47848</v>
      </c>
      <c r="M15" s="16">
        <v>13</v>
      </c>
      <c r="N15" s="45">
        <f>(1+Increase)^Data!M15</f>
        <v>1.885649142323236</v>
      </c>
      <c r="P15" s="21">
        <v>32</v>
      </c>
      <c r="Q15" s="42">
        <v>3.3799999999999998E-4</v>
      </c>
      <c r="R15" s="42">
        <f t="shared" si="2"/>
        <v>0.99966200000000005</v>
      </c>
      <c r="S15" s="46">
        <f t="shared" si="3"/>
        <v>3.3805713487470391E-4</v>
      </c>
      <c r="T15" s="42">
        <v>2.3000000000000001E-4</v>
      </c>
      <c r="U15" s="42">
        <f t="shared" si="4"/>
        <v>0.99977000000000005</v>
      </c>
      <c r="V15" s="46">
        <f t="shared" si="5"/>
        <v>2.3002645405631884E-4</v>
      </c>
      <c r="W15" s="42">
        <f t="shared" si="0"/>
        <v>0.99977000000000005</v>
      </c>
      <c r="X15" s="42">
        <f t="shared" si="1"/>
        <v>2.3002645405631884E-4</v>
      </c>
      <c r="Z15">
        <f t="shared" si="7"/>
        <v>12</v>
      </c>
      <c r="AA15" s="42">
        <f t="shared" si="8"/>
        <v>3.4809047554382078E-2</v>
      </c>
    </row>
    <row r="16" spans="1:30" x14ac:dyDescent="0.25">
      <c r="A16">
        <v>14</v>
      </c>
      <c r="B16" t="s">
        <v>34</v>
      </c>
      <c r="C16" t="s">
        <v>35</v>
      </c>
      <c r="D16" s="1">
        <v>8112</v>
      </c>
      <c r="E16" s="4" t="s">
        <v>8</v>
      </c>
      <c r="F16" s="44">
        <v>20946.830000000002</v>
      </c>
      <c r="G16" s="31">
        <v>853702.00986081082</v>
      </c>
      <c r="I16" s="48">
        <v>43677</v>
      </c>
      <c r="J16" s="51">
        <v>7.6317151999999999E-2</v>
      </c>
      <c r="L16" s="15">
        <f t="shared" si="6"/>
        <v>48213</v>
      </c>
      <c r="M16" s="16">
        <v>14</v>
      </c>
      <c r="N16" s="45">
        <f>(1+Increase)^Data!M16</f>
        <v>1.9799315994393973</v>
      </c>
      <c r="P16" s="21">
        <v>33</v>
      </c>
      <c r="Q16" s="42">
        <v>3.4299999999999999E-4</v>
      </c>
      <c r="R16" s="42">
        <f t="shared" si="2"/>
        <v>0.99965700000000002</v>
      </c>
      <c r="S16" s="46">
        <f t="shared" si="3"/>
        <v>3.4305883795464581E-4</v>
      </c>
      <c r="T16" s="42">
        <v>2.3800000000000001E-4</v>
      </c>
      <c r="U16" s="42">
        <f t="shared" si="4"/>
        <v>0.99976200000000004</v>
      </c>
      <c r="V16" s="46">
        <f t="shared" si="5"/>
        <v>2.3802832649452008E-4</v>
      </c>
      <c r="W16" s="42">
        <f t="shared" si="0"/>
        <v>0.99976200000000004</v>
      </c>
      <c r="X16" s="42">
        <f t="shared" si="1"/>
        <v>2.3802832649452008E-4</v>
      </c>
      <c r="Z16">
        <f t="shared" si="7"/>
        <v>13</v>
      </c>
      <c r="AA16" s="42">
        <f t="shared" si="8"/>
        <v>2.3347124375675148E-2</v>
      </c>
    </row>
    <row r="17" spans="1:27" x14ac:dyDescent="0.25">
      <c r="A17">
        <v>15</v>
      </c>
      <c r="B17" t="s">
        <v>36</v>
      </c>
      <c r="C17" t="s">
        <v>37</v>
      </c>
      <c r="D17" s="1">
        <v>13795</v>
      </c>
      <c r="E17" s="4" t="s">
        <v>8</v>
      </c>
      <c r="F17" s="44">
        <v>16754.849999999999</v>
      </c>
      <c r="G17" s="31">
        <v>1429554.4672125685</v>
      </c>
      <c r="I17" s="48">
        <v>43708</v>
      </c>
      <c r="J17" s="51">
        <v>7.5943267999999994E-2</v>
      </c>
      <c r="L17" s="15">
        <f t="shared" si="6"/>
        <v>48579</v>
      </c>
      <c r="M17" s="16">
        <v>15</v>
      </c>
      <c r="N17" s="45">
        <f>(1+Increase)^Data!M17</f>
        <v>2.0789281794113679</v>
      </c>
      <c r="P17" s="21">
        <v>34</v>
      </c>
      <c r="Q17" s="42">
        <v>3.4900000000000003E-4</v>
      </c>
      <c r="R17" s="42">
        <f t="shared" si="2"/>
        <v>0.99965099999999996</v>
      </c>
      <c r="S17" s="46">
        <f t="shared" si="3"/>
        <v>3.4906091467326995E-4</v>
      </c>
      <c r="T17" s="42">
        <v>2.4899999999999998E-4</v>
      </c>
      <c r="U17" s="42">
        <f t="shared" si="4"/>
        <v>0.99975099999999995</v>
      </c>
      <c r="V17" s="46">
        <f t="shared" si="5"/>
        <v>2.4903100564709898E-4</v>
      </c>
      <c r="W17" s="42">
        <f t="shared" si="0"/>
        <v>0.99975099999999995</v>
      </c>
      <c r="X17" s="42">
        <f t="shared" si="1"/>
        <v>2.4903100564709898E-4</v>
      </c>
      <c r="Z17">
        <f t="shared" si="7"/>
        <v>14</v>
      </c>
      <c r="AA17" s="42">
        <f t="shared" si="8"/>
        <v>1.5343846875315587E-2</v>
      </c>
    </row>
    <row r="18" spans="1:27" x14ac:dyDescent="0.25">
      <c r="A18">
        <v>16</v>
      </c>
      <c r="B18" t="s">
        <v>38</v>
      </c>
      <c r="C18" t="s">
        <v>39</v>
      </c>
      <c r="D18" s="1">
        <v>16985</v>
      </c>
      <c r="E18" s="4" t="s">
        <v>11</v>
      </c>
      <c r="F18" s="44">
        <v>14933.29</v>
      </c>
      <c r="G18" s="31">
        <v>1554976.7219970282</v>
      </c>
      <c r="I18" s="48">
        <v>43738</v>
      </c>
      <c r="J18" s="51">
        <v>7.5629463999999993E-2</v>
      </c>
      <c r="L18" s="15">
        <f t="shared" si="6"/>
        <v>48944</v>
      </c>
      <c r="M18" s="16">
        <v>16</v>
      </c>
      <c r="N18" s="45">
        <f>(1+Increase)^Data!M18</f>
        <v>2.182874588381936</v>
      </c>
      <c r="P18" s="21">
        <v>35</v>
      </c>
      <c r="Q18" s="42">
        <v>3.57E-4</v>
      </c>
      <c r="R18" s="42">
        <f t="shared" si="2"/>
        <v>0.99964299999999995</v>
      </c>
      <c r="S18" s="46">
        <f t="shared" si="3"/>
        <v>3.5706373967054472E-4</v>
      </c>
      <c r="T18" s="42">
        <v>2.63E-4</v>
      </c>
      <c r="U18" s="42">
        <f t="shared" si="4"/>
        <v>0.99973699999999999</v>
      </c>
      <c r="V18" s="46">
        <f t="shared" si="5"/>
        <v>2.6303459056502526E-4</v>
      </c>
      <c r="W18" s="42">
        <f t="shared" si="0"/>
        <v>0.99973699999999999</v>
      </c>
      <c r="X18" s="42">
        <f t="shared" si="1"/>
        <v>2.6303459056502526E-4</v>
      </c>
      <c r="Z18">
        <f t="shared" si="7"/>
        <v>15</v>
      </c>
      <c r="AA18" s="42">
        <f t="shared" si="8"/>
        <v>9.8785987760313058E-3</v>
      </c>
    </row>
    <row r="19" spans="1:27" x14ac:dyDescent="0.25">
      <c r="A19">
        <v>17</v>
      </c>
      <c r="B19" t="s">
        <v>40</v>
      </c>
      <c r="C19" t="s">
        <v>41</v>
      </c>
      <c r="D19" s="1">
        <v>18130</v>
      </c>
      <c r="E19" s="4" t="s">
        <v>8</v>
      </c>
      <c r="F19" s="44">
        <v>19992.650000000001</v>
      </c>
      <c r="G19" s="31">
        <v>2704345.5985500459</v>
      </c>
      <c r="I19" s="48">
        <v>43769</v>
      </c>
      <c r="J19" s="51">
        <v>7.5340824000000001E-2</v>
      </c>
      <c r="L19" s="15">
        <f t="shared" si="6"/>
        <v>49309</v>
      </c>
      <c r="M19" s="16">
        <v>17</v>
      </c>
      <c r="N19" s="45">
        <f>(1+Increase)^Data!M19</f>
        <v>2.2920183178010332</v>
      </c>
      <c r="P19" s="21">
        <v>36</v>
      </c>
      <c r="Q19" s="42">
        <v>3.6699999999999998E-4</v>
      </c>
      <c r="R19" s="42">
        <f t="shared" si="2"/>
        <v>0.99963299999999999</v>
      </c>
      <c r="S19" s="46">
        <f t="shared" si="3"/>
        <v>3.6706736098149714E-4</v>
      </c>
      <c r="T19" s="42">
        <v>2.7900000000000001E-4</v>
      </c>
      <c r="U19" s="42">
        <f t="shared" si="4"/>
        <v>0.99972099999999997</v>
      </c>
      <c r="V19" s="46">
        <f t="shared" si="5"/>
        <v>2.7903892774075738E-4</v>
      </c>
      <c r="W19" s="42">
        <f t="shared" si="0"/>
        <v>0.99972099999999997</v>
      </c>
      <c r="X19" s="42">
        <f t="shared" si="1"/>
        <v>2.7903892774075738E-4</v>
      </c>
      <c r="Z19">
        <f t="shared" si="7"/>
        <v>16</v>
      </c>
      <c r="AA19" s="42">
        <f t="shared" si="8"/>
        <v>6.2294147523690143E-3</v>
      </c>
    </row>
    <row r="20" spans="1:27" x14ac:dyDescent="0.25">
      <c r="A20">
        <v>18</v>
      </c>
      <c r="B20" t="s">
        <v>42</v>
      </c>
      <c r="C20" t="s">
        <v>43</v>
      </c>
      <c r="D20" s="1">
        <v>17362</v>
      </c>
      <c r="E20" s="4" t="s">
        <v>8</v>
      </c>
      <c r="F20" s="44">
        <v>20955.41</v>
      </c>
      <c r="G20" s="31">
        <v>2639465.9386518155</v>
      </c>
      <c r="I20" s="48">
        <v>43799</v>
      </c>
      <c r="J20" s="51">
        <v>7.5094326000000003E-2</v>
      </c>
      <c r="L20" s="15">
        <f t="shared" si="6"/>
        <v>49674</v>
      </c>
      <c r="M20" s="16">
        <v>18</v>
      </c>
      <c r="N20" s="45">
        <f>(1+Increase)^Data!M20</f>
        <v>2.4066192336910848</v>
      </c>
      <c r="P20" s="21">
        <v>37</v>
      </c>
      <c r="Q20" s="42">
        <v>3.8000000000000002E-4</v>
      </c>
      <c r="R20" s="42">
        <f t="shared" si="2"/>
        <v>0.99961999999999995</v>
      </c>
      <c r="S20" s="46">
        <f t="shared" si="3"/>
        <v>3.8007221829592806E-4</v>
      </c>
      <c r="T20" s="42">
        <v>2.9799999999999998E-4</v>
      </c>
      <c r="U20" s="42">
        <f t="shared" si="4"/>
        <v>0.99970199999999998</v>
      </c>
      <c r="V20" s="46">
        <f t="shared" si="5"/>
        <v>2.9804441082318983E-4</v>
      </c>
      <c r="W20" s="42">
        <f t="shared" si="0"/>
        <v>0.99970199999999998</v>
      </c>
      <c r="X20" s="42">
        <f t="shared" si="1"/>
        <v>2.9804441082318983E-4</v>
      </c>
      <c r="Z20">
        <f t="shared" si="7"/>
        <v>17</v>
      </c>
      <c r="AA20" s="42">
        <f t="shared" si="8"/>
        <v>3.8472491745745888E-3</v>
      </c>
    </row>
    <row r="21" spans="1:27" x14ac:dyDescent="0.25">
      <c r="A21">
        <v>19</v>
      </c>
      <c r="B21" t="s">
        <v>44</v>
      </c>
      <c r="C21" t="s">
        <v>45</v>
      </c>
      <c r="D21" s="1">
        <v>18693</v>
      </c>
      <c r="E21" s="4" t="s">
        <v>11</v>
      </c>
      <c r="F21" s="44">
        <v>21753.26</v>
      </c>
      <c r="G21" s="31">
        <v>2774446.2144376207</v>
      </c>
      <c r="I21" s="48">
        <v>43830</v>
      </c>
      <c r="J21" s="51">
        <v>7.4883431E-2</v>
      </c>
      <c r="L21" s="15">
        <f t="shared" si="6"/>
        <v>50040</v>
      </c>
      <c r="M21" s="16">
        <v>19</v>
      </c>
      <c r="N21" s="45">
        <f>(1+Increase)^Data!M21</f>
        <v>2.526950195375639</v>
      </c>
      <c r="P21" s="21">
        <v>38</v>
      </c>
      <c r="Q21" s="42">
        <v>3.9599999999999998E-4</v>
      </c>
      <c r="R21" s="42">
        <f t="shared" si="2"/>
        <v>0.99960400000000005</v>
      </c>
      <c r="S21" s="46">
        <f t="shared" si="3"/>
        <v>3.960784287058137E-4</v>
      </c>
      <c r="T21" s="42">
        <v>3.21E-4</v>
      </c>
      <c r="U21" s="42">
        <f t="shared" si="4"/>
        <v>0.99967899999999998</v>
      </c>
      <c r="V21" s="46">
        <f t="shared" si="5"/>
        <v>3.2105153152805777E-4</v>
      </c>
      <c r="W21" s="42">
        <f t="shared" si="0"/>
        <v>0.99967899999999998</v>
      </c>
      <c r="X21" s="42">
        <f t="shared" si="1"/>
        <v>3.2105153152805777E-4</v>
      </c>
      <c r="Z21">
        <f t="shared" si="7"/>
        <v>18</v>
      </c>
      <c r="AA21" s="42">
        <f t="shared" si="8"/>
        <v>2.3270086632414398E-3</v>
      </c>
    </row>
    <row r="22" spans="1:27" x14ac:dyDescent="0.25">
      <c r="A22">
        <v>20</v>
      </c>
      <c r="B22" t="s">
        <v>46</v>
      </c>
      <c r="C22" t="s">
        <v>47</v>
      </c>
      <c r="D22" s="1">
        <v>11650</v>
      </c>
      <c r="E22" s="4" t="s">
        <v>8</v>
      </c>
      <c r="F22" s="44">
        <v>21098.87</v>
      </c>
      <c r="G22" s="31">
        <v>1362033.5758970203</v>
      </c>
      <c r="I22" s="48">
        <v>43861</v>
      </c>
      <c r="J22" s="51">
        <v>7.4908767000000001E-2</v>
      </c>
      <c r="L22" s="15">
        <f t="shared" si="6"/>
        <v>50405</v>
      </c>
      <c r="M22" s="16">
        <v>20</v>
      </c>
      <c r="N22" s="45">
        <f>(1+Increase)^Data!M22</f>
        <v>2.6532977051444209</v>
      </c>
      <c r="P22" s="21">
        <v>39</v>
      </c>
      <c r="Q22" s="42">
        <v>4.17E-4</v>
      </c>
      <c r="R22" s="42">
        <f t="shared" si="2"/>
        <v>0.999583</v>
      </c>
      <c r="S22" s="46">
        <f t="shared" si="3"/>
        <v>4.1708696867813358E-4</v>
      </c>
      <c r="T22" s="42">
        <v>3.4900000000000003E-4</v>
      </c>
      <c r="U22" s="42">
        <f t="shared" si="4"/>
        <v>0.99965099999999996</v>
      </c>
      <c r="V22" s="46">
        <f t="shared" si="5"/>
        <v>3.4906091467326995E-4</v>
      </c>
      <c r="W22" s="42">
        <f t="shared" si="0"/>
        <v>0.99965099999999996</v>
      </c>
      <c r="X22" s="42">
        <f t="shared" si="1"/>
        <v>3.4906091467326995E-4</v>
      </c>
      <c r="Z22">
        <f t="shared" si="7"/>
        <v>19</v>
      </c>
      <c r="AA22" s="42">
        <f t="shared" si="8"/>
        <v>1.3785338941562084E-3</v>
      </c>
    </row>
    <row r="23" spans="1:27" x14ac:dyDescent="0.25">
      <c r="A23">
        <v>21</v>
      </c>
      <c r="B23" t="s">
        <v>48</v>
      </c>
      <c r="C23" t="s">
        <v>49</v>
      </c>
      <c r="D23" s="1">
        <v>13031</v>
      </c>
      <c r="E23" s="4" t="s">
        <v>8</v>
      </c>
      <c r="F23" s="44">
        <v>20941.04</v>
      </c>
      <c r="G23" s="31">
        <v>1608234.7422772106</v>
      </c>
      <c r="I23" s="48">
        <v>43890</v>
      </c>
      <c r="J23" s="51">
        <v>7.4930136999999994E-2</v>
      </c>
      <c r="L23" s="15">
        <f t="shared" si="6"/>
        <v>50770</v>
      </c>
      <c r="M23" s="16">
        <v>21</v>
      </c>
      <c r="N23" s="45">
        <f>(1+Increase)^Data!M23</f>
        <v>2.7859625904016418</v>
      </c>
      <c r="P23" s="21">
        <v>40</v>
      </c>
      <c r="Q23" s="42">
        <v>4.4299999999999998E-4</v>
      </c>
      <c r="R23" s="42">
        <f t="shared" si="2"/>
        <v>0.99955700000000003</v>
      </c>
      <c r="S23" s="46">
        <f t="shared" si="3"/>
        <v>4.430981534890387E-4</v>
      </c>
      <c r="T23" s="42">
        <v>3.8200000000000002E-4</v>
      </c>
      <c r="U23" s="42">
        <f t="shared" si="4"/>
        <v>0.99961800000000001</v>
      </c>
      <c r="V23" s="46">
        <f t="shared" si="5"/>
        <v>3.8207298058630786E-4</v>
      </c>
      <c r="W23" s="42">
        <f t="shared" si="0"/>
        <v>0.99961800000000001</v>
      </c>
      <c r="X23" s="42">
        <f t="shared" si="1"/>
        <v>3.8207298058630786E-4</v>
      </c>
      <c r="Z23">
        <f t="shared" si="7"/>
        <v>20</v>
      </c>
      <c r="AA23" s="42">
        <f t="shared" si="8"/>
        <v>7.9996321877884779E-4</v>
      </c>
    </row>
    <row r="24" spans="1:27" x14ac:dyDescent="0.25">
      <c r="A24">
        <v>22</v>
      </c>
      <c r="B24" t="s">
        <v>50</v>
      </c>
      <c r="C24" t="s">
        <v>51</v>
      </c>
      <c r="D24" s="1">
        <v>8965</v>
      </c>
      <c r="E24" s="4" t="s">
        <v>8</v>
      </c>
      <c r="F24" s="44">
        <v>22462.99</v>
      </c>
      <c r="G24" s="31">
        <v>920376.42830274126</v>
      </c>
      <c r="I24" s="48">
        <v>43921</v>
      </c>
      <c r="J24" s="51">
        <v>7.4967315000000007E-2</v>
      </c>
      <c r="L24" s="15">
        <f t="shared" si="6"/>
        <v>51135</v>
      </c>
      <c r="M24" s="16">
        <v>22</v>
      </c>
      <c r="N24" s="45">
        <f>(1+Increase)^Data!M24</f>
        <v>2.9252607199217238</v>
      </c>
      <c r="P24" s="21">
        <v>41</v>
      </c>
      <c r="Q24" s="42">
        <v>4.75E-4</v>
      </c>
      <c r="R24" s="42">
        <f t="shared" si="2"/>
        <v>0.999525</v>
      </c>
      <c r="S24" s="46">
        <f t="shared" si="3"/>
        <v>4.7511284823669304E-4</v>
      </c>
      <c r="T24" s="42">
        <v>4.2099999999999999E-4</v>
      </c>
      <c r="U24" s="42">
        <f t="shared" si="4"/>
        <v>0.999579</v>
      </c>
      <c r="V24" s="46">
        <f t="shared" si="5"/>
        <v>4.2108864538068126E-4</v>
      </c>
      <c r="W24" s="42">
        <f t="shared" si="0"/>
        <v>0.999579</v>
      </c>
      <c r="X24" s="42">
        <f t="shared" si="1"/>
        <v>4.2108864538068126E-4</v>
      </c>
      <c r="Z24">
        <f t="shared" si="7"/>
        <v>21</v>
      </c>
      <c r="AA24" s="42">
        <f t="shared" si="8"/>
        <v>4.5483428733787072E-4</v>
      </c>
    </row>
    <row r="25" spans="1:27" x14ac:dyDescent="0.25">
      <c r="A25">
        <v>23</v>
      </c>
      <c r="B25" t="s">
        <v>52</v>
      </c>
      <c r="C25" t="s">
        <v>53</v>
      </c>
      <c r="D25" s="1">
        <v>6905</v>
      </c>
      <c r="E25" s="4" t="s">
        <v>8</v>
      </c>
      <c r="F25" s="44">
        <v>16339.75</v>
      </c>
      <c r="G25" s="31">
        <v>525931.99023921753</v>
      </c>
      <c r="I25" s="48">
        <v>43951</v>
      </c>
      <c r="J25" s="51">
        <v>7.5220831000000002E-2</v>
      </c>
      <c r="L25" s="15">
        <f t="shared" si="6"/>
        <v>51501</v>
      </c>
      <c r="M25" s="16">
        <v>23</v>
      </c>
      <c r="N25" s="45">
        <f>(1+Increase)^Data!M25</f>
        <v>3.0715237559178106</v>
      </c>
      <c r="P25" s="21">
        <v>42</v>
      </c>
      <c r="Q25" s="42">
        <v>5.1400000000000003E-4</v>
      </c>
      <c r="R25" s="42">
        <f t="shared" si="2"/>
        <v>0.99948599999999999</v>
      </c>
      <c r="S25" s="46">
        <f t="shared" si="3"/>
        <v>5.1413214328305289E-4</v>
      </c>
      <c r="T25" s="42">
        <v>4.6799999999999999E-4</v>
      </c>
      <c r="U25" s="42">
        <f t="shared" si="4"/>
        <v>0.99953199999999998</v>
      </c>
      <c r="V25" s="46">
        <f t="shared" si="5"/>
        <v>4.6810954617976534E-4</v>
      </c>
      <c r="W25" s="42">
        <f t="shared" si="0"/>
        <v>0.99953199999999998</v>
      </c>
      <c r="X25" s="42">
        <f t="shared" si="1"/>
        <v>4.6810954617976534E-4</v>
      </c>
      <c r="Z25">
        <f t="shared" si="7"/>
        <v>22</v>
      </c>
      <c r="AA25" s="42">
        <f t="shared" si="8"/>
        <v>2.5345549695045375E-4</v>
      </c>
    </row>
    <row r="26" spans="1:27" x14ac:dyDescent="0.25">
      <c r="A26">
        <v>24</v>
      </c>
      <c r="B26" t="s">
        <v>54</v>
      </c>
      <c r="C26" t="s">
        <v>55</v>
      </c>
      <c r="D26" s="1">
        <v>11226</v>
      </c>
      <c r="E26" s="4" t="s">
        <v>11</v>
      </c>
      <c r="F26" s="44">
        <v>16223.09</v>
      </c>
      <c r="G26" s="31">
        <v>715342.17959164525</v>
      </c>
      <c r="I26" s="48">
        <v>43982</v>
      </c>
      <c r="J26" s="51">
        <v>7.5460034999999995E-2</v>
      </c>
      <c r="L26" s="15">
        <f t="shared" si="6"/>
        <v>51866</v>
      </c>
      <c r="M26" s="16">
        <v>24</v>
      </c>
      <c r="N26" s="45">
        <f>(1+Increase)^Data!M26</f>
        <v>3.2250999437137007</v>
      </c>
      <c r="P26" s="21">
        <v>43</v>
      </c>
      <c r="Q26" s="42">
        <v>5.6099999999999998E-4</v>
      </c>
      <c r="R26" s="42">
        <f t="shared" si="2"/>
        <v>0.99943899999999997</v>
      </c>
      <c r="S26" s="46">
        <f t="shared" si="3"/>
        <v>5.6115741937763414E-4</v>
      </c>
      <c r="T26" s="42">
        <v>5.22E-4</v>
      </c>
      <c r="U26" s="42">
        <f t="shared" si="4"/>
        <v>0.99947799999999998</v>
      </c>
      <c r="V26" s="46">
        <f t="shared" si="5"/>
        <v>5.2213628943080807E-4</v>
      </c>
      <c r="W26" s="42">
        <f t="shared" si="0"/>
        <v>0.99947799999999998</v>
      </c>
      <c r="X26" s="42">
        <f t="shared" si="1"/>
        <v>5.2213628943080807E-4</v>
      </c>
      <c r="Z26">
        <f t="shared" si="7"/>
        <v>23</v>
      </c>
      <c r="AA26" s="42">
        <f t="shared" si="8"/>
        <v>1.3848047986881942E-4</v>
      </c>
    </row>
    <row r="27" spans="1:27" x14ac:dyDescent="0.25">
      <c r="A27">
        <v>25</v>
      </c>
      <c r="B27" t="s">
        <v>56</v>
      </c>
      <c r="C27" t="s">
        <v>57</v>
      </c>
      <c r="D27" s="1">
        <v>8172</v>
      </c>
      <c r="E27" s="4" t="s">
        <v>8</v>
      </c>
      <c r="F27" s="44">
        <v>22365.7</v>
      </c>
      <c r="G27" s="31">
        <v>943950.87463705766</v>
      </c>
      <c r="I27" s="48">
        <v>44012</v>
      </c>
      <c r="J27" s="51">
        <v>7.5673981000000001E-2</v>
      </c>
      <c r="L27" s="15">
        <f t="shared" si="6"/>
        <v>52231</v>
      </c>
      <c r="M27" s="16">
        <v>25</v>
      </c>
      <c r="N27" s="45">
        <f>(1+Increase)^Data!M27</f>
        <v>3.3863549408993858</v>
      </c>
      <c r="P27" s="21">
        <v>44</v>
      </c>
      <c r="Q27" s="42">
        <v>6.1899999999999998E-4</v>
      </c>
      <c r="R27" s="42">
        <f t="shared" si="2"/>
        <v>0.99938099999999996</v>
      </c>
      <c r="S27" s="46">
        <f t="shared" si="3"/>
        <v>6.1919165959564378E-4</v>
      </c>
      <c r="T27" s="42">
        <v>5.8600000000000004E-4</v>
      </c>
      <c r="U27" s="42">
        <f t="shared" si="4"/>
        <v>0.99941400000000002</v>
      </c>
      <c r="V27" s="46">
        <f t="shared" si="5"/>
        <v>5.8617176510615478E-4</v>
      </c>
      <c r="W27" s="42">
        <f t="shared" si="0"/>
        <v>0.99941400000000002</v>
      </c>
      <c r="X27" s="42">
        <f t="shared" si="1"/>
        <v>5.8617176510615478E-4</v>
      </c>
      <c r="Z27">
        <f t="shared" si="7"/>
        <v>24</v>
      </c>
      <c r="AA27" s="42">
        <f t="shared" si="8"/>
        <v>7.4220274951452195E-5</v>
      </c>
    </row>
    <row r="28" spans="1:27" x14ac:dyDescent="0.25">
      <c r="A28">
        <v>26</v>
      </c>
      <c r="B28" t="s">
        <v>58</v>
      </c>
      <c r="C28" t="s">
        <v>59</v>
      </c>
      <c r="D28" s="1">
        <v>12802</v>
      </c>
      <c r="E28" s="4" t="s">
        <v>11</v>
      </c>
      <c r="F28" s="44">
        <v>23577.29</v>
      </c>
      <c r="G28" s="31">
        <v>1397298.8551474423</v>
      </c>
      <c r="I28" s="48">
        <v>44043</v>
      </c>
      <c r="J28" s="51">
        <v>7.5927703999999999E-2</v>
      </c>
      <c r="L28" s="15">
        <f t="shared" si="6"/>
        <v>52596</v>
      </c>
      <c r="M28" s="16">
        <v>26</v>
      </c>
      <c r="N28" s="45">
        <f>(1+Increase)^Data!M28</f>
        <v>3.5556726879443552</v>
      </c>
      <c r="P28" s="21">
        <v>45</v>
      </c>
      <c r="Q28" s="42">
        <v>6.8900000000000005E-4</v>
      </c>
      <c r="R28" s="42">
        <f t="shared" si="2"/>
        <v>0.99931099999999995</v>
      </c>
      <c r="S28" s="46">
        <f t="shared" si="3"/>
        <v>6.8923746958401142E-4</v>
      </c>
      <c r="T28" s="42">
        <v>6.6200000000000005E-4</v>
      </c>
      <c r="U28" s="42">
        <f t="shared" si="4"/>
        <v>0.99933799999999995</v>
      </c>
      <c r="V28" s="46">
        <f t="shared" si="5"/>
        <v>6.6221921875393404E-4</v>
      </c>
      <c r="W28" s="42">
        <f t="shared" si="0"/>
        <v>0.99933799999999995</v>
      </c>
      <c r="X28" s="42">
        <f t="shared" si="1"/>
        <v>6.6221921875393404E-4</v>
      </c>
      <c r="Z28">
        <f t="shared" si="7"/>
        <v>25</v>
      </c>
      <c r="AA28" s="42">
        <f t="shared" si="8"/>
        <v>3.9043798299036283E-5</v>
      </c>
    </row>
    <row r="29" spans="1:27" x14ac:dyDescent="0.25">
      <c r="A29">
        <v>27</v>
      </c>
      <c r="B29" t="s">
        <v>60</v>
      </c>
      <c r="C29" t="s">
        <v>61</v>
      </c>
      <c r="D29" s="1">
        <v>12186</v>
      </c>
      <c r="E29" s="4" t="s">
        <v>11</v>
      </c>
      <c r="F29" s="44">
        <v>19542.98</v>
      </c>
      <c r="G29" s="31">
        <v>1089454.9758180561</v>
      </c>
      <c r="I29" s="48">
        <v>44074</v>
      </c>
      <c r="J29" s="51">
        <v>7.6161614000000002E-2</v>
      </c>
      <c r="L29" s="15">
        <f t="shared" si="6"/>
        <v>52962</v>
      </c>
      <c r="M29" s="16">
        <v>27</v>
      </c>
      <c r="N29" s="45">
        <f>(1+Increase)^Data!M29</f>
        <v>3.7334563223415733</v>
      </c>
      <c r="P29" s="21">
        <v>46</v>
      </c>
      <c r="Q29" s="42">
        <v>7.7399999999999995E-4</v>
      </c>
      <c r="R29" s="42">
        <f t="shared" si="2"/>
        <v>0.99922599999999995</v>
      </c>
      <c r="S29" s="46">
        <f t="shared" si="3"/>
        <v>7.7429969265143902E-4</v>
      </c>
      <c r="T29" s="42">
        <v>7.5000000000000002E-4</v>
      </c>
      <c r="U29" s="42">
        <f t="shared" si="4"/>
        <v>0.99924999999999997</v>
      </c>
      <c r="V29" s="46">
        <f t="shared" si="5"/>
        <v>7.5028139070417745E-4</v>
      </c>
      <c r="W29" s="42">
        <f t="shared" si="0"/>
        <v>0.99924999999999997</v>
      </c>
      <c r="X29" s="42">
        <f t="shared" si="1"/>
        <v>7.5028139070417745E-4</v>
      </c>
      <c r="Z29">
        <f t="shared" si="7"/>
        <v>25</v>
      </c>
      <c r="AA29" s="42">
        <f t="shared" si="8"/>
        <v>0</v>
      </c>
    </row>
    <row r="30" spans="1:27" x14ac:dyDescent="0.25">
      <c r="A30">
        <v>28</v>
      </c>
      <c r="B30" t="s">
        <v>62</v>
      </c>
      <c r="C30" t="s">
        <v>63</v>
      </c>
      <c r="D30" s="1">
        <v>13560</v>
      </c>
      <c r="E30" s="4" t="s">
        <v>8</v>
      </c>
      <c r="F30" s="44">
        <v>19981.79</v>
      </c>
      <c r="G30" s="31">
        <v>1686612.5761862739</v>
      </c>
      <c r="I30" s="48">
        <v>44104</v>
      </c>
      <c r="J30" s="51">
        <v>7.6374775000000006E-2</v>
      </c>
      <c r="L30" s="15">
        <f t="shared" si="6"/>
        <v>53327</v>
      </c>
      <c r="M30" s="16">
        <v>28</v>
      </c>
      <c r="N30" s="45">
        <f>(1+Increase)^Data!M30</f>
        <v>3.9201291384586514</v>
      </c>
      <c r="P30" s="21">
        <v>47</v>
      </c>
      <c r="Q30" s="42">
        <v>8.7600000000000004E-4</v>
      </c>
      <c r="R30" s="42">
        <f t="shared" si="2"/>
        <v>0.99912400000000001</v>
      </c>
      <c r="S30" s="46">
        <f t="shared" si="3"/>
        <v>8.7638391222109966E-4</v>
      </c>
      <c r="T30" s="42">
        <v>8.52E-4</v>
      </c>
      <c r="U30" s="42">
        <f t="shared" si="4"/>
        <v>0.99914800000000004</v>
      </c>
      <c r="V30" s="46">
        <f t="shared" si="5"/>
        <v>8.5236315828852386E-4</v>
      </c>
      <c r="W30" s="42">
        <f t="shared" si="0"/>
        <v>0.99914800000000004</v>
      </c>
      <c r="X30" s="42">
        <f t="shared" si="1"/>
        <v>8.5236315828852386E-4</v>
      </c>
      <c r="Z30">
        <f t="shared" si="7"/>
        <v>25</v>
      </c>
      <c r="AA30" s="42">
        <f t="shared" si="8"/>
        <v>0</v>
      </c>
    </row>
    <row r="31" spans="1:27" x14ac:dyDescent="0.25">
      <c r="A31">
        <v>29</v>
      </c>
      <c r="B31" t="s">
        <v>64</v>
      </c>
      <c r="C31" t="s">
        <v>65</v>
      </c>
      <c r="D31" s="1">
        <v>14850</v>
      </c>
      <c r="E31" s="4" t="s">
        <v>11</v>
      </c>
      <c r="F31" s="44">
        <v>24968.62</v>
      </c>
      <c r="G31" s="31">
        <v>1957480.5660167595</v>
      </c>
      <c r="I31" s="48">
        <v>44135</v>
      </c>
      <c r="J31" s="51">
        <v>7.6681972000000001E-2</v>
      </c>
      <c r="L31" s="15">
        <f t="shared" si="6"/>
        <v>53692</v>
      </c>
      <c r="M31" s="16">
        <v>29</v>
      </c>
      <c r="N31" s="45">
        <f>(1+Increase)^Data!M31</f>
        <v>4.1161355953815848</v>
      </c>
      <c r="P31" s="21">
        <v>48</v>
      </c>
      <c r="Q31" s="42">
        <v>9.9700000000000006E-4</v>
      </c>
      <c r="R31" s="42">
        <f t="shared" si="2"/>
        <v>0.99900299999999997</v>
      </c>
      <c r="S31" s="46">
        <f t="shared" si="3"/>
        <v>9.9749733508956067E-4</v>
      </c>
      <c r="T31" s="42">
        <v>9.7199999999999999E-4</v>
      </c>
      <c r="U31" s="42">
        <f t="shared" si="4"/>
        <v>0.99902800000000003</v>
      </c>
      <c r="V31" s="46">
        <f t="shared" si="5"/>
        <v>9.7247269833331668E-4</v>
      </c>
      <c r="W31" s="42">
        <f t="shared" si="0"/>
        <v>0.99902800000000003</v>
      </c>
      <c r="X31" s="42">
        <f t="shared" si="1"/>
        <v>9.7247269833331668E-4</v>
      </c>
      <c r="Z31">
        <f t="shared" si="7"/>
        <v>25</v>
      </c>
      <c r="AA31" s="42">
        <f t="shared" si="8"/>
        <v>0</v>
      </c>
    </row>
    <row r="32" spans="1:27" x14ac:dyDescent="0.25">
      <c r="A32">
        <v>30</v>
      </c>
      <c r="B32" t="s">
        <v>66</v>
      </c>
      <c r="C32" t="s">
        <v>67</v>
      </c>
      <c r="D32" s="1">
        <v>11685</v>
      </c>
      <c r="E32" s="4" t="s">
        <v>8</v>
      </c>
      <c r="F32" s="44">
        <v>18946.88</v>
      </c>
      <c r="G32" s="31">
        <v>1239508.0544882375</v>
      </c>
      <c r="I32" s="48">
        <v>44165</v>
      </c>
      <c r="J32" s="51">
        <v>7.6958768999999996E-2</v>
      </c>
      <c r="L32" s="15">
        <f t="shared" si="6"/>
        <v>54057</v>
      </c>
      <c r="M32" s="16">
        <v>30</v>
      </c>
      <c r="N32" s="45">
        <f>(1+Increase)^Data!M32</f>
        <v>4.3219423751506625</v>
      </c>
      <c r="P32" s="21">
        <v>49</v>
      </c>
      <c r="Q32" s="42">
        <v>1.142E-3</v>
      </c>
      <c r="R32" s="42">
        <f t="shared" si="2"/>
        <v>0.99885800000000002</v>
      </c>
      <c r="S32" s="46">
        <f t="shared" si="3"/>
        <v>1.1426525788773387E-3</v>
      </c>
      <c r="T32" s="42">
        <v>1.1100000000000001E-3</v>
      </c>
      <c r="U32" s="42">
        <f t="shared" si="4"/>
        <v>0.99888999999999994</v>
      </c>
      <c r="V32" s="46">
        <f t="shared" si="5"/>
        <v>1.1106165062569103E-3</v>
      </c>
      <c r="W32" s="42">
        <f t="shared" si="0"/>
        <v>0.99888999999999994</v>
      </c>
      <c r="X32" s="42">
        <f t="shared" si="1"/>
        <v>1.1106165062569103E-3</v>
      </c>
      <c r="Z32">
        <f t="shared" si="7"/>
        <v>25</v>
      </c>
      <c r="AA32" s="42">
        <f t="shared" si="8"/>
        <v>0</v>
      </c>
    </row>
    <row r="33" spans="1:27" x14ac:dyDescent="0.25">
      <c r="A33">
        <v>31</v>
      </c>
      <c r="B33" t="s">
        <v>68</v>
      </c>
      <c r="C33" t="s">
        <v>69</v>
      </c>
      <c r="D33" s="1">
        <v>13588</v>
      </c>
      <c r="E33" s="4" t="s">
        <v>11</v>
      </c>
      <c r="F33" s="44">
        <v>23678.98</v>
      </c>
      <c r="G33" s="31">
        <v>1600071.0812979115</v>
      </c>
      <c r="I33" s="48">
        <v>44196</v>
      </c>
      <c r="J33" s="51">
        <v>7.7223485999999994E-2</v>
      </c>
      <c r="L33" s="15">
        <f t="shared" si="6"/>
        <v>54423</v>
      </c>
      <c r="M33" s="16">
        <v>31</v>
      </c>
      <c r="N33" s="45">
        <f>(1+Increase)^Data!M33</f>
        <v>4.5380394939081974</v>
      </c>
      <c r="P33" s="21">
        <v>50</v>
      </c>
      <c r="Q33" s="42">
        <v>1.315E-3</v>
      </c>
      <c r="R33" s="42">
        <f t="shared" si="2"/>
        <v>0.99868500000000004</v>
      </c>
      <c r="S33" s="46">
        <f t="shared" si="3"/>
        <v>1.3158653712252554E-3</v>
      </c>
      <c r="T33" s="42">
        <v>1.271E-3</v>
      </c>
      <c r="U33" s="42">
        <f t="shared" si="4"/>
        <v>0.99872899999999998</v>
      </c>
      <c r="V33" s="46">
        <f t="shared" si="5"/>
        <v>1.2718084055616022E-3</v>
      </c>
      <c r="W33" s="42">
        <f t="shared" si="0"/>
        <v>0.99872899999999998</v>
      </c>
      <c r="X33" s="42">
        <f t="shared" si="1"/>
        <v>1.2718084055616022E-3</v>
      </c>
      <c r="Z33">
        <f t="shared" si="7"/>
        <v>25</v>
      </c>
      <c r="AA33" s="42">
        <f t="shared" si="8"/>
        <v>0</v>
      </c>
    </row>
    <row r="34" spans="1:27" x14ac:dyDescent="0.25">
      <c r="A34">
        <v>32</v>
      </c>
      <c r="B34" t="s">
        <v>70</v>
      </c>
      <c r="C34" t="s">
        <v>71</v>
      </c>
      <c r="D34" s="1">
        <v>20512</v>
      </c>
      <c r="E34" s="4" t="s">
        <v>11</v>
      </c>
      <c r="F34" s="44">
        <v>18447.669999999998</v>
      </c>
      <c r="G34" s="31">
        <v>2763894.9493166748</v>
      </c>
      <c r="I34" s="48">
        <v>44227</v>
      </c>
      <c r="J34" s="51">
        <v>7.7439188000000006E-2</v>
      </c>
      <c r="L34" s="15">
        <f t="shared" si="6"/>
        <v>54788</v>
      </c>
      <c r="M34" s="16">
        <v>32</v>
      </c>
      <c r="N34" s="45">
        <f>(1+Increase)^Data!M34</f>
        <v>4.7649414686036069</v>
      </c>
      <c r="P34" s="21">
        <v>51</v>
      </c>
      <c r="Q34" s="42">
        <v>1.519E-3</v>
      </c>
      <c r="R34" s="42">
        <f t="shared" si="2"/>
        <v>0.99848099999999995</v>
      </c>
      <c r="S34" s="46">
        <f t="shared" si="3"/>
        <v>1.5201548501264327E-3</v>
      </c>
      <c r="T34" s="42">
        <v>1.456E-3</v>
      </c>
      <c r="U34" s="42">
        <f t="shared" si="4"/>
        <v>0.99854399999999999</v>
      </c>
      <c r="V34" s="46">
        <f t="shared" si="5"/>
        <v>1.4570609980004607E-3</v>
      </c>
      <c r="W34" s="42">
        <f t="shared" si="0"/>
        <v>0.99854399999999999</v>
      </c>
      <c r="X34" s="42">
        <f t="shared" si="1"/>
        <v>1.4570609980004607E-3</v>
      </c>
      <c r="Z34">
        <f t="shared" si="7"/>
        <v>25</v>
      </c>
      <c r="AA34" s="42">
        <f t="shared" si="8"/>
        <v>0</v>
      </c>
    </row>
    <row r="35" spans="1:27" x14ac:dyDescent="0.25">
      <c r="A35">
        <v>33</v>
      </c>
      <c r="B35" t="s">
        <v>72</v>
      </c>
      <c r="C35" t="s">
        <v>73</v>
      </c>
      <c r="D35" s="1">
        <v>12680</v>
      </c>
      <c r="E35" s="4" t="s">
        <v>8</v>
      </c>
      <c r="F35" s="44">
        <v>20180.34</v>
      </c>
      <c r="G35" s="31">
        <v>1481166.0405384968</v>
      </c>
      <c r="I35" s="48">
        <v>44255</v>
      </c>
      <c r="J35" s="51">
        <v>7.7622226000000002E-2</v>
      </c>
      <c r="L35" s="15">
        <f t="shared" si="6"/>
        <v>55153</v>
      </c>
      <c r="M35" s="16">
        <v>33</v>
      </c>
      <c r="N35" s="45">
        <f>(1+Increase)^Data!M35</f>
        <v>5.0031885420337874</v>
      </c>
      <c r="P35" s="21">
        <v>52</v>
      </c>
      <c r="Q35" s="42">
        <v>1.761E-3</v>
      </c>
      <c r="R35" s="42">
        <f t="shared" si="2"/>
        <v>0.99823899999999999</v>
      </c>
      <c r="S35" s="46">
        <f t="shared" si="3"/>
        <v>1.7625523832656695E-3</v>
      </c>
      <c r="T35" s="42">
        <v>1.67E-3</v>
      </c>
      <c r="U35" s="42">
        <f t="shared" si="4"/>
        <v>0.99833000000000005</v>
      </c>
      <c r="V35" s="46">
        <f t="shared" si="5"/>
        <v>1.6713960044347081E-3</v>
      </c>
      <c r="W35" s="42">
        <f t="shared" ref="W35:W66" si="9">IF(Gender= "Male",R35,U35)</f>
        <v>0.99833000000000005</v>
      </c>
      <c r="X35" s="42">
        <f t="shared" ref="X35:X66" si="10">IF(Gender= "Male",S35,V35)</f>
        <v>1.6713960044347081E-3</v>
      </c>
      <c r="Z35">
        <f t="shared" si="7"/>
        <v>25</v>
      </c>
      <c r="AA35" s="42">
        <f t="shared" si="8"/>
        <v>0</v>
      </c>
    </row>
    <row r="36" spans="1:27" x14ac:dyDescent="0.25">
      <c r="A36">
        <v>34</v>
      </c>
      <c r="B36" t="s">
        <v>74</v>
      </c>
      <c r="C36" t="s">
        <v>75</v>
      </c>
      <c r="D36" s="1">
        <v>14392</v>
      </c>
      <c r="E36" s="4" t="s">
        <v>8</v>
      </c>
      <c r="F36" s="44">
        <v>22196.27</v>
      </c>
      <c r="G36" s="31">
        <v>2094628.7362275063</v>
      </c>
      <c r="I36" s="48">
        <v>44286</v>
      </c>
      <c r="J36" s="51">
        <v>7.7816284999999999E-2</v>
      </c>
      <c r="L36" s="15">
        <f t="shared" si="6"/>
        <v>55518</v>
      </c>
      <c r="M36" s="16">
        <v>34</v>
      </c>
      <c r="N36" s="45">
        <f>(1+Increase)^Data!M36</f>
        <v>5.2533479691354765</v>
      </c>
      <c r="P36" s="21">
        <v>53</v>
      </c>
      <c r="Q36" s="42">
        <v>2.0449999999999999E-3</v>
      </c>
      <c r="R36" s="42">
        <f t="shared" si="2"/>
        <v>0.99795500000000004</v>
      </c>
      <c r="S36" s="46">
        <f t="shared" si="3"/>
        <v>2.0470938676265039E-3</v>
      </c>
      <c r="T36" s="42">
        <v>1.9170000000000001E-3</v>
      </c>
      <c r="U36" s="42">
        <f t="shared" si="4"/>
        <v>0.99808300000000005</v>
      </c>
      <c r="V36" s="46">
        <f t="shared" si="5"/>
        <v>1.9188397961354057E-3</v>
      </c>
      <c r="W36" s="42">
        <f t="shared" si="9"/>
        <v>0.99808300000000005</v>
      </c>
      <c r="X36" s="42">
        <f t="shared" si="10"/>
        <v>1.9188397961354057E-3</v>
      </c>
      <c r="Z36">
        <f t="shared" si="7"/>
        <v>25</v>
      </c>
      <c r="AA36" s="42">
        <f t="shared" si="8"/>
        <v>0</v>
      </c>
    </row>
    <row r="37" spans="1:27" x14ac:dyDescent="0.25">
      <c r="A37">
        <v>35</v>
      </c>
      <c r="B37" t="s">
        <v>76</v>
      </c>
      <c r="C37" t="s">
        <v>77</v>
      </c>
      <c r="D37" s="1">
        <v>11097</v>
      </c>
      <c r="E37" s="4" t="s">
        <v>11</v>
      </c>
      <c r="F37" s="44">
        <v>20141.39</v>
      </c>
      <c r="G37" s="31">
        <v>957798.87995852658</v>
      </c>
      <c r="I37" s="48">
        <v>44316</v>
      </c>
      <c r="J37" s="51">
        <v>7.8037911000000001E-2</v>
      </c>
      <c r="L37" s="15">
        <f t="shared" si="6"/>
        <v>55884</v>
      </c>
      <c r="M37" s="16">
        <v>35</v>
      </c>
      <c r="N37" s="45">
        <f>(1+Increase)^Data!M37</f>
        <v>5.5160153675922512</v>
      </c>
      <c r="P37" s="21">
        <v>54</v>
      </c>
      <c r="Q37" s="42">
        <v>2.379E-3</v>
      </c>
      <c r="R37" s="42">
        <f t="shared" si="2"/>
        <v>0.99762099999999998</v>
      </c>
      <c r="S37" s="46">
        <f t="shared" si="3"/>
        <v>2.3818343166184881E-3</v>
      </c>
      <c r="T37" s="42">
        <v>2.2000000000000001E-3</v>
      </c>
      <c r="U37" s="42">
        <f t="shared" si="4"/>
        <v>0.99780000000000002</v>
      </c>
      <c r="V37" s="46">
        <f t="shared" si="5"/>
        <v>2.2024235552000394E-3</v>
      </c>
      <c r="W37" s="42">
        <f t="shared" si="9"/>
        <v>0.99780000000000002</v>
      </c>
      <c r="X37" s="42">
        <f t="shared" si="10"/>
        <v>2.2024235552000394E-3</v>
      </c>
      <c r="Z37">
        <f t="shared" si="7"/>
        <v>25</v>
      </c>
      <c r="AA37" s="42">
        <f t="shared" si="8"/>
        <v>0</v>
      </c>
    </row>
    <row r="38" spans="1:27" x14ac:dyDescent="0.25">
      <c r="A38">
        <v>36</v>
      </c>
      <c r="B38" t="s">
        <v>78</v>
      </c>
      <c r="C38" t="s">
        <v>79</v>
      </c>
      <c r="D38" s="1">
        <v>20542</v>
      </c>
      <c r="E38" s="4" t="s">
        <v>8</v>
      </c>
      <c r="F38" s="44">
        <v>19379.580000000002</v>
      </c>
      <c r="G38" s="31">
        <v>3160665.4342983621</v>
      </c>
      <c r="I38" s="48">
        <v>44347</v>
      </c>
      <c r="J38" s="51">
        <v>7.8253831999999995E-2</v>
      </c>
      <c r="L38" s="15">
        <f t="shared" si="6"/>
        <v>56249</v>
      </c>
      <c r="M38" s="16">
        <v>36</v>
      </c>
      <c r="N38" s="45">
        <f>(1+Increase)^Data!M38</f>
        <v>5.791816135971863</v>
      </c>
      <c r="P38" s="21">
        <v>55</v>
      </c>
      <c r="Q38" s="42">
        <v>2.771E-3</v>
      </c>
      <c r="R38" s="42">
        <f t="shared" si="2"/>
        <v>0.99722900000000003</v>
      </c>
      <c r="S38" s="46">
        <f t="shared" si="3"/>
        <v>2.7748463275923362E-3</v>
      </c>
      <c r="T38" s="42">
        <v>2.5240000000000002E-3</v>
      </c>
      <c r="U38" s="42">
        <f t="shared" si="4"/>
        <v>0.99747600000000003</v>
      </c>
      <c r="V38" s="46">
        <f t="shared" si="5"/>
        <v>2.5271906579445017E-3</v>
      </c>
      <c r="W38" s="42">
        <f t="shared" si="9"/>
        <v>0.99747600000000003</v>
      </c>
      <c r="X38" s="42">
        <f t="shared" si="10"/>
        <v>2.5271906579445017E-3</v>
      </c>
      <c r="Z38">
        <f t="shared" si="7"/>
        <v>25</v>
      </c>
      <c r="AA38" s="42">
        <f t="shared" si="8"/>
        <v>0</v>
      </c>
    </row>
    <row r="39" spans="1:27" x14ac:dyDescent="0.25">
      <c r="A39">
        <v>37</v>
      </c>
      <c r="B39" t="s">
        <v>80</v>
      </c>
      <c r="C39" t="s">
        <v>81</v>
      </c>
      <c r="D39" s="1">
        <v>16099</v>
      </c>
      <c r="E39" s="4" t="s">
        <v>11</v>
      </c>
      <c r="F39" s="44">
        <v>20539.62</v>
      </c>
      <c r="G39" s="31">
        <v>1948923.1061989709</v>
      </c>
      <c r="I39" s="48">
        <v>44377</v>
      </c>
      <c r="J39" s="51">
        <v>7.8450810999999995E-2</v>
      </c>
      <c r="L39" s="15">
        <f t="shared" si="6"/>
        <v>56614</v>
      </c>
      <c r="M39" s="16">
        <v>37</v>
      </c>
      <c r="N39" s="45">
        <f>(1+Increase)^Data!M39</f>
        <v>6.0814069427704567</v>
      </c>
      <c r="P39" s="21">
        <v>56</v>
      </c>
      <c r="Q39" s="42">
        <v>3.228E-3</v>
      </c>
      <c r="R39" s="42">
        <f t="shared" si="2"/>
        <v>0.99677199999999999</v>
      </c>
      <c r="S39" s="46">
        <f t="shared" si="3"/>
        <v>3.2332212311170952E-3</v>
      </c>
      <c r="T39" s="42">
        <v>2.8939999999999999E-3</v>
      </c>
      <c r="U39" s="42">
        <f t="shared" si="4"/>
        <v>0.99710600000000005</v>
      </c>
      <c r="V39" s="46">
        <f t="shared" si="5"/>
        <v>2.8981957148877888E-3</v>
      </c>
      <c r="W39" s="42">
        <f t="shared" si="9"/>
        <v>0.99710600000000005</v>
      </c>
      <c r="X39" s="42">
        <f t="shared" si="10"/>
        <v>2.8981957148877888E-3</v>
      </c>
      <c r="Z39">
        <f t="shared" si="7"/>
        <v>25</v>
      </c>
      <c r="AA39" s="42">
        <f t="shared" si="8"/>
        <v>0</v>
      </c>
    </row>
    <row r="40" spans="1:27" x14ac:dyDescent="0.25">
      <c r="A40">
        <v>38</v>
      </c>
      <c r="B40" t="s">
        <v>82</v>
      </c>
      <c r="C40" t="s">
        <v>83</v>
      </c>
      <c r="D40" s="1">
        <v>8562</v>
      </c>
      <c r="E40" s="4" t="s">
        <v>8</v>
      </c>
      <c r="F40" s="44">
        <v>17970.43</v>
      </c>
      <c r="G40" s="31">
        <v>807006.40562662471</v>
      </c>
      <c r="I40" s="48">
        <v>44408</v>
      </c>
      <c r="J40" s="51">
        <v>7.8632929000000004E-2</v>
      </c>
      <c r="L40" s="15">
        <f t="shared" si="6"/>
        <v>56979</v>
      </c>
      <c r="M40" s="16">
        <v>38</v>
      </c>
      <c r="N40" s="45">
        <f>(1+Increase)^Data!M40</f>
        <v>6.3854772899089784</v>
      </c>
      <c r="P40" s="21">
        <v>57</v>
      </c>
      <c r="Q40" s="42">
        <v>3.7590000000000002E-3</v>
      </c>
      <c r="R40" s="42">
        <f t="shared" si="2"/>
        <v>0.99624100000000004</v>
      </c>
      <c r="S40" s="46">
        <f t="shared" si="3"/>
        <v>3.7660827955568223E-3</v>
      </c>
      <c r="T40" s="42">
        <v>3.3170000000000001E-3</v>
      </c>
      <c r="U40" s="42">
        <f t="shared" si="4"/>
        <v>0.99668299999999999</v>
      </c>
      <c r="V40" s="46">
        <f t="shared" si="5"/>
        <v>3.3225134399295737E-3</v>
      </c>
      <c r="W40" s="42">
        <f t="shared" si="9"/>
        <v>0.99668299999999999</v>
      </c>
      <c r="X40" s="42">
        <f t="shared" si="10"/>
        <v>3.3225134399295737E-3</v>
      </c>
      <c r="Z40">
        <f t="shared" si="7"/>
        <v>25</v>
      </c>
      <c r="AA40" s="42">
        <f t="shared" si="8"/>
        <v>0</v>
      </c>
    </row>
    <row r="41" spans="1:27" x14ac:dyDescent="0.25">
      <c r="A41">
        <v>39</v>
      </c>
      <c r="B41" t="s">
        <v>84</v>
      </c>
      <c r="C41" t="s">
        <v>85</v>
      </c>
      <c r="D41" s="1">
        <v>10817</v>
      </c>
      <c r="E41" s="4" t="s">
        <v>8</v>
      </c>
      <c r="F41" s="44">
        <v>19052.43</v>
      </c>
      <c r="G41" s="31">
        <v>1058034.7673951755</v>
      </c>
      <c r="I41" s="48">
        <v>44439</v>
      </c>
      <c r="J41" s="51">
        <v>7.8805304000000007E-2</v>
      </c>
      <c r="L41" s="15">
        <f t="shared" si="6"/>
        <v>57345</v>
      </c>
      <c r="M41" s="16">
        <v>39</v>
      </c>
      <c r="N41" s="45">
        <f>(1+Increase)^Data!M41</f>
        <v>6.7047511544044287</v>
      </c>
      <c r="P41" s="21">
        <v>58</v>
      </c>
      <c r="Q41" s="42">
        <v>4.3759999999999997E-3</v>
      </c>
      <c r="R41" s="42">
        <f t="shared" si="2"/>
        <v>0.99562399999999995</v>
      </c>
      <c r="S41" s="46">
        <f t="shared" si="3"/>
        <v>4.3856027125532653E-3</v>
      </c>
      <c r="T41" s="42">
        <v>3.7989999999999999E-3</v>
      </c>
      <c r="U41" s="42">
        <f t="shared" si="4"/>
        <v>0.996201</v>
      </c>
      <c r="V41" s="46">
        <f t="shared" si="5"/>
        <v>3.8062345289627776E-3</v>
      </c>
      <c r="W41" s="42">
        <f t="shared" si="9"/>
        <v>0.996201</v>
      </c>
      <c r="X41" s="42">
        <f t="shared" si="10"/>
        <v>3.8062345289627776E-3</v>
      </c>
      <c r="Z41">
        <f t="shared" si="7"/>
        <v>25</v>
      </c>
      <c r="AA41" s="42">
        <f t="shared" si="8"/>
        <v>0</v>
      </c>
    </row>
    <row r="42" spans="1:27" x14ac:dyDescent="0.25">
      <c r="A42">
        <v>40</v>
      </c>
      <c r="B42" t="s">
        <v>86</v>
      </c>
      <c r="C42" t="s">
        <v>87</v>
      </c>
      <c r="D42" s="1">
        <v>13059</v>
      </c>
      <c r="E42" s="4" t="s">
        <v>11</v>
      </c>
      <c r="F42" s="44">
        <v>22232.86</v>
      </c>
      <c r="G42" s="31">
        <v>1332986.341723159</v>
      </c>
      <c r="I42" s="48">
        <v>44469</v>
      </c>
      <c r="J42" s="51">
        <v>7.8965706999999996E-2</v>
      </c>
      <c r="L42" s="15">
        <f t="shared" si="6"/>
        <v>57710</v>
      </c>
      <c r="M42" s="16">
        <v>40</v>
      </c>
      <c r="N42" s="45">
        <f>(1+Increase)^Data!M42</f>
        <v>7.0399887121246492</v>
      </c>
      <c r="P42" s="21">
        <v>59</v>
      </c>
      <c r="Q42" s="42">
        <v>5.0899999999999999E-3</v>
      </c>
      <c r="R42" s="42">
        <f t="shared" si="2"/>
        <v>0.99490999999999996</v>
      </c>
      <c r="S42" s="46">
        <f t="shared" si="3"/>
        <v>5.1029981759033397E-3</v>
      </c>
      <c r="T42" s="42">
        <v>4.3449999999999999E-3</v>
      </c>
      <c r="U42" s="42">
        <f t="shared" si="4"/>
        <v>0.99565499999999996</v>
      </c>
      <c r="V42" s="46">
        <f t="shared" si="5"/>
        <v>4.3544669450365009E-3</v>
      </c>
      <c r="W42" s="42">
        <f t="shared" si="9"/>
        <v>0.99565499999999996</v>
      </c>
      <c r="X42" s="42">
        <f t="shared" si="10"/>
        <v>4.3544669450365009E-3</v>
      </c>
      <c r="Z42">
        <f t="shared" si="7"/>
        <v>25</v>
      </c>
      <c r="AA42" s="42">
        <f t="shared" si="8"/>
        <v>0</v>
      </c>
    </row>
    <row r="43" spans="1:27" x14ac:dyDescent="0.25">
      <c r="A43">
        <v>41</v>
      </c>
      <c r="B43" t="s">
        <v>88</v>
      </c>
      <c r="C43" t="s">
        <v>89</v>
      </c>
      <c r="D43" s="1">
        <v>9315</v>
      </c>
      <c r="E43" s="4" t="s">
        <v>8</v>
      </c>
      <c r="F43" s="44">
        <v>17403.419999999998</v>
      </c>
      <c r="G43" s="31">
        <v>750400.478657517</v>
      </c>
      <c r="I43" s="48">
        <v>44500</v>
      </c>
      <c r="J43" s="51">
        <v>7.9185832999999997E-2</v>
      </c>
      <c r="L43" s="15">
        <f t="shared" si="6"/>
        <v>58075</v>
      </c>
      <c r="M43" s="16">
        <v>41</v>
      </c>
      <c r="N43" s="45">
        <f>(1+Increase)^Data!M43</f>
        <v>7.3919881477308822</v>
      </c>
      <c r="P43" s="21">
        <v>60</v>
      </c>
      <c r="Q43" s="42">
        <v>5.914E-3</v>
      </c>
      <c r="R43" s="42">
        <f t="shared" si="2"/>
        <v>0.99408600000000003</v>
      </c>
      <c r="S43" s="46">
        <f t="shared" si="3"/>
        <v>5.9315569534375981E-3</v>
      </c>
      <c r="T43" s="42">
        <v>4.9649999999999998E-3</v>
      </c>
      <c r="U43" s="42">
        <f t="shared" si="4"/>
        <v>0.995035</v>
      </c>
      <c r="V43" s="46">
        <f t="shared" si="5"/>
        <v>4.9773665628040321E-3</v>
      </c>
      <c r="W43" s="42">
        <f t="shared" si="9"/>
        <v>0.995035</v>
      </c>
      <c r="X43" s="42">
        <f t="shared" si="10"/>
        <v>4.9773665628040321E-3</v>
      </c>
      <c r="Z43">
        <f t="shared" si="7"/>
        <v>25</v>
      </c>
      <c r="AA43" s="42">
        <f t="shared" si="8"/>
        <v>0</v>
      </c>
    </row>
    <row r="44" spans="1:27" x14ac:dyDescent="0.25">
      <c r="A44">
        <v>42</v>
      </c>
      <c r="B44" t="s">
        <v>90</v>
      </c>
      <c r="C44" t="s">
        <v>91</v>
      </c>
      <c r="D44" s="1">
        <v>12466</v>
      </c>
      <c r="E44" s="4" t="s">
        <v>8</v>
      </c>
      <c r="F44" s="44">
        <v>19658.18</v>
      </c>
      <c r="G44" s="31">
        <v>1444048.8615023883</v>
      </c>
      <c r="I44" s="48">
        <v>44530</v>
      </c>
      <c r="J44" s="51">
        <v>7.9388462000000007E-2</v>
      </c>
      <c r="L44" s="15">
        <f t="shared" si="6"/>
        <v>58440</v>
      </c>
      <c r="M44" s="16">
        <v>42</v>
      </c>
      <c r="N44" s="45">
        <f>(1+Increase)^Data!M44</f>
        <v>7.7615875551174263</v>
      </c>
      <c r="P44" s="21">
        <v>61</v>
      </c>
      <c r="Q44" s="42">
        <v>6.8609999999999999E-3</v>
      </c>
      <c r="R44" s="42">
        <f t="shared" si="2"/>
        <v>0.99313899999999999</v>
      </c>
      <c r="S44" s="46">
        <f t="shared" si="3"/>
        <v>6.8846448742176632E-3</v>
      </c>
      <c r="T44" s="42">
        <v>5.6670000000000002E-3</v>
      </c>
      <c r="U44" s="42">
        <f t="shared" si="4"/>
        <v>0.99433300000000002</v>
      </c>
      <c r="V44" s="46">
        <f t="shared" si="5"/>
        <v>5.6831183685413199E-3</v>
      </c>
      <c r="W44" s="42">
        <f t="shared" si="9"/>
        <v>0.99433300000000002</v>
      </c>
      <c r="X44" s="42">
        <f t="shared" si="10"/>
        <v>5.6831183685413199E-3</v>
      </c>
      <c r="Z44">
        <f t="shared" si="7"/>
        <v>25</v>
      </c>
      <c r="AA44" s="42">
        <f t="shared" si="8"/>
        <v>0</v>
      </c>
    </row>
    <row r="45" spans="1:27" x14ac:dyDescent="0.25">
      <c r="A45">
        <v>43</v>
      </c>
      <c r="B45" t="s">
        <v>92</v>
      </c>
      <c r="C45" t="s">
        <v>93</v>
      </c>
      <c r="D45" s="1">
        <v>14890</v>
      </c>
      <c r="E45" s="4" t="s">
        <v>11</v>
      </c>
      <c r="F45" s="44">
        <v>20354.490000000002</v>
      </c>
      <c r="G45" s="31">
        <v>1615875.4077621638</v>
      </c>
      <c r="I45" s="48">
        <v>44561</v>
      </c>
      <c r="J45" s="51">
        <v>7.9586896000000004E-2</v>
      </c>
      <c r="L45" s="15">
        <f t="shared" si="6"/>
        <v>58806</v>
      </c>
      <c r="M45" s="16">
        <v>43</v>
      </c>
      <c r="N45" s="45">
        <f>(1+Increase)^Data!M45</f>
        <v>8.1496669328732985</v>
      </c>
      <c r="P45" s="21">
        <v>62</v>
      </c>
      <c r="Q45" s="42">
        <v>7.9469999999999992E-3</v>
      </c>
      <c r="R45" s="42">
        <f t="shared" si="2"/>
        <v>0.99205299999999996</v>
      </c>
      <c r="S45" s="46">
        <f t="shared" si="3"/>
        <v>7.9787457051031935E-3</v>
      </c>
      <c r="T45" s="42">
        <v>6.4580000000000002E-3</v>
      </c>
      <c r="U45" s="42">
        <f t="shared" si="4"/>
        <v>0.99354200000000004</v>
      </c>
      <c r="V45" s="46">
        <f t="shared" si="5"/>
        <v>6.4789430977093511E-3</v>
      </c>
      <c r="W45" s="42">
        <f t="shared" si="9"/>
        <v>0.99354200000000004</v>
      </c>
      <c r="X45" s="42">
        <f t="shared" si="10"/>
        <v>6.4789430977093511E-3</v>
      </c>
      <c r="Z45">
        <f t="shared" si="7"/>
        <v>25</v>
      </c>
      <c r="AA45" s="42">
        <f t="shared" si="8"/>
        <v>0</v>
      </c>
    </row>
    <row r="46" spans="1:27" x14ac:dyDescent="0.25">
      <c r="A46">
        <v>44</v>
      </c>
      <c r="B46" t="s">
        <v>94</v>
      </c>
      <c r="C46" t="s">
        <v>95</v>
      </c>
      <c r="D46" s="1">
        <v>16560</v>
      </c>
      <c r="E46" s="4" t="s">
        <v>11</v>
      </c>
      <c r="F46" s="44">
        <v>17272.490000000002</v>
      </c>
      <c r="G46" s="31">
        <v>1750503.801098641</v>
      </c>
      <c r="I46" s="48">
        <v>44592</v>
      </c>
      <c r="J46" s="51">
        <v>7.9762090999999993E-2</v>
      </c>
      <c r="L46" s="15">
        <f t="shared" si="6"/>
        <v>59171</v>
      </c>
      <c r="M46" s="16">
        <v>44</v>
      </c>
      <c r="N46" s="45">
        <f>(1+Increase)^Data!M46</f>
        <v>8.5571502795169625</v>
      </c>
      <c r="P46" s="21">
        <v>63</v>
      </c>
      <c r="Q46" s="42">
        <v>9.1889999999999993E-3</v>
      </c>
      <c r="R46" s="42">
        <f t="shared" si="2"/>
        <v>0.990811</v>
      </c>
      <c r="S46" s="46">
        <f t="shared" si="3"/>
        <v>9.2314792888757557E-3</v>
      </c>
      <c r="T46" s="42">
        <v>7.3499999999999998E-3</v>
      </c>
      <c r="U46" s="42">
        <f t="shared" si="4"/>
        <v>0.99265000000000003</v>
      </c>
      <c r="V46" s="46">
        <f t="shared" si="5"/>
        <v>7.3771443390491303E-3</v>
      </c>
      <c r="W46" s="42">
        <f t="shared" si="9"/>
        <v>0.99265000000000003</v>
      </c>
      <c r="X46" s="42">
        <f t="shared" si="10"/>
        <v>7.3771443390491303E-3</v>
      </c>
      <c r="Z46">
        <f t="shared" si="7"/>
        <v>25</v>
      </c>
      <c r="AA46" s="42">
        <f t="shared" si="8"/>
        <v>0</v>
      </c>
    </row>
    <row r="47" spans="1:27" x14ac:dyDescent="0.25">
      <c r="A47">
        <v>45</v>
      </c>
      <c r="B47" t="s">
        <v>96</v>
      </c>
      <c r="C47" t="s">
        <v>97</v>
      </c>
      <c r="D47" s="1">
        <v>7231</v>
      </c>
      <c r="E47" s="4" t="s">
        <v>11</v>
      </c>
      <c r="F47" s="44">
        <v>22379.94</v>
      </c>
      <c r="G47" s="31">
        <v>522273.43888878392</v>
      </c>
      <c r="I47" s="48">
        <v>44620</v>
      </c>
      <c r="J47" s="51">
        <v>7.9913364000000001E-2</v>
      </c>
      <c r="L47" s="15">
        <f t="shared" si="6"/>
        <v>59536</v>
      </c>
      <c r="M47" s="16">
        <v>45</v>
      </c>
      <c r="N47" s="45">
        <f>(1+Increase)^Data!M47</f>
        <v>8.9850077934928123</v>
      </c>
      <c r="P47" s="21">
        <v>64</v>
      </c>
      <c r="Q47" s="42">
        <v>1.0604000000000001E-2</v>
      </c>
      <c r="R47" s="42">
        <f t="shared" si="2"/>
        <v>0.98939600000000005</v>
      </c>
      <c r="S47" s="46">
        <f t="shared" si="3"/>
        <v>1.066062305095624E-2</v>
      </c>
      <c r="T47" s="42">
        <v>8.352E-3</v>
      </c>
      <c r="U47" s="42">
        <f t="shared" si="4"/>
        <v>0.99164799999999997</v>
      </c>
      <c r="V47" s="46">
        <f t="shared" si="5"/>
        <v>8.3870733770932526E-3</v>
      </c>
      <c r="W47" s="42">
        <f t="shared" si="9"/>
        <v>0.99164799999999997</v>
      </c>
      <c r="X47" s="42">
        <f t="shared" si="10"/>
        <v>8.3870733770932526E-3</v>
      </c>
      <c r="Z47">
        <f t="shared" si="7"/>
        <v>25</v>
      </c>
      <c r="AA47" s="42">
        <f t="shared" si="8"/>
        <v>0</v>
      </c>
    </row>
    <row r="48" spans="1:27" x14ac:dyDescent="0.25">
      <c r="A48">
        <v>46</v>
      </c>
      <c r="B48" t="s">
        <v>98</v>
      </c>
      <c r="C48" t="s">
        <v>99</v>
      </c>
      <c r="D48" s="1">
        <v>10524</v>
      </c>
      <c r="E48" s="4" t="s">
        <v>8</v>
      </c>
      <c r="F48" s="44">
        <v>20657.150000000001</v>
      </c>
      <c r="G48" s="31">
        <v>1123952.9896695293</v>
      </c>
      <c r="I48" s="48">
        <v>44651</v>
      </c>
      <c r="J48" s="51">
        <v>8.0077058000000007E-2</v>
      </c>
      <c r="L48" s="15">
        <f t="shared" si="6"/>
        <v>59901</v>
      </c>
      <c r="M48" s="16">
        <v>46</v>
      </c>
      <c r="N48" s="45">
        <f>(1+Increase)^Data!M48</f>
        <v>9.4342581831674508</v>
      </c>
      <c r="P48" s="21">
        <v>65</v>
      </c>
      <c r="Q48" s="42">
        <v>1.2211E-2</v>
      </c>
      <c r="R48" s="42">
        <f t="shared" si="2"/>
        <v>0.98778900000000003</v>
      </c>
      <c r="S48" s="46">
        <f t="shared" si="3"/>
        <v>1.2286166795077706E-2</v>
      </c>
      <c r="T48" s="42">
        <v>9.476E-3</v>
      </c>
      <c r="U48" s="42">
        <f t="shared" si="4"/>
        <v>0.99052399999999996</v>
      </c>
      <c r="V48" s="46">
        <f t="shared" si="5"/>
        <v>9.5211829503033495E-3</v>
      </c>
      <c r="W48" s="42">
        <f t="shared" si="9"/>
        <v>0.99052399999999996</v>
      </c>
      <c r="X48" s="42">
        <f t="shared" si="10"/>
        <v>9.5211829503033495E-3</v>
      </c>
      <c r="Z48">
        <f t="shared" si="7"/>
        <v>25</v>
      </c>
      <c r="AA48" s="42">
        <f t="shared" si="8"/>
        <v>0</v>
      </c>
    </row>
    <row r="49" spans="1:27" x14ac:dyDescent="0.25">
      <c r="A49">
        <v>47</v>
      </c>
      <c r="B49" t="s">
        <v>100</v>
      </c>
      <c r="C49" t="s">
        <v>101</v>
      </c>
      <c r="D49" s="1">
        <v>9721</v>
      </c>
      <c r="E49" s="4" t="s">
        <v>8</v>
      </c>
      <c r="F49" s="44">
        <v>20444.43</v>
      </c>
      <c r="G49" s="31">
        <v>957915.87628729769</v>
      </c>
      <c r="I49" s="48">
        <v>44681</v>
      </c>
      <c r="J49" s="51">
        <v>8.0275537999999994E-2</v>
      </c>
      <c r="L49" s="15">
        <f t="shared" si="6"/>
        <v>60267</v>
      </c>
      <c r="M49" s="16">
        <v>47</v>
      </c>
      <c r="N49" s="45">
        <f>(1+Increase)^Data!M49</f>
        <v>9.9059710923258262</v>
      </c>
      <c r="P49" s="21">
        <v>66</v>
      </c>
      <c r="Q49" s="42">
        <v>1.4031999999999999E-2</v>
      </c>
      <c r="R49" s="42">
        <f t="shared" si="2"/>
        <v>0.98596799999999996</v>
      </c>
      <c r="S49" s="46">
        <f t="shared" si="3"/>
        <v>1.4131379267210618E-2</v>
      </c>
      <c r="T49" s="42">
        <v>1.0734E-2</v>
      </c>
      <c r="U49" s="42">
        <f t="shared" si="4"/>
        <v>0.98926599999999998</v>
      </c>
      <c r="V49" s="46">
        <f t="shared" si="5"/>
        <v>1.0792024978306267E-2</v>
      </c>
      <c r="W49" s="42">
        <f t="shared" si="9"/>
        <v>0.98926599999999998</v>
      </c>
      <c r="X49" s="42">
        <f t="shared" si="10"/>
        <v>1.0792024978306267E-2</v>
      </c>
      <c r="Z49">
        <f t="shared" si="7"/>
        <v>25</v>
      </c>
      <c r="AA49" s="42">
        <f t="shared" si="8"/>
        <v>0</v>
      </c>
    </row>
    <row r="50" spans="1:27" x14ac:dyDescent="0.25">
      <c r="A50">
        <v>48</v>
      </c>
      <c r="B50" t="s">
        <v>102</v>
      </c>
      <c r="C50" t="s">
        <v>103</v>
      </c>
      <c r="D50" s="1">
        <v>21056</v>
      </c>
      <c r="E50" s="4" t="s">
        <v>11</v>
      </c>
      <c r="F50" s="44">
        <v>20516.23</v>
      </c>
      <c r="G50" s="31">
        <v>3195005.1333618094</v>
      </c>
      <c r="I50" s="48">
        <v>44712</v>
      </c>
      <c r="J50" s="51">
        <v>8.0471898E-2</v>
      </c>
      <c r="L50" s="15">
        <f t="shared" si="6"/>
        <v>60632</v>
      </c>
      <c r="M50" s="16">
        <v>48</v>
      </c>
      <c r="N50" s="45">
        <f>(1+Increase)^Data!M50</f>
        <v>10.401269646942117</v>
      </c>
      <c r="P50" s="21">
        <v>67</v>
      </c>
      <c r="Q50" s="42">
        <v>1.6088000000000002E-2</v>
      </c>
      <c r="R50" s="42">
        <f t="shared" si="2"/>
        <v>0.98391200000000001</v>
      </c>
      <c r="S50" s="46">
        <f t="shared" si="3"/>
        <v>1.6218816823373425E-2</v>
      </c>
      <c r="T50" s="42">
        <v>1.2137999999999999E-2</v>
      </c>
      <c r="U50" s="42">
        <f t="shared" si="4"/>
        <v>0.98786200000000002</v>
      </c>
      <c r="V50" s="46">
        <f t="shared" si="5"/>
        <v>1.2212267103246292E-2</v>
      </c>
      <c r="W50" s="42">
        <f t="shared" si="9"/>
        <v>0.98786200000000002</v>
      </c>
      <c r="X50" s="42">
        <f t="shared" si="10"/>
        <v>1.2212267103246292E-2</v>
      </c>
      <c r="Z50">
        <f t="shared" si="7"/>
        <v>25</v>
      </c>
      <c r="AA50" s="42">
        <f t="shared" si="8"/>
        <v>0</v>
      </c>
    </row>
    <row r="51" spans="1:27" x14ac:dyDescent="0.25">
      <c r="A51">
        <v>49</v>
      </c>
      <c r="B51" t="s">
        <v>104</v>
      </c>
      <c r="C51" t="s">
        <v>105</v>
      </c>
      <c r="D51" s="1">
        <v>13324</v>
      </c>
      <c r="E51" s="4" t="s">
        <v>8</v>
      </c>
      <c r="F51" s="44">
        <v>18147.349999999999</v>
      </c>
      <c r="G51" s="31">
        <v>1516040.5740592049</v>
      </c>
      <c r="I51" s="48">
        <v>44742</v>
      </c>
      <c r="J51" s="51">
        <v>8.0653521000000006E-2</v>
      </c>
      <c r="L51" s="15">
        <f t="shared" si="6"/>
        <v>60997</v>
      </c>
      <c r="M51" s="16">
        <v>49</v>
      </c>
      <c r="N51" s="45">
        <f>(1+Increase)^Data!M51</f>
        <v>10.921333129289224</v>
      </c>
      <c r="P51" s="21">
        <v>68</v>
      </c>
      <c r="Q51" s="42">
        <v>1.8402000000000002E-2</v>
      </c>
      <c r="R51" s="42">
        <f t="shared" si="2"/>
        <v>0.98159799999999997</v>
      </c>
      <c r="S51" s="46">
        <f t="shared" si="3"/>
        <v>1.8573423077323636E-2</v>
      </c>
      <c r="T51" s="42">
        <v>1.3703E-2</v>
      </c>
      <c r="U51" s="42">
        <f t="shared" si="4"/>
        <v>0.98629699999999998</v>
      </c>
      <c r="V51" s="46">
        <f t="shared" si="5"/>
        <v>1.3797752697706335E-2</v>
      </c>
      <c r="W51" s="42">
        <f t="shared" si="9"/>
        <v>0.98629699999999998</v>
      </c>
      <c r="X51" s="42">
        <f t="shared" si="10"/>
        <v>1.3797752697706335E-2</v>
      </c>
      <c r="Z51">
        <f t="shared" si="7"/>
        <v>25</v>
      </c>
      <c r="AA51" s="42">
        <f t="shared" si="8"/>
        <v>0</v>
      </c>
    </row>
    <row r="52" spans="1:27" x14ac:dyDescent="0.25">
      <c r="A52">
        <v>50</v>
      </c>
      <c r="B52" t="s">
        <v>106</v>
      </c>
      <c r="C52" t="s">
        <v>107</v>
      </c>
      <c r="D52" s="1">
        <v>19739</v>
      </c>
      <c r="E52" s="4" t="s">
        <v>8</v>
      </c>
      <c r="F52" s="44">
        <v>17413.830000000002</v>
      </c>
      <c r="G52" s="31">
        <v>2685595.8294639504</v>
      </c>
      <c r="I52" s="48">
        <v>44773</v>
      </c>
      <c r="J52" s="51">
        <v>8.081961E-2</v>
      </c>
      <c r="L52" s="15">
        <f t="shared" si="6"/>
        <v>61362</v>
      </c>
      <c r="M52" s="16">
        <v>50</v>
      </c>
      <c r="N52" s="45">
        <f>(1+Increase)^Data!M52</f>
        <v>11.467399785753685</v>
      </c>
      <c r="P52" s="21">
        <v>69</v>
      </c>
      <c r="Q52" s="42">
        <v>2.0997999999999999E-2</v>
      </c>
      <c r="R52" s="42">
        <f t="shared" si="2"/>
        <v>0.97900200000000004</v>
      </c>
      <c r="S52" s="46">
        <f t="shared" si="3"/>
        <v>2.1221593552794044E-2</v>
      </c>
      <c r="T52" s="42">
        <v>1.5442000000000001E-2</v>
      </c>
      <c r="U52" s="42">
        <f t="shared" si="4"/>
        <v>0.98455800000000004</v>
      </c>
      <c r="V52" s="46">
        <f t="shared" si="5"/>
        <v>1.5562469484383251E-2</v>
      </c>
      <c r="W52" s="42">
        <f t="shared" si="9"/>
        <v>0.98455800000000004</v>
      </c>
      <c r="X52" s="42">
        <f t="shared" si="10"/>
        <v>1.5562469484383251E-2</v>
      </c>
      <c r="Z52">
        <f t="shared" si="7"/>
        <v>25</v>
      </c>
      <c r="AA52" s="42">
        <f t="shared" si="8"/>
        <v>0</v>
      </c>
    </row>
    <row r="53" spans="1:27" x14ac:dyDescent="0.25">
      <c r="A53">
        <v>51</v>
      </c>
      <c r="B53" t="s">
        <v>108</v>
      </c>
      <c r="C53" t="s">
        <v>109</v>
      </c>
      <c r="D53" s="1">
        <v>20018</v>
      </c>
      <c r="E53" s="4" t="s">
        <v>11</v>
      </c>
      <c r="F53" s="44">
        <v>20575.169999999998</v>
      </c>
      <c r="G53" s="31">
        <v>2951480.2631711252</v>
      </c>
      <c r="I53" s="48">
        <v>44804</v>
      </c>
      <c r="J53" s="51">
        <v>8.0978942999999998E-2</v>
      </c>
      <c r="L53" s="15">
        <f t="shared" si="6"/>
        <v>61728</v>
      </c>
      <c r="M53" s="16">
        <v>51</v>
      </c>
      <c r="N53" s="45">
        <f>(1+Increase)^Data!M53</f>
        <v>12.040769775041369</v>
      </c>
      <c r="P53" s="21">
        <v>70</v>
      </c>
      <c r="Q53" s="42">
        <v>2.3900999999999999E-2</v>
      </c>
      <c r="R53" s="42">
        <f t="shared" si="2"/>
        <v>0.97609900000000005</v>
      </c>
      <c r="S53" s="46">
        <f t="shared" si="3"/>
        <v>2.4191263286938561E-2</v>
      </c>
      <c r="T53" s="42">
        <v>1.7371000000000001E-2</v>
      </c>
      <c r="U53" s="42">
        <f t="shared" si="4"/>
        <v>0.98262899999999997</v>
      </c>
      <c r="V53" s="46">
        <f t="shared" si="5"/>
        <v>1.7523646147587019E-2</v>
      </c>
      <c r="W53" s="42">
        <f t="shared" si="9"/>
        <v>0.98262899999999997</v>
      </c>
      <c r="X53" s="42">
        <f t="shared" si="10"/>
        <v>1.7523646147587019E-2</v>
      </c>
      <c r="Z53">
        <f t="shared" si="7"/>
        <v>25</v>
      </c>
      <c r="AA53" s="42">
        <f t="shared" si="8"/>
        <v>0</v>
      </c>
    </row>
    <row r="54" spans="1:27" x14ac:dyDescent="0.25">
      <c r="A54">
        <v>52</v>
      </c>
      <c r="B54" t="s">
        <v>110</v>
      </c>
      <c r="C54" t="s">
        <v>111</v>
      </c>
      <c r="D54" s="1">
        <v>7809</v>
      </c>
      <c r="E54" s="4" t="s">
        <v>11</v>
      </c>
      <c r="F54" s="44">
        <v>17741.41</v>
      </c>
      <c r="G54" s="31">
        <v>531595.0790548143</v>
      </c>
      <c r="I54" s="48">
        <v>44834</v>
      </c>
      <c r="J54" s="51">
        <v>8.1128531000000004E-2</v>
      </c>
      <c r="L54" s="15">
        <f t="shared" si="6"/>
        <v>62093</v>
      </c>
      <c r="M54" s="16">
        <v>52</v>
      </c>
      <c r="N54" s="45">
        <f>(1+Increase)^Data!M54</f>
        <v>12.642808263793437</v>
      </c>
      <c r="P54" s="21">
        <v>71</v>
      </c>
      <c r="Q54" s="42">
        <v>2.7137000000000001E-2</v>
      </c>
      <c r="R54" s="42">
        <f t="shared" si="2"/>
        <v>0.97286300000000003</v>
      </c>
      <c r="S54" s="46">
        <f t="shared" si="3"/>
        <v>2.7512008354012824E-2</v>
      </c>
      <c r="T54" s="42">
        <v>1.9505000000000002E-2</v>
      </c>
      <c r="U54" s="42">
        <f t="shared" si="4"/>
        <v>0.98049500000000001</v>
      </c>
      <c r="V54" s="46">
        <f t="shared" si="5"/>
        <v>1.9697732797799964E-2</v>
      </c>
      <c r="W54" s="42">
        <f t="shared" si="9"/>
        <v>0.98049500000000001</v>
      </c>
      <c r="X54" s="42">
        <f t="shared" si="10"/>
        <v>1.9697732797799964E-2</v>
      </c>
      <c r="Z54">
        <f t="shared" si="7"/>
        <v>25</v>
      </c>
      <c r="AA54" s="42">
        <f t="shared" si="8"/>
        <v>0</v>
      </c>
    </row>
    <row r="55" spans="1:27" x14ac:dyDescent="0.25">
      <c r="A55">
        <v>53</v>
      </c>
      <c r="B55" t="s">
        <v>112</v>
      </c>
      <c r="C55" t="s">
        <v>113</v>
      </c>
      <c r="D55" s="1">
        <v>16876</v>
      </c>
      <c r="E55" s="4" t="s">
        <v>11</v>
      </c>
      <c r="F55" s="44">
        <v>17195.73</v>
      </c>
      <c r="G55" s="31">
        <v>1802412.3022355931</v>
      </c>
      <c r="I55" s="48">
        <v>44865</v>
      </c>
      <c r="J55" s="51">
        <v>8.1319691E-2</v>
      </c>
      <c r="L55" s="15">
        <f t="shared" si="6"/>
        <v>62458</v>
      </c>
      <c r="M55" s="16">
        <v>53</v>
      </c>
      <c r="N55" s="45">
        <f>(1+Increase)^Data!M55</f>
        <v>13.274948676983108</v>
      </c>
      <c r="P55" s="21">
        <v>72</v>
      </c>
      <c r="Q55" s="42">
        <v>3.0731999999999999E-2</v>
      </c>
      <c r="R55" s="42">
        <f t="shared" si="2"/>
        <v>0.96926800000000002</v>
      </c>
      <c r="S55" s="46">
        <f t="shared" si="3"/>
        <v>3.1214131543440514E-2</v>
      </c>
      <c r="T55" s="42">
        <v>2.1860999999999998E-2</v>
      </c>
      <c r="U55" s="42">
        <f t="shared" si="4"/>
        <v>0.97813899999999998</v>
      </c>
      <c r="V55" s="46">
        <f t="shared" si="5"/>
        <v>2.2103492257008927E-2</v>
      </c>
      <c r="W55" s="42">
        <f t="shared" si="9"/>
        <v>0.97813899999999998</v>
      </c>
      <c r="X55" s="42">
        <f t="shared" si="10"/>
        <v>2.2103492257008927E-2</v>
      </c>
      <c r="Z55">
        <f t="shared" si="7"/>
        <v>25</v>
      </c>
      <c r="AA55" s="42">
        <f t="shared" si="8"/>
        <v>0</v>
      </c>
    </row>
    <row r="56" spans="1:27" x14ac:dyDescent="0.25">
      <c r="A56">
        <v>54</v>
      </c>
      <c r="B56" t="s">
        <v>114</v>
      </c>
      <c r="C56" t="s">
        <v>115</v>
      </c>
      <c r="D56" s="1">
        <v>10254</v>
      </c>
      <c r="E56" s="4" t="s">
        <v>8</v>
      </c>
      <c r="F56" s="44">
        <v>16807.12</v>
      </c>
      <c r="G56" s="31">
        <v>907556.69424687454</v>
      </c>
      <c r="I56" s="48">
        <v>44895</v>
      </c>
      <c r="J56" s="51">
        <v>8.1497696999999994E-2</v>
      </c>
      <c r="L56" s="15">
        <f t="shared" si="6"/>
        <v>62823</v>
      </c>
      <c r="M56" s="16">
        <v>54</v>
      </c>
      <c r="N56" s="45">
        <f>(1+Increase)^Data!M56</f>
        <v>13.938696110832263</v>
      </c>
      <c r="P56" s="21">
        <v>73</v>
      </c>
      <c r="Q56" s="42">
        <v>3.4713000000000001E-2</v>
      </c>
      <c r="R56" s="42">
        <f t="shared" si="2"/>
        <v>0.96528700000000001</v>
      </c>
      <c r="S56" s="46">
        <f t="shared" si="3"/>
        <v>3.5329812534113082E-2</v>
      </c>
      <c r="T56" s="42">
        <v>2.4455000000000001E-2</v>
      </c>
      <c r="U56" s="42">
        <f t="shared" si="4"/>
        <v>0.975545</v>
      </c>
      <c r="V56" s="46">
        <f t="shared" si="5"/>
        <v>2.4758989793289297E-2</v>
      </c>
      <c r="W56" s="42">
        <f t="shared" si="9"/>
        <v>0.975545</v>
      </c>
      <c r="X56" s="42">
        <f t="shared" si="10"/>
        <v>2.4758989793289297E-2</v>
      </c>
      <c r="Z56">
        <f t="shared" si="7"/>
        <v>25</v>
      </c>
      <c r="AA56" s="42">
        <f t="shared" si="8"/>
        <v>0</v>
      </c>
    </row>
    <row r="57" spans="1:27" x14ac:dyDescent="0.25">
      <c r="A57">
        <v>55</v>
      </c>
      <c r="B57" t="s">
        <v>116</v>
      </c>
      <c r="C57" t="s">
        <v>117</v>
      </c>
      <c r="D57" s="1">
        <v>13921</v>
      </c>
      <c r="E57" s="4" t="s">
        <v>11</v>
      </c>
      <c r="F57" s="44">
        <v>19666.740000000002</v>
      </c>
      <c r="G57" s="31">
        <v>1386236.0433070562</v>
      </c>
      <c r="I57" s="48">
        <v>44926</v>
      </c>
      <c r="J57" s="51">
        <v>8.1673958000000005E-2</v>
      </c>
      <c r="L57" s="15">
        <f t="shared" si="6"/>
        <v>63189</v>
      </c>
      <c r="M57" s="16">
        <v>55</v>
      </c>
      <c r="N57" s="45">
        <f>(1+Increase)^Data!M57</f>
        <v>14.635630916373879</v>
      </c>
      <c r="P57" s="21">
        <v>74</v>
      </c>
      <c r="Q57" s="42">
        <v>3.9105000000000001E-2</v>
      </c>
      <c r="R57" s="42">
        <f t="shared" si="2"/>
        <v>0.96089500000000005</v>
      </c>
      <c r="S57" s="46">
        <f t="shared" si="3"/>
        <v>3.9890137167547045E-2</v>
      </c>
      <c r="T57" s="42">
        <v>2.7306E-2</v>
      </c>
      <c r="U57" s="42">
        <f t="shared" si="4"/>
        <v>0.97269399999999995</v>
      </c>
      <c r="V57" s="46">
        <f t="shared" si="5"/>
        <v>2.7685737523011875E-2</v>
      </c>
      <c r="W57" s="42">
        <f t="shared" si="9"/>
        <v>0.97269399999999995</v>
      </c>
      <c r="X57" s="42">
        <f t="shared" si="10"/>
        <v>2.7685737523011875E-2</v>
      </c>
      <c r="Z57">
        <f t="shared" si="7"/>
        <v>25</v>
      </c>
      <c r="AA57" s="42">
        <f t="shared" si="8"/>
        <v>0</v>
      </c>
    </row>
    <row r="58" spans="1:27" x14ac:dyDescent="0.25">
      <c r="A58">
        <v>56</v>
      </c>
      <c r="B58" t="s">
        <v>118</v>
      </c>
      <c r="C58" t="s">
        <v>119</v>
      </c>
      <c r="D58" s="1">
        <v>7729</v>
      </c>
      <c r="E58" s="4" t="s">
        <v>8</v>
      </c>
      <c r="F58" s="44">
        <v>21691.39</v>
      </c>
      <c r="G58" s="31">
        <v>830544.30694435176</v>
      </c>
      <c r="I58" s="48">
        <v>44957</v>
      </c>
      <c r="J58" s="51">
        <v>8.1831430999999996E-2</v>
      </c>
      <c r="L58" s="15">
        <f t="shared" si="6"/>
        <v>63554</v>
      </c>
      <c r="M58" s="16">
        <v>56</v>
      </c>
      <c r="N58" s="45">
        <f>(1+Increase)^Data!M58</f>
        <v>15.36741246219257</v>
      </c>
      <c r="P58" s="21">
        <v>75</v>
      </c>
      <c r="Q58" s="42">
        <v>4.3935000000000002E-2</v>
      </c>
      <c r="R58" s="42">
        <f t="shared" si="2"/>
        <v>0.95606499999999994</v>
      </c>
      <c r="S58" s="46">
        <f t="shared" si="3"/>
        <v>4.4929376610262896E-2</v>
      </c>
      <c r="T58" s="42">
        <v>3.0432000000000001E-2</v>
      </c>
      <c r="U58" s="42">
        <f t="shared" si="4"/>
        <v>0.96956799999999999</v>
      </c>
      <c r="V58" s="46">
        <f t="shared" si="5"/>
        <v>3.0904667512037996E-2</v>
      </c>
      <c r="W58" s="42">
        <f t="shared" si="9"/>
        <v>0.96956799999999999</v>
      </c>
      <c r="X58" s="42">
        <f t="shared" si="10"/>
        <v>3.0904667512037996E-2</v>
      </c>
      <c r="Z58">
        <f t="shared" si="7"/>
        <v>25</v>
      </c>
      <c r="AA58" s="42">
        <f t="shared" si="8"/>
        <v>0</v>
      </c>
    </row>
    <row r="59" spans="1:27" x14ac:dyDescent="0.25">
      <c r="A59">
        <v>57</v>
      </c>
      <c r="B59" t="s">
        <v>120</v>
      </c>
      <c r="C59" t="s">
        <v>121</v>
      </c>
      <c r="D59" s="1">
        <v>14072</v>
      </c>
      <c r="E59" s="4" t="s">
        <v>8</v>
      </c>
      <c r="F59" s="44">
        <v>28528.65</v>
      </c>
      <c r="G59" s="31">
        <v>2490279.0915486268</v>
      </c>
      <c r="I59" s="48">
        <v>44985</v>
      </c>
      <c r="J59" s="51">
        <v>8.1968741999999997E-2</v>
      </c>
      <c r="L59" s="15">
        <f t="shared" si="6"/>
        <v>63919</v>
      </c>
      <c r="M59" s="16">
        <v>57</v>
      </c>
      <c r="N59" s="45">
        <f>(1+Increase)^Data!M59</f>
        <v>16.135783085302201</v>
      </c>
      <c r="P59" s="21">
        <v>76</v>
      </c>
      <c r="Q59" s="42">
        <v>4.9227E-2</v>
      </c>
      <c r="R59" s="42">
        <f t="shared" si="2"/>
        <v>0.95077299999999998</v>
      </c>
      <c r="S59" s="46">
        <f t="shared" si="3"/>
        <v>5.0479941038555763E-2</v>
      </c>
      <c r="T59" s="42">
        <v>3.3848999999999997E-2</v>
      </c>
      <c r="U59" s="42">
        <f t="shared" si="4"/>
        <v>0.96615099999999998</v>
      </c>
      <c r="V59" s="46">
        <f t="shared" si="5"/>
        <v>3.4435142285695802E-2</v>
      </c>
      <c r="W59" s="42">
        <f t="shared" si="9"/>
        <v>0.96615099999999998</v>
      </c>
      <c r="X59" s="42">
        <f t="shared" si="10"/>
        <v>3.4435142285695802E-2</v>
      </c>
      <c r="Z59">
        <f t="shared" si="7"/>
        <v>25</v>
      </c>
      <c r="AA59" s="42">
        <f t="shared" si="8"/>
        <v>0</v>
      </c>
    </row>
    <row r="60" spans="1:27" x14ac:dyDescent="0.25">
      <c r="A60">
        <v>58</v>
      </c>
      <c r="B60" t="s">
        <v>122</v>
      </c>
      <c r="C60" t="s">
        <v>123</v>
      </c>
      <c r="D60" s="1">
        <v>12303</v>
      </c>
      <c r="E60" s="4" t="s">
        <v>11</v>
      </c>
      <c r="F60" s="44">
        <v>12728.25</v>
      </c>
      <c r="G60" s="31">
        <v>668901.24129016569</v>
      </c>
      <c r="I60" s="48">
        <v>45016</v>
      </c>
      <c r="J60" s="51">
        <v>8.2118313999999998E-2</v>
      </c>
      <c r="L60" s="15">
        <f t="shared" si="6"/>
        <v>64284</v>
      </c>
      <c r="M60" s="16">
        <v>58</v>
      </c>
      <c r="N60" s="45">
        <f>(1+Increase)^Data!M60</f>
        <v>16.942572239567312</v>
      </c>
      <c r="P60" s="21">
        <v>77</v>
      </c>
      <c r="Q60" s="42">
        <v>5.5005999999999999E-2</v>
      </c>
      <c r="R60" s="42">
        <f t="shared" si="2"/>
        <v>0.944994</v>
      </c>
      <c r="S60" s="46">
        <f t="shared" si="3"/>
        <v>5.65767007148998E-2</v>
      </c>
      <c r="T60" s="42">
        <v>3.7576999999999999E-2</v>
      </c>
      <c r="U60" s="42">
        <f t="shared" si="4"/>
        <v>0.96242300000000003</v>
      </c>
      <c r="V60" s="46">
        <f t="shared" si="5"/>
        <v>3.8301216020368407E-2</v>
      </c>
      <c r="W60" s="42">
        <f t="shared" si="9"/>
        <v>0.96242300000000003</v>
      </c>
      <c r="X60" s="42">
        <f t="shared" si="10"/>
        <v>3.8301216020368407E-2</v>
      </c>
      <c r="Z60">
        <f t="shared" si="7"/>
        <v>25</v>
      </c>
      <c r="AA60" s="42">
        <f t="shared" si="8"/>
        <v>0</v>
      </c>
    </row>
    <row r="61" spans="1:27" x14ac:dyDescent="0.25">
      <c r="A61">
        <v>59</v>
      </c>
      <c r="B61" t="s">
        <v>124</v>
      </c>
      <c r="C61" t="s">
        <v>125</v>
      </c>
      <c r="D61" s="1">
        <v>12862</v>
      </c>
      <c r="E61" s="4" t="s">
        <v>8</v>
      </c>
      <c r="F61" s="44">
        <v>15817.97</v>
      </c>
      <c r="G61" s="31">
        <v>1229533.8355463545</v>
      </c>
      <c r="I61" s="48">
        <v>45046</v>
      </c>
      <c r="J61" s="51">
        <v>8.2295514E-2</v>
      </c>
      <c r="L61" s="15">
        <f t="shared" si="6"/>
        <v>64650</v>
      </c>
      <c r="M61" s="16">
        <v>59</v>
      </c>
      <c r="N61" s="45">
        <f>(1+Increase)^Data!M61</f>
        <v>17.789700851545678</v>
      </c>
      <c r="P61" s="21">
        <v>78</v>
      </c>
      <c r="Q61" s="42">
        <v>6.1291999999999999E-2</v>
      </c>
      <c r="R61" s="42">
        <f t="shared" si="2"/>
        <v>0.93870799999999999</v>
      </c>
      <c r="S61" s="46">
        <f t="shared" si="3"/>
        <v>6.3250817250876765E-2</v>
      </c>
      <c r="T61" s="42">
        <v>4.1632000000000002E-2</v>
      </c>
      <c r="U61" s="42">
        <f t="shared" si="4"/>
        <v>0.958368</v>
      </c>
      <c r="V61" s="46">
        <f t="shared" si="5"/>
        <v>4.2523441160012665E-2</v>
      </c>
      <c r="W61" s="42">
        <f t="shared" si="9"/>
        <v>0.958368</v>
      </c>
      <c r="X61" s="42">
        <f t="shared" si="10"/>
        <v>4.2523441160012665E-2</v>
      </c>
      <c r="Z61">
        <f t="shared" si="7"/>
        <v>25</v>
      </c>
      <c r="AA61" s="42">
        <f t="shared" si="8"/>
        <v>0</v>
      </c>
    </row>
    <row r="62" spans="1:27" x14ac:dyDescent="0.25">
      <c r="A62">
        <v>60</v>
      </c>
      <c r="B62" t="s">
        <v>126</v>
      </c>
      <c r="C62" t="s">
        <v>127</v>
      </c>
      <c r="D62" s="1">
        <v>18659</v>
      </c>
      <c r="E62" s="4" t="s">
        <v>11</v>
      </c>
      <c r="F62" s="44">
        <v>18655.18</v>
      </c>
      <c r="G62" s="31">
        <v>2367796.2576406053</v>
      </c>
      <c r="I62" s="48">
        <v>45077</v>
      </c>
      <c r="J62" s="51">
        <v>8.2472404999999999E-2</v>
      </c>
      <c r="L62" s="15">
        <f t="shared" si="6"/>
        <v>65015</v>
      </c>
      <c r="M62" s="16">
        <v>60</v>
      </c>
      <c r="N62" s="45">
        <f>(1+Increase)^Data!M62</f>
        <v>18.679185894122959</v>
      </c>
      <c r="P62" s="21">
        <v>79</v>
      </c>
      <c r="Q62" s="42">
        <v>6.8106E-2</v>
      </c>
      <c r="R62" s="42">
        <f t="shared" si="2"/>
        <v>0.931894</v>
      </c>
      <c r="S62" s="46">
        <f t="shared" si="3"/>
        <v>7.0536204670316349E-2</v>
      </c>
      <c r="T62" s="42">
        <v>4.6035E-2</v>
      </c>
      <c r="U62" s="42">
        <f t="shared" si="4"/>
        <v>0.95396499999999995</v>
      </c>
      <c r="V62" s="46">
        <f t="shared" si="5"/>
        <v>4.7128295837885428E-2</v>
      </c>
      <c r="W62" s="42">
        <f t="shared" si="9"/>
        <v>0.95396499999999995</v>
      </c>
      <c r="X62" s="42">
        <f t="shared" si="10"/>
        <v>4.7128295837885428E-2</v>
      </c>
      <c r="Z62">
        <f t="shared" si="7"/>
        <v>25</v>
      </c>
      <c r="AA62" s="42">
        <f t="shared" si="8"/>
        <v>0</v>
      </c>
    </row>
    <row r="63" spans="1:27" x14ac:dyDescent="0.25">
      <c r="A63">
        <v>61</v>
      </c>
      <c r="B63" t="s">
        <v>128</v>
      </c>
      <c r="C63" t="s">
        <v>129</v>
      </c>
      <c r="D63" s="1">
        <v>7382</v>
      </c>
      <c r="E63" s="4" t="s">
        <v>11</v>
      </c>
      <c r="F63" s="44">
        <v>20884.95</v>
      </c>
      <c r="G63" s="31">
        <v>568183.33838214225</v>
      </c>
      <c r="I63" s="48">
        <v>45107</v>
      </c>
      <c r="J63" s="51">
        <v>8.2637572000000006E-2</v>
      </c>
      <c r="L63" s="15">
        <f t="shared" si="6"/>
        <v>65380</v>
      </c>
      <c r="M63" s="16">
        <v>61</v>
      </c>
      <c r="N63" s="45">
        <f>(1+Increase)^Data!M63</f>
        <v>19.613145188829112</v>
      </c>
      <c r="P63" s="21">
        <v>80</v>
      </c>
      <c r="Q63" s="42">
        <v>7.5464000000000003E-2</v>
      </c>
      <c r="R63" s="42">
        <f t="shared" si="2"/>
        <v>0.92453600000000002</v>
      </c>
      <c r="S63" s="46">
        <f t="shared" si="3"/>
        <v>7.8463288945548312E-2</v>
      </c>
      <c r="T63" s="42">
        <v>5.0799999999999998E-2</v>
      </c>
      <c r="U63" s="42">
        <f t="shared" si="4"/>
        <v>0.94920000000000004</v>
      </c>
      <c r="V63" s="46">
        <f t="shared" si="5"/>
        <v>5.2135754420528507E-2</v>
      </c>
      <c r="W63" s="42">
        <f t="shared" si="9"/>
        <v>0.94920000000000004</v>
      </c>
      <c r="X63" s="42">
        <f t="shared" si="10"/>
        <v>5.2135754420528507E-2</v>
      </c>
      <c r="Z63">
        <f t="shared" si="7"/>
        <v>25</v>
      </c>
      <c r="AA63" s="42">
        <f t="shared" si="8"/>
        <v>0</v>
      </c>
    </row>
    <row r="64" spans="1:27" x14ac:dyDescent="0.25">
      <c r="A64">
        <v>62</v>
      </c>
      <c r="B64" t="s">
        <v>130</v>
      </c>
      <c r="C64" t="s">
        <v>131</v>
      </c>
      <c r="D64" s="1">
        <v>11131</v>
      </c>
      <c r="E64" s="4" t="s">
        <v>8</v>
      </c>
      <c r="F64" s="44">
        <v>23317.84</v>
      </c>
      <c r="G64" s="31">
        <v>1477414.8294299976</v>
      </c>
      <c r="I64" s="48">
        <v>45138</v>
      </c>
      <c r="J64" s="51">
        <v>8.2793725999999998E-2</v>
      </c>
      <c r="L64" s="15">
        <f t="shared" si="6"/>
        <v>65745</v>
      </c>
      <c r="M64" s="16">
        <v>62</v>
      </c>
      <c r="N64" s="45">
        <f>(1+Increase)^Data!M64</f>
        <v>20.593802448270559</v>
      </c>
      <c r="P64" s="21">
        <v>81</v>
      </c>
      <c r="Q64" s="42">
        <v>8.3378999999999995E-2</v>
      </c>
      <c r="R64" s="42">
        <f t="shared" si="2"/>
        <v>0.91662100000000002</v>
      </c>
      <c r="S64" s="46">
        <f t="shared" si="3"/>
        <v>8.7061196412414762E-2</v>
      </c>
      <c r="T64" s="42">
        <v>5.5946000000000003E-2</v>
      </c>
      <c r="U64" s="42">
        <f t="shared" si="4"/>
        <v>0.94405399999999995</v>
      </c>
      <c r="V64" s="46">
        <f t="shared" si="5"/>
        <v>5.7571911082857419E-2</v>
      </c>
      <c r="W64" s="42">
        <f t="shared" si="9"/>
        <v>0.94405399999999995</v>
      </c>
      <c r="X64" s="42">
        <f t="shared" si="10"/>
        <v>5.7571911082857419E-2</v>
      </c>
      <c r="Z64">
        <f t="shared" si="7"/>
        <v>25</v>
      </c>
      <c r="AA64" s="42">
        <f t="shared" si="8"/>
        <v>0</v>
      </c>
    </row>
    <row r="65" spans="1:27" x14ac:dyDescent="0.25">
      <c r="A65">
        <v>63</v>
      </c>
      <c r="B65" t="s">
        <v>132</v>
      </c>
      <c r="C65" t="s">
        <v>133</v>
      </c>
      <c r="D65" s="1">
        <v>15265</v>
      </c>
      <c r="E65" s="4" t="s">
        <v>11</v>
      </c>
      <c r="F65" s="44">
        <v>17744.89</v>
      </c>
      <c r="G65" s="31">
        <v>1487832.3600229996</v>
      </c>
      <c r="I65" s="48">
        <v>45169</v>
      </c>
      <c r="J65" s="51">
        <v>8.2944754999999995E-2</v>
      </c>
      <c r="L65" s="15">
        <f t="shared" si="6"/>
        <v>66111</v>
      </c>
      <c r="M65" s="16">
        <v>63</v>
      </c>
      <c r="N65" s="45">
        <f>(1+Increase)^Data!M65</f>
        <v>21.623492570684096</v>
      </c>
      <c r="P65" s="21">
        <v>82</v>
      </c>
      <c r="Q65" s="42">
        <v>9.1861999999999999E-2</v>
      </c>
      <c r="R65" s="42">
        <f t="shared" si="2"/>
        <v>0.908138</v>
      </c>
      <c r="S65" s="46">
        <f t="shared" si="3"/>
        <v>9.6358929550140804E-2</v>
      </c>
      <c r="T65" s="42">
        <v>6.1488000000000001E-2</v>
      </c>
      <c r="U65" s="42">
        <f t="shared" si="4"/>
        <v>0.93851200000000001</v>
      </c>
      <c r="V65" s="46">
        <f t="shared" si="5"/>
        <v>6.3459636676103645E-2</v>
      </c>
      <c r="W65" s="42">
        <f t="shared" si="9"/>
        <v>0.93851200000000001</v>
      </c>
      <c r="X65" s="42">
        <f t="shared" si="10"/>
        <v>6.3459636676103645E-2</v>
      </c>
      <c r="Z65">
        <f t="shared" si="7"/>
        <v>25</v>
      </c>
      <c r="AA65" s="42">
        <f t="shared" si="8"/>
        <v>0</v>
      </c>
    </row>
    <row r="66" spans="1:27" x14ac:dyDescent="0.25">
      <c r="A66">
        <v>64</v>
      </c>
      <c r="B66" t="s">
        <v>134</v>
      </c>
      <c r="C66" t="s">
        <v>135</v>
      </c>
      <c r="D66" s="1">
        <v>9099</v>
      </c>
      <c r="E66" s="4" t="s">
        <v>11</v>
      </c>
      <c r="F66" s="44">
        <v>15730.11</v>
      </c>
      <c r="G66" s="31">
        <v>506058.37799350836</v>
      </c>
      <c r="I66" s="48">
        <v>45199</v>
      </c>
      <c r="J66" s="51">
        <v>8.3087590000000003E-2</v>
      </c>
      <c r="L66" s="15">
        <f t="shared" si="6"/>
        <v>66476</v>
      </c>
      <c r="M66" s="16">
        <v>64</v>
      </c>
      <c r="N66" s="45">
        <f>(1+Increase)^Data!M66</f>
        <v>22.704667199218299</v>
      </c>
      <c r="P66" s="21">
        <v>83</v>
      </c>
      <c r="Q66" s="42">
        <v>0.10091700000000001</v>
      </c>
      <c r="R66" s="42">
        <f t="shared" si="2"/>
        <v>0.89908299999999997</v>
      </c>
      <c r="S66" s="46">
        <f t="shared" si="3"/>
        <v>0.10637992396685009</v>
      </c>
      <c r="T66" s="42">
        <v>6.7441000000000001E-2</v>
      </c>
      <c r="U66" s="42">
        <f t="shared" si="4"/>
        <v>0.93255900000000003</v>
      </c>
      <c r="V66" s="46">
        <f t="shared" si="5"/>
        <v>6.9822858688197736E-2</v>
      </c>
      <c r="W66" s="42">
        <f t="shared" si="9"/>
        <v>0.93255900000000003</v>
      </c>
      <c r="X66" s="42">
        <f t="shared" si="10"/>
        <v>6.9822858688197736E-2</v>
      </c>
      <c r="Z66">
        <f t="shared" si="7"/>
        <v>25</v>
      </c>
      <c r="AA66" s="42">
        <f t="shared" si="8"/>
        <v>0</v>
      </c>
    </row>
    <row r="67" spans="1:27" x14ac:dyDescent="0.25">
      <c r="A67">
        <v>65</v>
      </c>
      <c r="B67" t="s">
        <v>136</v>
      </c>
      <c r="C67" t="s">
        <v>137</v>
      </c>
      <c r="D67" s="1">
        <v>17542</v>
      </c>
      <c r="E67" s="4" t="s">
        <v>11</v>
      </c>
      <c r="F67" s="44">
        <v>19490.009999999998</v>
      </c>
      <c r="G67" s="31">
        <v>2196093.3436653768</v>
      </c>
      <c r="I67" s="48">
        <v>45230</v>
      </c>
      <c r="J67" s="51">
        <v>8.3269603999999997E-2</v>
      </c>
      <c r="L67" s="15">
        <f t="shared" si="6"/>
        <v>66841</v>
      </c>
      <c r="M67" s="16">
        <v>65</v>
      </c>
      <c r="N67" s="45">
        <f>(1+Increase)^Data!M67</f>
        <v>23.839900559179217</v>
      </c>
      <c r="P67" s="21">
        <v>84</v>
      </c>
      <c r="Q67" s="42">
        <v>0.110544</v>
      </c>
      <c r="R67" s="42">
        <f t="shared" si="2"/>
        <v>0.88945600000000002</v>
      </c>
      <c r="S67" s="46">
        <f t="shared" si="3"/>
        <v>0.11714523909186014</v>
      </c>
      <c r="T67" s="42">
        <v>7.3816999999999994E-2</v>
      </c>
      <c r="U67" s="42">
        <f t="shared" si="4"/>
        <v>0.92618299999999998</v>
      </c>
      <c r="V67" s="46">
        <f t="shared" si="5"/>
        <v>7.6683439670980763E-2</v>
      </c>
      <c r="W67" s="42">
        <f t="shared" ref="W67:W98" si="11">IF(Gender= "Male",R67,U67)</f>
        <v>0.92618299999999998</v>
      </c>
      <c r="X67" s="42">
        <f t="shared" ref="X67:X98" si="12">IF(Gender= "Male",S67,V67)</f>
        <v>7.6683439670980763E-2</v>
      </c>
      <c r="Z67">
        <f t="shared" si="7"/>
        <v>25</v>
      </c>
      <c r="AA67" s="42">
        <f t="shared" si="8"/>
        <v>0</v>
      </c>
    </row>
    <row r="68" spans="1:27" x14ac:dyDescent="0.25">
      <c r="A68">
        <v>66</v>
      </c>
      <c r="B68" t="s">
        <v>138</v>
      </c>
      <c r="C68" t="s">
        <v>139</v>
      </c>
      <c r="D68" s="1">
        <v>6895</v>
      </c>
      <c r="E68" s="4" t="s">
        <v>8</v>
      </c>
      <c r="F68" s="44">
        <v>23795.23</v>
      </c>
      <c r="G68" s="31">
        <v>760447.60244778381</v>
      </c>
      <c r="I68" s="48">
        <v>45260</v>
      </c>
      <c r="J68" s="51">
        <v>8.3440320999999998E-2</v>
      </c>
      <c r="L68" s="15">
        <f t="shared" si="6"/>
        <v>67206</v>
      </c>
      <c r="M68" s="16">
        <v>66</v>
      </c>
      <c r="N68" s="45">
        <f>(1+Increase)^Data!M68</f>
        <v>25.031895587138177</v>
      </c>
      <c r="P68" s="21">
        <v>85</v>
      </c>
      <c r="Q68" s="42">
        <v>0.120739</v>
      </c>
      <c r="R68" s="42">
        <f t="shared" ref="R68:R103" si="13">1-Q68</f>
        <v>0.87926099999999996</v>
      </c>
      <c r="S68" s="46">
        <f t="shared" ref="S68:S103" si="14">IFERROR(-LN(R68),0)</f>
        <v>0.12867349704380651</v>
      </c>
      <c r="T68" s="42">
        <v>8.0629000000000006E-2</v>
      </c>
      <c r="U68" s="42">
        <f t="shared" ref="U68:U103" si="15">1-T68</f>
        <v>0.91937099999999994</v>
      </c>
      <c r="V68" s="46">
        <f t="shared" ref="V68:V103" si="16">IFERROR(-LN(U68),0)</f>
        <v>8.4065538417680941E-2</v>
      </c>
      <c r="W68" s="42">
        <f t="shared" si="11"/>
        <v>0.91937099999999994</v>
      </c>
      <c r="X68" s="42">
        <f t="shared" si="12"/>
        <v>8.4065538417680941E-2</v>
      </c>
      <c r="Z68">
        <f t="shared" si="7"/>
        <v>25</v>
      </c>
      <c r="AA68" s="42">
        <f t="shared" si="8"/>
        <v>0</v>
      </c>
    </row>
    <row r="69" spans="1:27" x14ac:dyDescent="0.25">
      <c r="A69">
        <v>67</v>
      </c>
      <c r="B69" t="s">
        <v>140</v>
      </c>
      <c r="C69" t="s">
        <v>141</v>
      </c>
      <c r="D69" s="1">
        <v>8114</v>
      </c>
      <c r="E69" s="4" t="s">
        <v>11</v>
      </c>
      <c r="F69" s="44">
        <v>20391.259999999998</v>
      </c>
      <c r="G69" s="31">
        <v>612274.39524175052</v>
      </c>
      <c r="I69" s="48">
        <v>45291</v>
      </c>
      <c r="J69" s="51">
        <v>8.3610561E-2</v>
      </c>
      <c r="L69" s="15">
        <f t="shared" ref="L69:L123" si="17">DATE(YEAR(L68)+1,MONTH(L68),DAY(L68))</f>
        <v>67572</v>
      </c>
      <c r="M69" s="16">
        <v>67</v>
      </c>
      <c r="N69" s="45">
        <f>(1+Increase)^Data!M69</f>
        <v>26.283490366495087</v>
      </c>
      <c r="P69" s="21">
        <v>86</v>
      </c>
      <c r="Q69" s="42">
        <v>0.131492</v>
      </c>
      <c r="R69" s="42">
        <f t="shared" si="13"/>
        <v>0.86850800000000006</v>
      </c>
      <c r="S69" s="46">
        <f t="shared" si="14"/>
        <v>0.1409784820595783</v>
      </c>
      <c r="T69" s="42">
        <v>8.7885000000000005E-2</v>
      </c>
      <c r="U69" s="42">
        <f t="shared" si="15"/>
        <v>0.91211500000000001</v>
      </c>
      <c r="V69" s="46">
        <f t="shared" si="16"/>
        <v>9.1989200366071874E-2</v>
      </c>
      <c r="W69" s="42">
        <f t="shared" si="11"/>
        <v>0.91211500000000001</v>
      </c>
      <c r="X69" s="42">
        <f t="shared" si="12"/>
        <v>9.1989200366071874E-2</v>
      </c>
      <c r="Z69">
        <f t="shared" ref="Z69:Z122" si="18">MIN(Z68+1, 120 - $AA$2)</f>
        <v>25</v>
      </c>
      <c r="AA69" s="42">
        <f t="shared" ref="AA69:AA122" si="19">AA68*VLOOKUP(($AA$2+Z68),$P$3:$X$103,8)</f>
        <v>0</v>
      </c>
    </row>
    <row r="70" spans="1:27" x14ac:dyDescent="0.25">
      <c r="A70">
        <v>68</v>
      </c>
      <c r="B70" t="s">
        <v>142</v>
      </c>
      <c r="C70" t="s">
        <v>143</v>
      </c>
      <c r="D70" s="1">
        <v>14716</v>
      </c>
      <c r="E70" s="4" t="s">
        <v>8</v>
      </c>
      <c r="F70" s="44">
        <v>14492.84</v>
      </c>
      <c r="G70" s="31">
        <v>1412753.6871824833</v>
      </c>
      <c r="I70" s="48">
        <v>45322</v>
      </c>
      <c r="J70" s="51">
        <v>8.3763982000000001E-2</v>
      </c>
      <c r="L70" s="15">
        <f t="shared" si="17"/>
        <v>67937</v>
      </c>
      <c r="M70" s="16">
        <v>68</v>
      </c>
      <c r="N70" s="45">
        <f>(1+Increase)^Data!M70</f>
        <v>27.597664884819839</v>
      </c>
      <c r="P70" s="21">
        <v>87</v>
      </c>
      <c r="Q70" s="42">
        <v>0.142786</v>
      </c>
      <c r="R70" s="42">
        <f t="shared" si="13"/>
        <v>0.85721400000000003</v>
      </c>
      <c r="S70" s="46">
        <f t="shared" si="14"/>
        <v>0.1540676832715677</v>
      </c>
      <c r="T70" s="42">
        <v>9.5593999999999998E-2</v>
      </c>
      <c r="U70" s="42">
        <f t="shared" si="15"/>
        <v>0.90440600000000004</v>
      </c>
      <c r="V70" s="46">
        <f t="shared" si="16"/>
        <v>0.10047690436768822</v>
      </c>
      <c r="W70" s="42">
        <f t="shared" si="11"/>
        <v>0.90440600000000004</v>
      </c>
      <c r="X70" s="42">
        <f t="shared" si="12"/>
        <v>0.10047690436768822</v>
      </c>
      <c r="Z70">
        <f t="shared" si="18"/>
        <v>25</v>
      </c>
      <c r="AA70" s="42">
        <f t="shared" si="19"/>
        <v>0</v>
      </c>
    </row>
    <row r="71" spans="1:27" x14ac:dyDescent="0.25">
      <c r="A71">
        <v>69</v>
      </c>
      <c r="B71" t="s">
        <v>144</v>
      </c>
      <c r="C71" t="s">
        <v>145</v>
      </c>
      <c r="D71" s="1">
        <v>6901</v>
      </c>
      <c r="E71" s="4" t="s">
        <v>8</v>
      </c>
      <c r="F71" s="44">
        <v>20932.48</v>
      </c>
      <c r="G71" s="31">
        <v>671834.68712575757</v>
      </c>
      <c r="I71" s="48">
        <v>45351</v>
      </c>
      <c r="J71" s="51">
        <v>8.3903347000000003E-2</v>
      </c>
      <c r="L71" s="15">
        <f t="shared" si="17"/>
        <v>68302</v>
      </c>
      <c r="M71" s="16">
        <v>69</v>
      </c>
      <c r="N71" s="45">
        <f>(1+Increase)^Data!M71</f>
        <v>28.977548129060832</v>
      </c>
      <c r="P71" s="21">
        <v>88</v>
      </c>
      <c r="Q71" s="42">
        <v>0.15459899999999999</v>
      </c>
      <c r="R71" s="42">
        <f t="shared" si="13"/>
        <v>0.84540100000000007</v>
      </c>
      <c r="S71" s="46">
        <f t="shared" si="14"/>
        <v>0.16794420797813378</v>
      </c>
      <c r="T71" s="42">
        <v>0.10376100000000001</v>
      </c>
      <c r="U71" s="42">
        <f t="shared" si="15"/>
        <v>0.89623900000000001</v>
      </c>
      <c r="V71" s="46">
        <f t="shared" si="16"/>
        <v>0.10954816050485258</v>
      </c>
      <c r="W71" s="42">
        <f t="shared" si="11"/>
        <v>0.89623900000000001</v>
      </c>
      <c r="X71" s="42">
        <f t="shared" si="12"/>
        <v>0.10954816050485258</v>
      </c>
      <c r="Z71">
        <f t="shared" si="18"/>
        <v>25</v>
      </c>
      <c r="AA71" s="42">
        <f t="shared" si="19"/>
        <v>0</v>
      </c>
    </row>
    <row r="72" spans="1:27" x14ac:dyDescent="0.25">
      <c r="A72">
        <v>70</v>
      </c>
      <c r="B72" t="s">
        <v>146</v>
      </c>
      <c r="C72" t="s">
        <v>147</v>
      </c>
      <c r="D72" s="1">
        <v>13805</v>
      </c>
      <c r="E72" s="4" t="s">
        <v>8</v>
      </c>
      <c r="F72" s="44">
        <v>17521.12</v>
      </c>
      <c r="G72" s="31">
        <v>1498764.9919972741</v>
      </c>
      <c r="I72" s="48">
        <v>45382</v>
      </c>
      <c r="J72" s="51">
        <v>8.4050240999999998E-2</v>
      </c>
      <c r="L72" s="15">
        <f t="shared" si="17"/>
        <v>68667</v>
      </c>
      <c r="M72" s="16">
        <v>70</v>
      </c>
      <c r="N72" s="45">
        <f>(1+Increase)^Data!M72</f>
        <v>30.426425535513872</v>
      </c>
      <c r="P72" s="21">
        <v>89</v>
      </c>
      <c r="Q72" s="42">
        <v>0.166903</v>
      </c>
      <c r="R72" s="42">
        <f t="shared" si="13"/>
        <v>0.83309699999999998</v>
      </c>
      <c r="S72" s="46">
        <f t="shared" si="14"/>
        <v>0.1826051970160395</v>
      </c>
      <c r="T72" s="42">
        <v>0.112386</v>
      </c>
      <c r="U72" s="42">
        <f t="shared" si="15"/>
        <v>0.88761400000000001</v>
      </c>
      <c r="V72" s="46">
        <f t="shared" si="16"/>
        <v>0.11921831517742613</v>
      </c>
      <c r="W72" s="42">
        <f t="shared" si="11"/>
        <v>0.88761400000000001</v>
      </c>
      <c r="X72" s="42">
        <f t="shared" si="12"/>
        <v>0.11921831517742613</v>
      </c>
      <c r="Z72">
        <f t="shared" si="18"/>
        <v>25</v>
      </c>
      <c r="AA72" s="42">
        <f t="shared" si="19"/>
        <v>0</v>
      </c>
    </row>
    <row r="73" spans="1:27" x14ac:dyDescent="0.25">
      <c r="A73">
        <v>71</v>
      </c>
      <c r="B73" t="s">
        <v>148</v>
      </c>
      <c r="C73" t="s">
        <v>149</v>
      </c>
      <c r="D73" s="1">
        <v>16745</v>
      </c>
      <c r="E73" s="4" t="s">
        <v>8</v>
      </c>
      <c r="F73" s="44">
        <v>22518.71</v>
      </c>
      <c r="G73" s="31">
        <v>2688354.8936687792</v>
      </c>
      <c r="I73" s="48">
        <v>45412</v>
      </c>
      <c r="J73" s="51">
        <v>8.4218342000000002E-2</v>
      </c>
      <c r="L73" s="15">
        <f t="shared" si="17"/>
        <v>69033</v>
      </c>
      <c r="M73" s="16">
        <v>71</v>
      </c>
      <c r="N73" s="45">
        <f>(1+Increase)^Data!M73</f>
        <v>31.947746812289569</v>
      </c>
      <c r="P73" s="21">
        <v>90</v>
      </c>
      <c r="Q73" s="42">
        <v>0.17966399999999999</v>
      </c>
      <c r="R73" s="42">
        <f t="shared" si="13"/>
        <v>0.82033599999999995</v>
      </c>
      <c r="S73" s="46">
        <f t="shared" si="14"/>
        <v>0.19804126655338145</v>
      </c>
      <c r="T73" s="42">
        <v>0.12146999999999999</v>
      </c>
      <c r="U73" s="42">
        <f t="shared" si="15"/>
        <v>0.87853000000000003</v>
      </c>
      <c r="V73" s="46">
        <f t="shared" si="16"/>
        <v>0.12950522282023852</v>
      </c>
      <c r="W73" s="42">
        <f t="shared" si="11"/>
        <v>0.87853000000000003</v>
      </c>
      <c r="X73" s="42">
        <f t="shared" si="12"/>
        <v>0.12950522282023852</v>
      </c>
      <c r="Z73">
        <f t="shared" si="18"/>
        <v>25</v>
      </c>
      <c r="AA73" s="42">
        <f t="shared" si="19"/>
        <v>0</v>
      </c>
    </row>
    <row r="74" spans="1:27" x14ac:dyDescent="0.25">
      <c r="A74">
        <v>72</v>
      </c>
      <c r="B74" t="s">
        <v>150</v>
      </c>
      <c r="C74" t="s">
        <v>151</v>
      </c>
      <c r="D74" s="1">
        <v>16283</v>
      </c>
      <c r="E74" s="4" t="s">
        <v>11</v>
      </c>
      <c r="F74" s="44">
        <v>21813.42</v>
      </c>
      <c r="G74" s="31">
        <v>2081272.3057699446</v>
      </c>
      <c r="I74" s="48">
        <v>45443</v>
      </c>
      <c r="J74" s="51">
        <v>8.4387147999999995E-2</v>
      </c>
      <c r="L74" s="15">
        <f t="shared" si="17"/>
        <v>69398</v>
      </c>
      <c r="M74" s="16">
        <v>72</v>
      </c>
      <c r="N74" s="45">
        <f>(1+Increase)^Data!M74</f>
        <v>33.545134152904048</v>
      </c>
      <c r="P74" s="21">
        <v>91</v>
      </c>
      <c r="Q74" s="42">
        <v>0.19284100000000001</v>
      </c>
      <c r="R74" s="42">
        <f t="shared" si="13"/>
        <v>0.80715899999999996</v>
      </c>
      <c r="S74" s="46">
        <f t="shared" si="14"/>
        <v>0.2142346040969611</v>
      </c>
      <c r="T74" s="42">
        <v>0.13100899999999999</v>
      </c>
      <c r="U74" s="42">
        <f t="shared" si="15"/>
        <v>0.86899100000000007</v>
      </c>
      <c r="V74" s="46">
        <f t="shared" si="16"/>
        <v>0.14042251050225196</v>
      </c>
      <c r="W74" s="42">
        <f t="shared" si="11"/>
        <v>0.86899100000000007</v>
      </c>
      <c r="X74" s="42">
        <f t="shared" si="12"/>
        <v>0.14042251050225196</v>
      </c>
      <c r="Z74">
        <f t="shared" si="18"/>
        <v>25</v>
      </c>
      <c r="AA74" s="42">
        <f t="shared" si="19"/>
        <v>0</v>
      </c>
    </row>
    <row r="75" spans="1:27" x14ac:dyDescent="0.25">
      <c r="A75">
        <v>73</v>
      </c>
      <c r="B75" t="s">
        <v>152</v>
      </c>
      <c r="C75" t="s">
        <v>153</v>
      </c>
      <c r="D75" s="1">
        <v>15313</v>
      </c>
      <c r="E75" s="4" t="s">
        <v>8</v>
      </c>
      <c r="F75" s="44">
        <v>22007.43</v>
      </c>
      <c r="G75" s="31">
        <v>2264770.9560861629</v>
      </c>
      <c r="I75" s="48">
        <v>45473</v>
      </c>
      <c r="J75" s="51">
        <v>8.4545597E-2</v>
      </c>
      <c r="L75" s="15">
        <f t="shared" si="17"/>
        <v>69763</v>
      </c>
      <c r="M75" s="16">
        <v>73</v>
      </c>
      <c r="N75" s="45">
        <f>(1+Increase)^Data!M75</f>
        <v>35.222390860549247</v>
      </c>
      <c r="P75" s="21">
        <v>92</v>
      </c>
      <c r="Q75" s="42">
        <v>0.20638899999999999</v>
      </c>
      <c r="R75" s="42">
        <f t="shared" si="13"/>
        <v>0.79361100000000007</v>
      </c>
      <c r="S75" s="46">
        <f t="shared" si="14"/>
        <v>0.23116186222043836</v>
      </c>
      <c r="T75" s="42">
        <v>0.14099600000000001</v>
      </c>
      <c r="U75" s="42">
        <f t="shared" si="15"/>
        <v>0.85900399999999999</v>
      </c>
      <c r="V75" s="46">
        <f t="shared" si="16"/>
        <v>0.1519817004313079</v>
      </c>
      <c r="W75" s="42">
        <f t="shared" si="11"/>
        <v>0.85900399999999999</v>
      </c>
      <c r="X75" s="42">
        <f t="shared" si="12"/>
        <v>0.1519817004313079</v>
      </c>
      <c r="Z75">
        <f t="shared" si="18"/>
        <v>25</v>
      </c>
      <c r="AA75" s="42">
        <f t="shared" si="19"/>
        <v>0</v>
      </c>
    </row>
    <row r="76" spans="1:27" x14ac:dyDescent="0.25">
      <c r="A76">
        <v>74</v>
      </c>
      <c r="B76" t="s">
        <v>154</v>
      </c>
      <c r="C76" t="s">
        <v>155</v>
      </c>
      <c r="D76" s="1">
        <v>18511</v>
      </c>
      <c r="E76" s="4" t="s">
        <v>11</v>
      </c>
      <c r="F76" s="44">
        <v>26196.19</v>
      </c>
      <c r="G76" s="31">
        <v>3255459.1570163015</v>
      </c>
      <c r="I76" s="48">
        <v>45504</v>
      </c>
      <c r="J76" s="51">
        <v>8.4693960999999998E-2</v>
      </c>
      <c r="L76" s="15">
        <f t="shared" si="17"/>
        <v>70128</v>
      </c>
      <c r="M76" s="16">
        <v>74</v>
      </c>
      <c r="N76" s="45">
        <f>(1+Increase)^Data!M76</f>
        <v>36.983510403576709</v>
      </c>
      <c r="P76" s="21">
        <v>93</v>
      </c>
      <c r="Q76" s="42">
        <v>0.22025700000000001</v>
      </c>
      <c r="R76" s="42">
        <f t="shared" si="13"/>
        <v>0.77974299999999996</v>
      </c>
      <c r="S76" s="46">
        <f t="shared" si="14"/>
        <v>0.24879090077081376</v>
      </c>
      <c r="T76" s="42">
        <v>0.15142</v>
      </c>
      <c r="U76" s="42">
        <f t="shared" si="15"/>
        <v>0.84858</v>
      </c>
      <c r="V76" s="46">
        <f t="shared" si="16"/>
        <v>0.1641909147216736</v>
      </c>
      <c r="W76" s="42">
        <f t="shared" si="11"/>
        <v>0.84858</v>
      </c>
      <c r="X76" s="42">
        <f t="shared" si="12"/>
        <v>0.1641909147216736</v>
      </c>
      <c r="Z76">
        <f t="shared" si="18"/>
        <v>25</v>
      </c>
      <c r="AA76" s="42">
        <f t="shared" si="19"/>
        <v>0</v>
      </c>
    </row>
    <row r="77" spans="1:27" x14ac:dyDescent="0.25">
      <c r="A77">
        <v>75</v>
      </c>
      <c r="B77" t="s">
        <v>156</v>
      </c>
      <c r="C77" t="s">
        <v>157</v>
      </c>
      <c r="D77" s="1">
        <v>10747</v>
      </c>
      <c r="E77" s="4" t="s">
        <v>8</v>
      </c>
      <c r="F77" s="44">
        <v>23748.07</v>
      </c>
      <c r="G77" s="31">
        <v>1424152.8380356217</v>
      </c>
      <c r="I77" s="48">
        <v>45535</v>
      </c>
      <c r="J77" s="51">
        <v>8.4838246000000006E-2</v>
      </c>
      <c r="L77" s="15">
        <f t="shared" si="17"/>
        <v>70494</v>
      </c>
      <c r="M77" s="16">
        <v>75</v>
      </c>
      <c r="N77" s="45">
        <f>(1+Increase)^Data!M77</f>
        <v>38.832685923755548</v>
      </c>
      <c r="P77" s="21">
        <v>94</v>
      </c>
      <c r="Q77" s="42">
        <v>0.23438899999999999</v>
      </c>
      <c r="R77" s="42">
        <f t="shared" si="13"/>
        <v>0.76561100000000004</v>
      </c>
      <c r="S77" s="46">
        <f t="shared" si="14"/>
        <v>0.2670810711305166</v>
      </c>
      <c r="T77" s="42">
        <v>0.16226699999999999</v>
      </c>
      <c r="U77" s="42">
        <f t="shared" si="15"/>
        <v>0.83773300000000006</v>
      </c>
      <c r="V77" s="46">
        <f t="shared" si="16"/>
        <v>0.17705584502062666</v>
      </c>
      <c r="W77" s="42">
        <f t="shared" si="11"/>
        <v>0.83773300000000006</v>
      </c>
      <c r="X77" s="42">
        <f t="shared" si="12"/>
        <v>0.17705584502062666</v>
      </c>
      <c r="Z77">
        <f t="shared" si="18"/>
        <v>25</v>
      </c>
      <c r="AA77" s="42">
        <f t="shared" si="19"/>
        <v>0</v>
      </c>
    </row>
    <row r="78" spans="1:27" x14ac:dyDescent="0.25">
      <c r="A78">
        <v>76</v>
      </c>
      <c r="B78" t="s">
        <v>158</v>
      </c>
      <c r="C78" t="s">
        <v>159</v>
      </c>
      <c r="D78" s="1">
        <v>11137</v>
      </c>
      <c r="E78" s="4" t="s">
        <v>8</v>
      </c>
      <c r="F78" s="44">
        <v>18442.310000000001</v>
      </c>
      <c r="G78" s="31">
        <v>1171065.4772442745</v>
      </c>
      <c r="I78" s="48">
        <v>45565</v>
      </c>
      <c r="J78" s="51">
        <v>8.4975046999999998E-2</v>
      </c>
      <c r="L78" s="15">
        <f t="shared" si="17"/>
        <v>70859</v>
      </c>
      <c r="M78" s="16">
        <v>76</v>
      </c>
      <c r="N78" s="45">
        <f>(1+Increase)^Data!M78</f>
        <v>40.77432021994332</v>
      </c>
      <c r="P78" s="21">
        <v>95</v>
      </c>
      <c r="Q78" s="42">
        <v>0.248727</v>
      </c>
      <c r="R78" s="42">
        <f t="shared" si="13"/>
        <v>0.75127299999999997</v>
      </c>
      <c r="S78" s="46">
        <f t="shared" si="14"/>
        <v>0.28598617796076992</v>
      </c>
      <c r="T78" s="42">
        <v>0.17351900000000001</v>
      </c>
      <c r="U78" s="42">
        <f t="shared" si="15"/>
        <v>0.82648100000000002</v>
      </c>
      <c r="V78" s="46">
        <f t="shared" si="16"/>
        <v>0.19057835049104505</v>
      </c>
      <c r="W78" s="42">
        <f t="shared" si="11"/>
        <v>0.82648100000000002</v>
      </c>
      <c r="X78" s="42">
        <f t="shared" si="12"/>
        <v>0.19057835049104505</v>
      </c>
      <c r="Z78">
        <f t="shared" si="18"/>
        <v>25</v>
      </c>
      <c r="AA78" s="42">
        <f t="shared" si="19"/>
        <v>0</v>
      </c>
    </row>
    <row r="79" spans="1:27" x14ac:dyDescent="0.25">
      <c r="A79">
        <v>77</v>
      </c>
      <c r="B79" t="s">
        <v>160</v>
      </c>
      <c r="C79" t="s">
        <v>161</v>
      </c>
      <c r="D79" s="1">
        <v>15399</v>
      </c>
      <c r="E79" s="4" t="s">
        <v>8</v>
      </c>
      <c r="F79" s="44">
        <v>19820.55</v>
      </c>
      <c r="G79" s="31">
        <v>2074541.4940837922</v>
      </c>
      <c r="I79" s="48">
        <v>45596</v>
      </c>
      <c r="J79" s="51">
        <v>8.5139256999999996E-2</v>
      </c>
      <c r="L79" s="15">
        <f t="shared" si="17"/>
        <v>71224</v>
      </c>
      <c r="M79" s="16">
        <v>77</v>
      </c>
      <c r="N79" s="45">
        <f>(1+Increase)^Data!M79</f>
        <v>42.813036230940497</v>
      </c>
      <c r="P79" s="21">
        <v>96</v>
      </c>
      <c r="Q79" s="42">
        <v>0.263206</v>
      </c>
      <c r="R79" s="42">
        <f t="shared" si="13"/>
        <v>0.73679399999999995</v>
      </c>
      <c r="S79" s="46">
        <f t="shared" si="14"/>
        <v>0.30544693739667261</v>
      </c>
      <c r="T79" s="42">
        <v>0.18515499999999999</v>
      </c>
      <c r="U79" s="42">
        <f t="shared" si="15"/>
        <v>0.81484500000000004</v>
      </c>
      <c r="V79" s="46">
        <f t="shared" si="16"/>
        <v>0.20475736787763363</v>
      </c>
      <c r="W79" s="42">
        <f t="shared" si="11"/>
        <v>0.81484500000000004</v>
      </c>
      <c r="X79" s="42">
        <f t="shared" si="12"/>
        <v>0.20475736787763363</v>
      </c>
      <c r="Z79">
        <f t="shared" si="18"/>
        <v>25</v>
      </c>
      <c r="AA79" s="42">
        <f t="shared" si="19"/>
        <v>0</v>
      </c>
    </row>
    <row r="80" spans="1:27" x14ac:dyDescent="0.25">
      <c r="A80">
        <v>78</v>
      </c>
      <c r="B80" t="s">
        <v>162</v>
      </c>
      <c r="C80" t="s">
        <v>163</v>
      </c>
      <c r="D80" s="1">
        <v>15393</v>
      </c>
      <c r="E80" s="4" t="s">
        <v>8</v>
      </c>
      <c r="F80" s="44">
        <v>16081.4</v>
      </c>
      <c r="G80" s="31">
        <v>1681245.2361385366</v>
      </c>
      <c r="I80" s="48">
        <v>45626</v>
      </c>
      <c r="J80" s="51">
        <v>8.5294038000000003E-2</v>
      </c>
      <c r="L80" s="15">
        <f t="shared" si="17"/>
        <v>71589</v>
      </c>
      <c r="M80" s="16">
        <v>78</v>
      </c>
      <c r="N80" s="45">
        <f>(1+Increase)^Data!M80</f>
        <v>44.953688042487506</v>
      </c>
      <c r="P80" s="21">
        <v>97</v>
      </c>
      <c r="Q80" s="42">
        <v>0.27776200000000001</v>
      </c>
      <c r="R80" s="42">
        <f t="shared" si="13"/>
        <v>0.72223799999999994</v>
      </c>
      <c r="S80" s="46">
        <f t="shared" si="14"/>
        <v>0.32540055451940564</v>
      </c>
      <c r="T80" s="42">
        <v>0.19714999999999999</v>
      </c>
      <c r="U80" s="42">
        <f t="shared" si="15"/>
        <v>0.80285000000000006</v>
      </c>
      <c r="V80" s="46">
        <f t="shared" si="16"/>
        <v>0.21958738198644329</v>
      </c>
      <c r="W80" s="42">
        <f t="shared" si="11"/>
        <v>0.80285000000000006</v>
      </c>
      <c r="X80" s="42">
        <f t="shared" si="12"/>
        <v>0.21958738198644329</v>
      </c>
      <c r="Z80">
        <f t="shared" si="18"/>
        <v>25</v>
      </c>
      <c r="AA80" s="42">
        <f t="shared" si="19"/>
        <v>0</v>
      </c>
    </row>
    <row r="81" spans="1:27" x14ac:dyDescent="0.25">
      <c r="A81">
        <v>79</v>
      </c>
      <c r="B81" t="s">
        <v>164</v>
      </c>
      <c r="C81" t="s">
        <v>165</v>
      </c>
      <c r="D81" s="1">
        <v>10228</v>
      </c>
      <c r="E81" s="4" t="s">
        <v>8</v>
      </c>
      <c r="F81" s="44">
        <v>21335.02</v>
      </c>
      <c r="G81" s="31">
        <v>1138960.2822392455</v>
      </c>
      <c r="I81" s="48">
        <v>45657</v>
      </c>
      <c r="J81" s="51">
        <v>8.5449206999999999E-2</v>
      </c>
      <c r="L81" s="15">
        <f t="shared" si="17"/>
        <v>71955</v>
      </c>
      <c r="M81" s="16">
        <v>79</v>
      </c>
      <c r="N81" s="45">
        <f>(1+Increase)^Data!M81</f>
        <v>47.201372444611899</v>
      </c>
      <c r="P81" s="21">
        <v>98</v>
      </c>
      <c r="Q81" s="42">
        <v>0.292327</v>
      </c>
      <c r="R81" s="42">
        <f t="shared" si="13"/>
        <v>0.707673</v>
      </c>
      <c r="S81" s="46">
        <f t="shared" si="14"/>
        <v>0.3457731563874149</v>
      </c>
      <c r="T81" s="42">
        <v>0.209477</v>
      </c>
      <c r="U81" s="42">
        <f t="shared" si="15"/>
        <v>0.79052299999999998</v>
      </c>
      <c r="V81" s="46">
        <f t="shared" si="16"/>
        <v>0.23506052724670509</v>
      </c>
      <c r="W81" s="42">
        <f t="shared" si="11"/>
        <v>0.79052299999999998</v>
      </c>
      <c r="X81" s="42">
        <f t="shared" si="12"/>
        <v>0.23506052724670509</v>
      </c>
      <c r="Z81">
        <f t="shared" si="18"/>
        <v>25</v>
      </c>
      <c r="AA81" s="42">
        <f t="shared" si="19"/>
        <v>0</v>
      </c>
    </row>
    <row r="82" spans="1:27" x14ac:dyDescent="0.25">
      <c r="A82">
        <v>80</v>
      </c>
      <c r="B82" t="s">
        <v>166</v>
      </c>
      <c r="C82" t="s">
        <v>167</v>
      </c>
      <c r="D82" s="1">
        <v>13511</v>
      </c>
      <c r="E82" s="4" t="s">
        <v>8</v>
      </c>
      <c r="F82" s="44">
        <v>16763.41</v>
      </c>
      <c r="G82" s="31">
        <v>1396070.1574500236</v>
      </c>
      <c r="I82" s="48">
        <v>45688</v>
      </c>
      <c r="J82" s="51">
        <v>8.5590847999999997E-2</v>
      </c>
      <c r="L82" s="15">
        <f t="shared" si="17"/>
        <v>72320</v>
      </c>
      <c r="M82" s="16">
        <v>80</v>
      </c>
      <c r="N82" s="45">
        <f>(1+Increase)^Data!M82</f>
        <v>49.561441066842491</v>
      </c>
      <c r="P82" s="21">
        <v>99</v>
      </c>
      <c r="Q82" s="42">
        <v>0.30683199999999999</v>
      </c>
      <c r="R82" s="42">
        <f t="shared" si="13"/>
        <v>0.69316800000000001</v>
      </c>
      <c r="S82" s="46">
        <f t="shared" si="14"/>
        <v>0.36648288492981806</v>
      </c>
      <c r="T82" s="42">
        <v>0.22210299999999999</v>
      </c>
      <c r="U82" s="42">
        <f t="shared" si="15"/>
        <v>0.77789700000000006</v>
      </c>
      <c r="V82" s="46">
        <f t="shared" si="16"/>
        <v>0.25116115431367497</v>
      </c>
      <c r="W82" s="42">
        <f t="shared" si="11"/>
        <v>0.77789700000000006</v>
      </c>
      <c r="X82" s="42">
        <f t="shared" si="12"/>
        <v>0.25116115431367497</v>
      </c>
      <c r="Z82">
        <f t="shared" si="18"/>
        <v>25</v>
      </c>
      <c r="AA82" s="42">
        <f t="shared" si="19"/>
        <v>0</v>
      </c>
    </row>
    <row r="83" spans="1:27" x14ac:dyDescent="0.25">
      <c r="A83">
        <v>81</v>
      </c>
      <c r="B83" t="s">
        <v>168</v>
      </c>
      <c r="C83" t="s">
        <v>169</v>
      </c>
      <c r="D83" s="1">
        <v>17087</v>
      </c>
      <c r="E83" s="4" t="s">
        <v>8</v>
      </c>
      <c r="F83" s="44">
        <v>23196.3</v>
      </c>
      <c r="G83" s="31">
        <v>2859229.370099098</v>
      </c>
      <c r="I83" s="48">
        <v>45716</v>
      </c>
      <c r="J83" s="51">
        <v>8.5715683000000001E-2</v>
      </c>
      <c r="L83" s="15">
        <f t="shared" si="17"/>
        <v>72685</v>
      </c>
      <c r="M83" s="16">
        <v>81</v>
      </c>
      <c r="N83" s="45">
        <f>(1+Increase)^Data!M83</f>
        <v>52.039513120184623</v>
      </c>
      <c r="P83" s="21">
        <v>100</v>
      </c>
      <c r="Q83" s="42">
        <v>0.32120900000000002</v>
      </c>
      <c r="R83" s="42">
        <f t="shared" si="13"/>
        <v>0.67879099999999992</v>
      </c>
      <c r="S83" s="46">
        <f t="shared" si="14"/>
        <v>0.38744200440177223</v>
      </c>
      <c r="T83" s="42">
        <v>0.23499500000000001</v>
      </c>
      <c r="U83" s="42">
        <f t="shared" si="15"/>
        <v>0.76500499999999994</v>
      </c>
      <c r="V83" s="46">
        <f t="shared" si="16"/>
        <v>0.26787290922924811</v>
      </c>
      <c r="W83" s="42">
        <f t="shared" si="11"/>
        <v>0.76500499999999994</v>
      </c>
      <c r="X83" s="42">
        <f t="shared" si="12"/>
        <v>0.26787290922924811</v>
      </c>
      <c r="Z83">
        <f t="shared" si="18"/>
        <v>25</v>
      </c>
      <c r="AA83" s="42">
        <f t="shared" si="19"/>
        <v>0</v>
      </c>
    </row>
    <row r="84" spans="1:27" x14ac:dyDescent="0.25">
      <c r="A84">
        <v>82</v>
      </c>
      <c r="B84" t="s">
        <v>170</v>
      </c>
      <c r="C84" t="s">
        <v>171</v>
      </c>
      <c r="D84" s="1">
        <v>10667</v>
      </c>
      <c r="E84" s="4" t="s">
        <v>8</v>
      </c>
      <c r="F84" s="44">
        <v>17150.68</v>
      </c>
      <c r="G84" s="31">
        <v>995649.39653086825</v>
      </c>
      <c r="I84" s="48">
        <v>45747</v>
      </c>
      <c r="J84" s="51">
        <v>8.5852067000000004E-2</v>
      </c>
      <c r="L84" s="15">
        <f t="shared" si="17"/>
        <v>73050</v>
      </c>
      <c r="M84" s="16">
        <v>82</v>
      </c>
      <c r="N84" s="45">
        <f>(1+Increase)^Data!M84</f>
        <v>54.641488776193853</v>
      </c>
      <c r="P84" s="21">
        <v>101</v>
      </c>
      <c r="Q84" s="42">
        <v>0.33538899999999999</v>
      </c>
      <c r="R84" s="42">
        <f t="shared" si="13"/>
        <v>0.66461100000000006</v>
      </c>
      <c r="S84" s="46">
        <f t="shared" si="14"/>
        <v>0.40855337188955637</v>
      </c>
      <c r="T84" s="42">
        <v>0.248115</v>
      </c>
      <c r="U84" s="42">
        <f t="shared" si="15"/>
        <v>0.75188500000000003</v>
      </c>
      <c r="V84" s="46">
        <f t="shared" si="16"/>
        <v>0.28517189225851347</v>
      </c>
      <c r="W84" s="42">
        <f t="shared" si="11"/>
        <v>0.75188500000000003</v>
      </c>
      <c r="X84" s="42">
        <f t="shared" si="12"/>
        <v>0.28517189225851347</v>
      </c>
      <c r="Z84">
        <f t="shared" si="18"/>
        <v>25</v>
      </c>
      <c r="AA84" s="42">
        <f t="shared" si="19"/>
        <v>0</v>
      </c>
    </row>
    <row r="85" spans="1:27" x14ac:dyDescent="0.25">
      <c r="A85">
        <v>83</v>
      </c>
      <c r="B85" t="s">
        <v>172</v>
      </c>
      <c r="C85" t="s">
        <v>173</v>
      </c>
      <c r="D85" s="1">
        <v>11079</v>
      </c>
      <c r="E85" s="4" t="s">
        <v>8</v>
      </c>
      <c r="F85" s="44">
        <v>21214.23</v>
      </c>
      <c r="G85" s="31">
        <v>1318493.9908927481</v>
      </c>
      <c r="I85" s="48">
        <v>45777</v>
      </c>
      <c r="J85" s="51">
        <v>8.6001332E-2</v>
      </c>
      <c r="L85" s="15">
        <f t="shared" si="17"/>
        <v>73415</v>
      </c>
      <c r="M85" s="16">
        <v>83</v>
      </c>
      <c r="N85" s="45">
        <f>(1+Increase)^Data!M85</f>
        <v>57.373563215003543</v>
      </c>
      <c r="P85" s="21">
        <v>102</v>
      </c>
      <c r="Q85" s="42">
        <v>0.34930499999999998</v>
      </c>
      <c r="R85" s="42">
        <f t="shared" si="13"/>
        <v>0.65069500000000002</v>
      </c>
      <c r="S85" s="46">
        <f t="shared" si="14"/>
        <v>0.42971425654330125</v>
      </c>
      <c r="T85" s="42">
        <v>0.26142399999999999</v>
      </c>
      <c r="U85" s="42">
        <f t="shared" si="15"/>
        <v>0.73857600000000001</v>
      </c>
      <c r="V85" s="46">
        <f t="shared" si="16"/>
        <v>0.30303127099900501</v>
      </c>
      <c r="W85" s="42">
        <f t="shared" si="11"/>
        <v>0.73857600000000001</v>
      </c>
      <c r="X85" s="42">
        <f t="shared" si="12"/>
        <v>0.30303127099900501</v>
      </c>
      <c r="Z85">
        <f t="shared" si="18"/>
        <v>25</v>
      </c>
      <c r="AA85" s="42">
        <f t="shared" si="19"/>
        <v>0</v>
      </c>
    </row>
    <row r="86" spans="1:27" x14ac:dyDescent="0.25">
      <c r="A86">
        <v>84</v>
      </c>
      <c r="B86" t="s">
        <v>174</v>
      </c>
      <c r="C86" t="s">
        <v>175</v>
      </c>
      <c r="D86" s="1">
        <v>13870</v>
      </c>
      <c r="E86" s="4" t="s">
        <v>8</v>
      </c>
      <c r="F86" s="44">
        <v>24692.26</v>
      </c>
      <c r="G86" s="31">
        <v>2148692.6512312237</v>
      </c>
      <c r="I86" s="48">
        <v>45808</v>
      </c>
      <c r="J86" s="51">
        <v>8.6151850000000002E-2</v>
      </c>
      <c r="L86" s="15">
        <f t="shared" si="17"/>
        <v>73780</v>
      </c>
      <c r="M86" s="16">
        <v>84</v>
      </c>
      <c r="N86" s="45">
        <f>(1+Increase)^Data!M86</f>
        <v>60.242241375753721</v>
      </c>
      <c r="P86" s="21">
        <v>103</v>
      </c>
      <c r="Q86" s="42">
        <v>0.36289300000000002</v>
      </c>
      <c r="R86" s="42">
        <f t="shared" si="13"/>
        <v>0.63710699999999998</v>
      </c>
      <c r="S86" s="46">
        <f t="shared" si="14"/>
        <v>0.45081766263391404</v>
      </c>
      <c r="T86" s="42">
        <v>0.27487899999999998</v>
      </c>
      <c r="U86" s="42">
        <f t="shared" si="15"/>
        <v>0.72512100000000002</v>
      </c>
      <c r="V86" s="46">
        <f t="shared" si="16"/>
        <v>0.32141674150141819</v>
      </c>
      <c r="W86" s="42">
        <f t="shared" si="11"/>
        <v>0.72512100000000002</v>
      </c>
      <c r="X86" s="42">
        <f t="shared" si="12"/>
        <v>0.32141674150141819</v>
      </c>
      <c r="Z86">
        <f t="shared" si="18"/>
        <v>25</v>
      </c>
      <c r="AA86" s="42">
        <f t="shared" si="19"/>
        <v>0</v>
      </c>
    </row>
    <row r="87" spans="1:27" x14ac:dyDescent="0.25">
      <c r="A87">
        <v>85</v>
      </c>
      <c r="B87" t="s">
        <v>176</v>
      </c>
      <c r="C87" t="s">
        <v>177</v>
      </c>
      <c r="D87" s="1">
        <v>7127</v>
      </c>
      <c r="E87" s="4" t="s">
        <v>8</v>
      </c>
      <c r="F87" s="44">
        <v>20707.37</v>
      </c>
      <c r="G87" s="31">
        <v>621488.83370149659</v>
      </c>
      <c r="I87" s="48">
        <v>45838</v>
      </c>
      <c r="J87" s="51">
        <v>8.6293630999999996E-2</v>
      </c>
      <c r="L87" s="15">
        <f t="shared" si="17"/>
        <v>74145</v>
      </c>
      <c r="M87" s="16">
        <v>85</v>
      </c>
      <c r="N87" s="45">
        <f>(1+Increase)^Data!M87</f>
        <v>63.254353444541401</v>
      </c>
      <c r="P87" s="21">
        <v>104</v>
      </c>
      <c r="Q87" s="42">
        <v>0.37609100000000001</v>
      </c>
      <c r="R87" s="42">
        <f t="shared" si="13"/>
        <v>0.62390900000000005</v>
      </c>
      <c r="S87" s="46">
        <f t="shared" si="14"/>
        <v>0.47175075458075716</v>
      </c>
      <c r="T87" s="42">
        <v>0.288437</v>
      </c>
      <c r="U87" s="42">
        <f t="shared" si="15"/>
        <v>0.71156299999999995</v>
      </c>
      <c r="V87" s="46">
        <f t="shared" si="16"/>
        <v>0.34029132004536172</v>
      </c>
      <c r="W87" s="42">
        <f t="shared" si="11"/>
        <v>0.71156299999999995</v>
      </c>
      <c r="X87" s="42">
        <f t="shared" si="12"/>
        <v>0.34029132004536172</v>
      </c>
      <c r="Z87">
        <f t="shared" si="18"/>
        <v>25</v>
      </c>
      <c r="AA87" s="42">
        <f t="shared" si="19"/>
        <v>0</v>
      </c>
    </row>
    <row r="88" spans="1:27" x14ac:dyDescent="0.25">
      <c r="A88">
        <v>86</v>
      </c>
      <c r="B88" t="s">
        <v>178</v>
      </c>
      <c r="C88" t="s">
        <v>179</v>
      </c>
      <c r="D88" s="1">
        <v>19519</v>
      </c>
      <c r="E88" s="4" t="s">
        <v>11</v>
      </c>
      <c r="F88" s="44">
        <v>20416.16</v>
      </c>
      <c r="G88" s="31">
        <v>2821584.9644040284</v>
      </c>
      <c r="I88" s="48">
        <v>45869</v>
      </c>
      <c r="J88" s="51">
        <v>8.6424592999999994E-2</v>
      </c>
      <c r="L88" s="15">
        <f t="shared" si="17"/>
        <v>74510</v>
      </c>
      <c r="M88" s="16">
        <v>86</v>
      </c>
      <c r="N88" s="45">
        <f>(1+Increase)^Data!M88</f>
        <v>66.417071116768469</v>
      </c>
      <c r="P88" s="21">
        <v>105</v>
      </c>
      <c r="Q88" s="42">
        <v>0.38883800000000002</v>
      </c>
      <c r="R88" s="42">
        <f t="shared" si="13"/>
        <v>0.61116199999999998</v>
      </c>
      <c r="S88" s="46">
        <f t="shared" si="14"/>
        <v>0.49239321583750251</v>
      </c>
      <c r="T88" s="42">
        <v>0.30205399999999999</v>
      </c>
      <c r="U88" s="42">
        <f t="shared" si="15"/>
        <v>0.69794599999999996</v>
      </c>
      <c r="V88" s="46">
        <f t="shared" si="16"/>
        <v>0.3596135431093534</v>
      </c>
      <c r="W88" s="42">
        <f t="shared" si="11"/>
        <v>0.69794599999999996</v>
      </c>
      <c r="X88" s="42">
        <f t="shared" si="12"/>
        <v>0.3596135431093534</v>
      </c>
      <c r="Z88">
        <f t="shared" si="18"/>
        <v>25</v>
      </c>
      <c r="AA88" s="42">
        <f t="shared" si="19"/>
        <v>0</v>
      </c>
    </row>
    <row r="89" spans="1:27" x14ac:dyDescent="0.25">
      <c r="A89">
        <v>87</v>
      </c>
      <c r="B89" t="s">
        <v>180</v>
      </c>
      <c r="C89" t="s">
        <v>181</v>
      </c>
      <c r="D89" s="1">
        <v>18249</v>
      </c>
      <c r="E89" s="4" t="s">
        <v>11</v>
      </c>
      <c r="F89" s="44">
        <v>24020.799999999999</v>
      </c>
      <c r="G89" s="31">
        <v>2918541.3615302965</v>
      </c>
      <c r="I89" s="48">
        <v>45900</v>
      </c>
      <c r="J89" s="51">
        <v>8.6552456E-2</v>
      </c>
      <c r="L89" s="15">
        <f t="shared" si="17"/>
        <v>74876</v>
      </c>
      <c r="M89" s="16">
        <v>87</v>
      </c>
      <c r="N89" s="45">
        <f>(1+Increase)^Data!M89</f>
        <v>69.737924672606908</v>
      </c>
      <c r="P89" s="21">
        <v>106</v>
      </c>
      <c r="Q89" s="42">
        <v>0.40107900000000002</v>
      </c>
      <c r="R89" s="42">
        <f t="shared" si="13"/>
        <v>0.59892100000000004</v>
      </c>
      <c r="S89" s="46">
        <f t="shared" si="14"/>
        <v>0.51262557604193626</v>
      </c>
      <c r="T89" s="42">
        <v>0.31568400000000002</v>
      </c>
      <c r="U89" s="42">
        <f t="shared" si="15"/>
        <v>0.68431599999999992</v>
      </c>
      <c r="V89" s="46">
        <f t="shared" si="16"/>
        <v>0.37933547973923321</v>
      </c>
      <c r="W89" s="42">
        <f t="shared" si="11"/>
        <v>0.68431599999999992</v>
      </c>
      <c r="X89" s="42">
        <f t="shared" si="12"/>
        <v>0.37933547973923321</v>
      </c>
      <c r="Z89">
        <f t="shared" si="18"/>
        <v>25</v>
      </c>
      <c r="AA89" s="42">
        <f t="shared" si="19"/>
        <v>0</v>
      </c>
    </row>
    <row r="90" spans="1:27" x14ac:dyDescent="0.25">
      <c r="A90">
        <v>88</v>
      </c>
      <c r="B90" t="s">
        <v>182</v>
      </c>
      <c r="C90" t="s">
        <v>183</v>
      </c>
      <c r="D90" s="1">
        <v>13017</v>
      </c>
      <c r="E90" s="4" t="s">
        <v>8</v>
      </c>
      <c r="F90" s="44">
        <v>18583.29</v>
      </c>
      <c r="G90" s="31">
        <v>1420326.0125692601</v>
      </c>
      <c r="I90" s="48">
        <v>45930</v>
      </c>
      <c r="J90" s="51">
        <v>8.6674076000000003E-2</v>
      </c>
      <c r="L90" s="15">
        <f t="shared" si="17"/>
        <v>75241</v>
      </c>
      <c r="M90" s="16">
        <v>88</v>
      </c>
      <c r="N90" s="45">
        <f>(1+Increase)^Data!M90</f>
        <v>73.224820906237241</v>
      </c>
      <c r="P90" s="21">
        <v>107</v>
      </c>
      <c r="Q90" s="42">
        <v>0.41276299999999999</v>
      </c>
      <c r="R90" s="42">
        <f t="shared" si="13"/>
        <v>0.58723700000000001</v>
      </c>
      <c r="S90" s="46">
        <f t="shared" si="14"/>
        <v>0.53232679276775197</v>
      </c>
      <c r="T90" s="42">
        <v>0.32928000000000002</v>
      </c>
      <c r="U90" s="42">
        <f t="shared" si="15"/>
        <v>0.67071999999999998</v>
      </c>
      <c r="V90" s="46">
        <f t="shared" si="16"/>
        <v>0.39940351672956914</v>
      </c>
      <c r="W90" s="42">
        <f t="shared" si="11"/>
        <v>0.67071999999999998</v>
      </c>
      <c r="X90" s="42">
        <f t="shared" si="12"/>
        <v>0.39940351672956914</v>
      </c>
      <c r="Z90">
        <f t="shared" si="18"/>
        <v>25</v>
      </c>
      <c r="AA90" s="42">
        <f t="shared" si="19"/>
        <v>0</v>
      </c>
    </row>
    <row r="91" spans="1:27" x14ac:dyDescent="0.25">
      <c r="A91">
        <v>89</v>
      </c>
      <c r="B91" t="s">
        <v>184</v>
      </c>
      <c r="C91" t="s">
        <v>185</v>
      </c>
      <c r="D91" s="1">
        <v>13530</v>
      </c>
      <c r="E91" s="4" t="s">
        <v>11</v>
      </c>
      <c r="F91" s="44">
        <v>23779.46</v>
      </c>
      <c r="G91" s="31">
        <v>1573334.259731282</v>
      </c>
      <c r="I91" s="48">
        <v>45961</v>
      </c>
      <c r="J91" s="51">
        <v>8.6818533000000003E-2</v>
      </c>
      <c r="L91" s="15">
        <f t="shared" si="17"/>
        <v>75606</v>
      </c>
      <c r="M91" s="16">
        <v>89</v>
      </c>
      <c r="N91" s="45">
        <f>(1+Increase)^Data!M91</f>
        <v>76.886061951549109</v>
      </c>
      <c r="P91" s="21">
        <v>108</v>
      </c>
      <c r="Q91" s="42">
        <v>0.423842</v>
      </c>
      <c r="R91" s="42">
        <f t="shared" si="13"/>
        <v>0.57615799999999995</v>
      </c>
      <c r="S91" s="46">
        <f t="shared" si="14"/>
        <v>0.55137335034558077</v>
      </c>
      <c r="T91" s="42">
        <v>0.34279500000000002</v>
      </c>
      <c r="U91" s="42">
        <f t="shared" si="15"/>
        <v>0.65720500000000004</v>
      </c>
      <c r="V91" s="46">
        <f t="shared" si="16"/>
        <v>0.41975928481388092</v>
      </c>
      <c r="W91" s="42">
        <f t="shared" si="11"/>
        <v>0.65720500000000004</v>
      </c>
      <c r="X91" s="42">
        <f t="shared" si="12"/>
        <v>0.41975928481388092</v>
      </c>
      <c r="Z91">
        <f t="shared" si="18"/>
        <v>25</v>
      </c>
      <c r="AA91" s="42">
        <f t="shared" si="19"/>
        <v>0</v>
      </c>
    </row>
    <row r="92" spans="1:27" x14ac:dyDescent="0.25">
      <c r="A92">
        <v>90</v>
      </c>
      <c r="B92" t="s">
        <v>186</v>
      </c>
      <c r="C92" t="s">
        <v>187</v>
      </c>
      <c r="D92" s="1">
        <v>9675</v>
      </c>
      <c r="E92" s="4" t="s">
        <v>8</v>
      </c>
      <c r="F92" s="44">
        <v>24803.8</v>
      </c>
      <c r="G92" s="31">
        <v>1299045.8216489702</v>
      </c>
      <c r="I92" s="48">
        <v>45991</v>
      </c>
      <c r="J92" s="51">
        <v>8.6955185000000004E-2</v>
      </c>
      <c r="L92" s="15">
        <f t="shared" si="17"/>
        <v>75971</v>
      </c>
      <c r="M92" s="16">
        <v>90</v>
      </c>
      <c r="N92" s="45">
        <f>(1+Increase)^Data!M92</f>
        <v>80.730365049126561</v>
      </c>
      <c r="P92" s="21">
        <v>109</v>
      </c>
      <c r="Q92" s="42">
        <v>0.43427199999999999</v>
      </c>
      <c r="R92" s="42">
        <f t="shared" si="13"/>
        <v>0.56572800000000001</v>
      </c>
      <c r="S92" s="46">
        <f t="shared" si="14"/>
        <v>0.56964188165852447</v>
      </c>
      <c r="T92" s="42">
        <v>0.35618499999999997</v>
      </c>
      <c r="U92" s="42">
        <f t="shared" si="15"/>
        <v>0.64381500000000003</v>
      </c>
      <c r="V92" s="46">
        <f t="shared" si="16"/>
        <v>0.44034386122762026</v>
      </c>
      <c r="W92" s="42">
        <f t="shared" si="11"/>
        <v>0.64381500000000003</v>
      </c>
      <c r="X92" s="42">
        <f t="shared" si="12"/>
        <v>0.44034386122762026</v>
      </c>
      <c r="Z92">
        <f t="shared" si="18"/>
        <v>25</v>
      </c>
      <c r="AA92" s="42">
        <f t="shared" si="19"/>
        <v>0</v>
      </c>
    </row>
    <row r="93" spans="1:27" x14ac:dyDescent="0.25">
      <c r="A93">
        <v>91</v>
      </c>
      <c r="B93" t="s">
        <v>188</v>
      </c>
      <c r="C93" t="s">
        <v>189</v>
      </c>
      <c r="D93" s="1">
        <v>18993</v>
      </c>
      <c r="E93" s="4" t="s">
        <v>11</v>
      </c>
      <c r="F93" s="44">
        <v>14984.23</v>
      </c>
      <c r="G93" s="31">
        <v>1962595.722037842</v>
      </c>
      <c r="I93" s="48">
        <v>46022</v>
      </c>
      <c r="J93" s="51">
        <v>8.7092315000000003E-2</v>
      </c>
      <c r="L93" s="15">
        <f t="shared" si="17"/>
        <v>76337</v>
      </c>
      <c r="M93" s="16">
        <v>91</v>
      </c>
      <c r="N93" s="45">
        <f>(1+Increase)^Data!M93</f>
        <v>84.766883301582908</v>
      </c>
      <c r="P93" s="21">
        <v>110</v>
      </c>
      <c r="Q93" s="42">
        <v>0.44401400000000002</v>
      </c>
      <c r="R93" s="42">
        <f t="shared" si="13"/>
        <v>0.55598599999999998</v>
      </c>
      <c r="S93" s="46">
        <f t="shared" si="14"/>
        <v>0.58701216490468777</v>
      </c>
      <c r="T93" s="42">
        <v>0.36940299999999998</v>
      </c>
      <c r="U93" s="42">
        <f t="shared" si="15"/>
        <v>0.63059700000000007</v>
      </c>
      <c r="V93" s="46">
        <f t="shared" si="16"/>
        <v>0.46108828925642242</v>
      </c>
      <c r="W93" s="42">
        <f t="shared" si="11"/>
        <v>0.63059700000000007</v>
      </c>
      <c r="X93" s="42">
        <f t="shared" si="12"/>
        <v>0.46108828925642242</v>
      </c>
      <c r="Z93">
        <f t="shared" si="18"/>
        <v>25</v>
      </c>
      <c r="AA93" s="42">
        <f t="shared" si="19"/>
        <v>0</v>
      </c>
    </row>
    <row r="94" spans="1:27" x14ac:dyDescent="0.25">
      <c r="A94">
        <v>92</v>
      </c>
      <c r="B94" t="s">
        <v>190</v>
      </c>
      <c r="C94" t="s">
        <v>191</v>
      </c>
      <c r="D94" s="1">
        <v>13285</v>
      </c>
      <c r="E94" s="4" t="s">
        <v>8</v>
      </c>
      <c r="F94" s="44">
        <v>20051.96</v>
      </c>
      <c r="G94" s="31">
        <v>1657922.8668743768</v>
      </c>
      <c r="I94" s="48">
        <v>46053</v>
      </c>
      <c r="J94" s="51">
        <v>8.7212964000000004E-2</v>
      </c>
      <c r="L94" s="15">
        <f t="shared" si="17"/>
        <v>76702</v>
      </c>
      <c r="M94" s="16">
        <v>92</v>
      </c>
      <c r="N94" s="45">
        <f>(1+Increase)^Data!M94</f>
        <v>89.005227466662035</v>
      </c>
      <c r="P94" s="21">
        <v>111</v>
      </c>
      <c r="Q94" s="42">
        <v>0.45303300000000002</v>
      </c>
      <c r="R94" s="42">
        <f t="shared" si="13"/>
        <v>0.54696699999999998</v>
      </c>
      <c r="S94" s="46">
        <f t="shared" si="14"/>
        <v>0.60336680744766891</v>
      </c>
      <c r="T94" s="42">
        <v>0.38240600000000002</v>
      </c>
      <c r="U94" s="42">
        <f t="shared" si="15"/>
        <v>0.61759399999999998</v>
      </c>
      <c r="V94" s="46">
        <f t="shared" si="16"/>
        <v>0.48192399534466857</v>
      </c>
      <c r="W94" s="42">
        <f t="shared" si="11"/>
        <v>0.61759399999999998</v>
      </c>
      <c r="X94" s="42">
        <f t="shared" si="12"/>
        <v>0.48192399534466857</v>
      </c>
      <c r="Z94">
        <f t="shared" si="18"/>
        <v>25</v>
      </c>
      <c r="AA94" s="42">
        <f t="shared" si="19"/>
        <v>0</v>
      </c>
    </row>
    <row r="95" spans="1:27" x14ac:dyDescent="0.25">
      <c r="A95">
        <v>93</v>
      </c>
      <c r="B95" t="s">
        <v>192</v>
      </c>
      <c r="C95" t="s">
        <v>193</v>
      </c>
      <c r="D95" s="1">
        <v>8433</v>
      </c>
      <c r="E95" s="4" t="s">
        <v>11</v>
      </c>
      <c r="F95" s="44">
        <v>19655.41</v>
      </c>
      <c r="G95" s="31">
        <v>599314.06000617228</v>
      </c>
      <c r="I95" s="48">
        <v>46081</v>
      </c>
      <c r="J95" s="51">
        <v>8.7319643000000002E-2</v>
      </c>
      <c r="L95" s="15">
        <f t="shared" si="17"/>
        <v>77067</v>
      </c>
      <c r="M95" s="16">
        <v>93</v>
      </c>
      <c r="N95" s="45">
        <f>(1+Increase)^Data!M95</f>
        <v>93.455488839995155</v>
      </c>
      <c r="P95" s="21">
        <v>112</v>
      </c>
      <c r="Q95" s="42">
        <v>0.46129700000000001</v>
      </c>
      <c r="R95" s="42">
        <f t="shared" si="13"/>
        <v>0.53870299999999993</v>
      </c>
      <c r="S95" s="46">
        <f t="shared" si="14"/>
        <v>0.61859088034883902</v>
      </c>
      <c r="T95" s="42">
        <v>0.39515</v>
      </c>
      <c r="U95" s="42">
        <f t="shared" si="15"/>
        <v>0.60485</v>
      </c>
      <c r="V95" s="46">
        <f t="shared" si="16"/>
        <v>0.50277478557627986</v>
      </c>
      <c r="W95" s="42">
        <f t="shared" si="11"/>
        <v>0.60485</v>
      </c>
      <c r="X95" s="42">
        <f t="shared" si="12"/>
        <v>0.50277478557627986</v>
      </c>
      <c r="Z95">
        <f t="shared" si="18"/>
        <v>25</v>
      </c>
      <c r="AA95" s="42">
        <f t="shared" si="19"/>
        <v>0</v>
      </c>
    </row>
    <row r="96" spans="1:27" x14ac:dyDescent="0.25">
      <c r="A96">
        <v>94</v>
      </c>
      <c r="B96" t="s">
        <v>194</v>
      </c>
      <c r="C96" t="s">
        <v>195</v>
      </c>
      <c r="D96" s="1">
        <v>16657</v>
      </c>
      <c r="E96" s="4" t="s">
        <v>11</v>
      </c>
      <c r="F96" s="44">
        <v>17691.2</v>
      </c>
      <c r="G96" s="31">
        <v>1773372.8948263577</v>
      </c>
      <c r="I96" s="48">
        <v>46112</v>
      </c>
      <c r="J96" s="51">
        <v>8.7436497000000002E-2</v>
      </c>
      <c r="L96" s="15">
        <f t="shared" si="17"/>
        <v>77432</v>
      </c>
      <c r="M96" s="16">
        <v>94</v>
      </c>
      <c r="N96" s="45">
        <f>(1+Increase)^Data!M96</f>
        <v>98.128263281994876</v>
      </c>
      <c r="P96" s="21">
        <v>113</v>
      </c>
      <c r="Q96" s="42">
        <v>0.46877999999999997</v>
      </c>
      <c r="R96" s="42">
        <f t="shared" si="13"/>
        <v>0.53122000000000003</v>
      </c>
      <c r="S96" s="46">
        <f t="shared" si="14"/>
        <v>0.63257903092626944</v>
      </c>
      <c r="T96" s="42">
        <v>0.40759400000000001</v>
      </c>
      <c r="U96" s="42">
        <f t="shared" si="15"/>
        <v>0.59240599999999999</v>
      </c>
      <c r="V96" s="46">
        <f t="shared" si="16"/>
        <v>0.5235630683480893</v>
      </c>
      <c r="W96" s="42">
        <f t="shared" si="11"/>
        <v>0.59240599999999999</v>
      </c>
      <c r="X96" s="42">
        <f t="shared" si="12"/>
        <v>0.5235630683480893</v>
      </c>
      <c r="Z96">
        <f t="shared" si="18"/>
        <v>25</v>
      </c>
      <c r="AA96" s="42">
        <f t="shared" si="19"/>
        <v>0</v>
      </c>
    </row>
    <row r="97" spans="1:27" x14ac:dyDescent="0.25">
      <c r="A97">
        <v>95</v>
      </c>
      <c r="B97" t="s">
        <v>196</v>
      </c>
      <c r="C97" t="s">
        <v>197</v>
      </c>
      <c r="D97" s="1">
        <v>16924</v>
      </c>
      <c r="E97" s="4" t="s">
        <v>8</v>
      </c>
      <c r="F97" s="44">
        <v>23978.7</v>
      </c>
      <c r="G97" s="31">
        <v>2941693.6419903855</v>
      </c>
      <c r="I97" s="48">
        <v>46142</v>
      </c>
      <c r="J97" s="51">
        <v>8.7563933999999996E-2</v>
      </c>
      <c r="L97" s="15">
        <f t="shared" si="17"/>
        <v>77798</v>
      </c>
      <c r="M97" s="16">
        <v>95</v>
      </c>
      <c r="N97" s="45">
        <f>(1+Increase)^Data!M97</f>
        <v>103.03467644609466</v>
      </c>
      <c r="P97" s="21">
        <v>114</v>
      </c>
      <c r="Q97" s="42">
        <v>0.47545900000000002</v>
      </c>
      <c r="R97" s="42">
        <f t="shared" si="13"/>
        <v>0.52454099999999992</v>
      </c>
      <c r="S97" s="46">
        <f t="shared" si="14"/>
        <v>0.64523168451546131</v>
      </c>
      <c r="T97" s="42">
        <v>0.41970000000000002</v>
      </c>
      <c r="U97" s="42">
        <f t="shared" si="15"/>
        <v>0.58030000000000004</v>
      </c>
      <c r="V97" s="46">
        <f t="shared" si="16"/>
        <v>0.54421006778557435</v>
      </c>
      <c r="W97" s="42">
        <f t="shared" si="11"/>
        <v>0.58030000000000004</v>
      </c>
      <c r="X97" s="42">
        <f t="shared" si="12"/>
        <v>0.54421006778557435</v>
      </c>
      <c r="Z97">
        <f t="shared" si="18"/>
        <v>25</v>
      </c>
      <c r="AA97" s="42">
        <f t="shared" si="19"/>
        <v>0</v>
      </c>
    </row>
    <row r="98" spans="1:27" x14ac:dyDescent="0.25">
      <c r="A98">
        <v>96</v>
      </c>
      <c r="B98" t="s">
        <v>198</v>
      </c>
      <c r="C98" t="s">
        <v>199</v>
      </c>
      <c r="D98" s="1">
        <v>17114</v>
      </c>
      <c r="E98" s="4" t="s">
        <v>11</v>
      </c>
      <c r="F98" s="44">
        <v>24454.23</v>
      </c>
      <c r="G98" s="31">
        <v>2611659.1458235951</v>
      </c>
      <c r="I98" s="48">
        <v>46173</v>
      </c>
      <c r="J98" s="51">
        <v>8.7692840999999994E-2</v>
      </c>
      <c r="L98" s="15">
        <f t="shared" si="17"/>
        <v>78163</v>
      </c>
      <c r="M98" s="16">
        <v>96</v>
      </c>
      <c r="N98" s="45">
        <f>(1+Increase)^Data!M98</f>
        <v>108.18641026839938</v>
      </c>
      <c r="P98" s="21">
        <v>115</v>
      </c>
      <c r="Q98" s="42">
        <v>0.48131299999999999</v>
      </c>
      <c r="R98" s="42">
        <f t="shared" si="13"/>
        <v>0.51868700000000001</v>
      </c>
      <c r="S98" s="46">
        <f t="shared" si="14"/>
        <v>0.65645466059549773</v>
      </c>
      <c r="T98" s="42">
        <v>0.43143100000000001</v>
      </c>
      <c r="U98" s="42">
        <f t="shared" si="15"/>
        <v>0.56856899999999999</v>
      </c>
      <c r="V98" s="46">
        <f t="shared" si="16"/>
        <v>0.56463260112487312</v>
      </c>
      <c r="W98" s="42">
        <f t="shared" si="11"/>
        <v>0.56856899999999999</v>
      </c>
      <c r="X98" s="42">
        <f t="shared" si="12"/>
        <v>0.56463260112487312</v>
      </c>
      <c r="Z98">
        <f t="shared" si="18"/>
        <v>25</v>
      </c>
      <c r="AA98" s="42">
        <f t="shared" si="19"/>
        <v>0</v>
      </c>
    </row>
    <row r="99" spans="1:27" x14ac:dyDescent="0.25">
      <c r="A99">
        <v>97</v>
      </c>
      <c r="B99" t="s">
        <v>200</v>
      </c>
      <c r="C99" t="s">
        <v>201</v>
      </c>
      <c r="D99" s="1">
        <v>11137</v>
      </c>
      <c r="E99" s="4" t="s">
        <v>11</v>
      </c>
      <c r="F99" s="44">
        <v>26037.17</v>
      </c>
      <c r="G99" s="31">
        <v>1262715.2238682101</v>
      </c>
      <c r="I99" s="48">
        <v>46203</v>
      </c>
      <c r="J99" s="51">
        <v>8.7814551000000005E-2</v>
      </c>
      <c r="L99" s="15">
        <f t="shared" si="17"/>
        <v>78528</v>
      </c>
      <c r="M99" s="16">
        <v>97</v>
      </c>
      <c r="N99" s="45">
        <f>(1+Increase)^Data!M99</f>
        <v>113.59573078181936</v>
      </c>
      <c r="P99" s="21">
        <v>116</v>
      </c>
      <c r="Q99" s="42">
        <v>0.48632599999999998</v>
      </c>
      <c r="R99" s="42">
        <f t="shared" si="13"/>
        <v>0.51367399999999996</v>
      </c>
      <c r="S99" s="46">
        <f t="shared" si="14"/>
        <v>0.66616645598817092</v>
      </c>
      <c r="T99" s="42">
        <v>0.44275199999999998</v>
      </c>
      <c r="U99" s="42">
        <f t="shared" si="15"/>
        <v>0.55724799999999997</v>
      </c>
      <c r="V99" s="46">
        <f t="shared" si="16"/>
        <v>0.58474489577598676</v>
      </c>
      <c r="W99" s="42">
        <f t="shared" ref="W99:W103" si="20">IF(Gender= "Male",R99,U99)</f>
        <v>0.55724799999999997</v>
      </c>
      <c r="X99" s="42">
        <f t="shared" ref="X99:X103" si="21">IF(Gender= "Male",S99,V99)</f>
        <v>0.58474489577598676</v>
      </c>
      <c r="Z99">
        <f t="shared" si="18"/>
        <v>25</v>
      </c>
      <c r="AA99" s="42">
        <f t="shared" si="19"/>
        <v>0</v>
      </c>
    </row>
    <row r="100" spans="1:27" x14ac:dyDescent="0.25">
      <c r="A100">
        <v>98</v>
      </c>
      <c r="B100" t="s">
        <v>202</v>
      </c>
      <c r="C100" t="s">
        <v>203</v>
      </c>
      <c r="D100" s="1">
        <v>15260</v>
      </c>
      <c r="E100" s="4" t="s">
        <v>8</v>
      </c>
      <c r="F100" s="44">
        <v>19967.599999999999</v>
      </c>
      <c r="G100" s="31">
        <v>2032609.2041141074</v>
      </c>
      <c r="I100" s="48">
        <v>46234</v>
      </c>
      <c r="J100" s="51">
        <v>8.7924779999999994E-2</v>
      </c>
      <c r="L100" s="15">
        <f t="shared" si="17"/>
        <v>78893</v>
      </c>
      <c r="M100" s="16">
        <v>98</v>
      </c>
      <c r="N100" s="45">
        <f>(1+Increase)^Data!M100</f>
        <v>119.27551732091032</v>
      </c>
      <c r="P100" s="21">
        <v>117</v>
      </c>
      <c r="Q100" s="42">
        <v>0.49048399999999998</v>
      </c>
      <c r="R100" s="42">
        <f t="shared" si="13"/>
        <v>0.50951600000000008</v>
      </c>
      <c r="S100" s="46">
        <f t="shared" si="14"/>
        <v>0.67429402347582734</v>
      </c>
      <c r="T100" s="42">
        <v>0.45362999999999998</v>
      </c>
      <c r="U100" s="42">
        <f t="shared" si="15"/>
        <v>0.54637000000000002</v>
      </c>
      <c r="V100" s="46">
        <f t="shared" si="16"/>
        <v>0.60445887706450729</v>
      </c>
      <c r="W100" s="42">
        <f t="shared" si="20"/>
        <v>0.54637000000000002</v>
      </c>
      <c r="X100" s="42">
        <f t="shared" si="21"/>
        <v>0.60445887706450729</v>
      </c>
      <c r="Z100">
        <f t="shared" si="18"/>
        <v>25</v>
      </c>
      <c r="AA100" s="42">
        <f t="shared" si="19"/>
        <v>0</v>
      </c>
    </row>
    <row r="101" spans="1:27" x14ac:dyDescent="0.25">
      <c r="A101">
        <v>99</v>
      </c>
      <c r="B101" t="s">
        <v>204</v>
      </c>
      <c r="C101" t="s">
        <v>205</v>
      </c>
      <c r="D101" s="1">
        <v>17042</v>
      </c>
      <c r="E101" s="4" t="s">
        <v>11</v>
      </c>
      <c r="F101" s="44">
        <v>21744.44</v>
      </c>
      <c r="G101" s="31">
        <v>2289695.6589089832</v>
      </c>
      <c r="I101" s="48">
        <v>46265</v>
      </c>
      <c r="J101" s="51">
        <v>8.8032719999999995E-2</v>
      </c>
      <c r="L101" s="15">
        <f t="shared" si="17"/>
        <v>79259</v>
      </c>
      <c r="M101" s="16">
        <v>99</v>
      </c>
      <c r="N101" s="45">
        <f>(1+Increase)^Data!M101</f>
        <v>125.23929318695586</v>
      </c>
      <c r="P101" s="21">
        <v>118</v>
      </c>
      <c r="Q101" s="42">
        <v>0.49377599999999999</v>
      </c>
      <c r="R101" s="42">
        <f t="shared" si="13"/>
        <v>0.50622400000000001</v>
      </c>
      <c r="S101" s="46">
        <f t="shared" si="14"/>
        <v>0.68077601990494796</v>
      </c>
      <c r="T101" s="42">
        <v>0.46403800000000001</v>
      </c>
      <c r="U101" s="42">
        <f t="shared" si="15"/>
        <v>0.53596200000000005</v>
      </c>
      <c r="V101" s="46">
        <f t="shared" si="16"/>
        <v>0.62369201594692936</v>
      </c>
      <c r="W101" s="42">
        <f t="shared" si="20"/>
        <v>0.53596200000000005</v>
      </c>
      <c r="X101" s="42">
        <f t="shared" si="21"/>
        <v>0.62369201594692936</v>
      </c>
      <c r="Z101">
        <f t="shared" si="18"/>
        <v>25</v>
      </c>
      <c r="AA101" s="42">
        <f t="shared" si="19"/>
        <v>0</v>
      </c>
    </row>
    <row r="102" spans="1:27" x14ac:dyDescent="0.25">
      <c r="A102">
        <v>100</v>
      </c>
      <c r="B102" t="s">
        <v>206</v>
      </c>
      <c r="C102" t="s">
        <v>207</v>
      </c>
      <c r="D102" s="1">
        <v>8551</v>
      </c>
      <c r="E102" s="4" t="s">
        <v>11</v>
      </c>
      <c r="F102" s="44">
        <v>22771.78</v>
      </c>
      <c r="G102" s="31">
        <v>757213.67107753304</v>
      </c>
      <c r="I102" s="48">
        <v>46295</v>
      </c>
      <c r="J102" s="51">
        <v>8.8135593999999998E-2</v>
      </c>
      <c r="L102" s="15">
        <f t="shared" si="17"/>
        <v>79624</v>
      </c>
      <c r="M102" s="16">
        <v>100</v>
      </c>
      <c r="N102" s="45">
        <f>(1+Increase)^Data!M102</f>
        <v>131.50125784630362</v>
      </c>
      <c r="P102" s="21">
        <v>119</v>
      </c>
      <c r="Q102" s="42">
        <v>0.49619400000000002</v>
      </c>
      <c r="R102" s="42">
        <f t="shared" si="13"/>
        <v>0.50380599999999998</v>
      </c>
      <c r="S102" s="46">
        <f t="shared" si="14"/>
        <v>0.68556400564665265</v>
      </c>
      <c r="T102" s="42">
        <v>0.47394700000000001</v>
      </c>
      <c r="U102" s="42">
        <f t="shared" si="15"/>
        <v>0.52605299999999999</v>
      </c>
      <c r="V102" s="46">
        <f t="shared" si="16"/>
        <v>0.64235331086414726</v>
      </c>
      <c r="W102" s="42">
        <f t="shared" si="20"/>
        <v>0.52605299999999999</v>
      </c>
      <c r="X102" s="42">
        <f t="shared" si="21"/>
        <v>0.64235331086414726</v>
      </c>
      <c r="Z102">
        <f t="shared" si="18"/>
        <v>25</v>
      </c>
      <c r="AA102" s="42">
        <f t="shared" si="19"/>
        <v>0</v>
      </c>
    </row>
    <row r="103" spans="1:27" x14ac:dyDescent="0.25">
      <c r="A103">
        <v>101</v>
      </c>
      <c r="B103" t="s">
        <v>208</v>
      </c>
      <c r="C103" t="s">
        <v>209</v>
      </c>
      <c r="D103" s="1">
        <v>15621</v>
      </c>
      <c r="E103" s="4" t="s">
        <v>8</v>
      </c>
      <c r="F103" s="44">
        <v>20426.39</v>
      </c>
      <c r="G103" s="31">
        <v>2164177.0440215329</v>
      </c>
      <c r="I103" s="48">
        <v>46326</v>
      </c>
      <c r="J103" s="51">
        <v>8.8255455999999996E-2</v>
      </c>
      <c r="L103" s="15">
        <f t="shared" si="17"/>
        <v>79989</v>
      </c>
      <c r="M103" s="16">
        <v>101</v>
      </c>
      <c r="N103" s="45">
        <f>(1+Increase)^Data!M103</f>
        <v>138.07632073861882</v>
      </c>
      <c r="P103" s="21">
        <v>120</v>
      </c>
      <c r="Q103" s="42">
        <v>1</v>
      </c>
      <c r="R103" s="42">
        <f t="shared" si="13"/>
        <v>0</v>
      </c>
      <c r="S103" s="46">
        <f t="shared" si="14"/>
        <v>0</v>
      </c>
      <c r="T103" s="42">
        <v>1</v>
      </c>
      <c r="U103" s="42">
        <f t="shared" si="15"/>
        <v>0</v>
      </c>
      <c r="V103" s="46">
        <f t="shared" si="16"/>
        <v>0</v>
      </c>
      <c r="W103" s="42">
        <f t="shared" si="20"/>
        <v>0</v>
      </c>
      <c r="X103" s="42">
        <f t="shared" si="21"/>
        <v>0</v>
      </c>
      <c r="Z103">
        <f t="shared" si="18"/>
        <v>25</v>
      </c>
      <c r="AA103" s="42">
        <f t="shared" si="19"/>
        <v>0</v>
      </c>
    </row>
    <row r="104" spans="1:27" x14ac:dyDescent="0.25">
      <c r="A104">
        <v>102</v>
      </c>
      <c r="B104" t="s">
        <v>210</v>
      </c>
      <c r="C104" t="s">
        <v>211</v>
      </c>
      <c r="D104" s="1">
        <v>10213</v>
      </c>
      <c r="E104" s="4" t="s">
        <v>11</v>
      </c>
      <c r="F104" s="44">
        <v>23044.91</v>
      </c>
      <c r="G104" s="31">
        <v>895817.28027842776</v>
      </c>
      <c r="I104" s="48">
        <v>46356</v>
      </c>
      <c r="J104" s="51">
        <v>8.8369151000000007E-2</v>
      </c>
      <c r="L104" s="15">
        <f t="shared" si="17"/>
        <v>80354</v>
      </c>
      <c r="M104" s="16">
        <v>102</v>
      </c>
      <c r="N104" s="45">
        <f>(1+Increase)^Data!M104</f>
        <v>144.98013677554974</v>
      </c>
      <c r="Q104" s="50"/>
      <c r="R104" s="50"/>
      <c r="S104" s="50"/>
      <c r="T104" s="50"/>
      <c r="U104" s="50"/>
      <c r="V104" s="50"/>
      <c r="W104" s="50"/>
      <c r="X104" s="50"/>
      <c r="Z104">
        <f t="shared" si="18"/>
        <v>25</v>
      </c>
      <c r="AA104" s="42">
        <f t="shared" si="19"/>
        <v>0</v>
      </c>
    </row>
    <row r="105" spans="1:27" x14ac:dyDescent="0.25">
      <c r="A105">
        <v>103</v>
      </c>
      <c r="B105" t="s">
        <v>212</v>
      </c>
      <c r="C105" t="s">
        <v>213</v>
      </c>
      <c r="D105" s="1">
        <v>21203</v>
      </c>
      <c r="E105" s="4" t="s">
        <v>8</v>
      </c>
      <c r="F105" s="44">
        <v>24129.38</v>
      </c>
      <c r="G105" s="31">
        <v>4097275.1455872101</v>
      </c>
      <c r="I105" s="48">
        <v>46387</v>
      </c>
      <c r="J105" s="51">
        <v>8.8483766000000005E-2</v>
      </c>
      <c r="L105" s="15">
        <f t="shared" si="17"/>
        <v>80720</v>
      </c>
      <c r="M105" s="16">
        <v>103</v>
      </c>
      <c r="N105" s="45">
        <f>(1+Increase)^Data!M105</f>
        <v>152.22914361432726</v>
      </c>
      <c r="Q105" s="50"/>
      <c r="R105" s="50"/>
      <c r="S105" s="50"/>
      <c r="T105" s="50"/>
      <c r="U105" s="50"/>
      <c r="V105" s="50"/>
      <c r="W105" s="50"/>
      <c r="X105" s="50"/>
      <c r="Z105">
        <f t="shared" si="18"/>
        <v>25</v>
      </c>
      <c r="AA105" s="42">
        <f t="shared" si="19"/>
        <v>0</v>
      </c>
    </row>
    <row r="106" spans="1:27" x14ac:dyDescent="0.25">
      <c r="A106">
        <v>104</v>
      </c>
      <c r="B106" t="s">
        <v>214</v>
      </c>
      <c r="C106" t="s">
        <v>215</v>
      </c>
      <c r="D106" s="1">
        <v>13508</v>
      </c>
      <c r="E106" s="4" t="s">
        <v>11</v>
      </c>
      <c r="F106" s="44">
        <v>21042.35</v>
      </c>
      <c r="G106" s="31">
        <v>1380559.7364436593</v>
      </c>
      <c r="I106" s="48">
        <v>46418</v>
      </c>
      <c r="J106" s="51">
        <v>8.8588014000000007E-2</v>
      </c>
      <c r="L106" s="15">
        <f t="shared" si="17"/>
        <v>81085</v>
      </c>
      <c r="M106" s="16">
        <v>104</v>
      </c>
      <c r="N106" s="45">
        <f>(1+Increase)^Data!M106</f>
        <v>159.8406007950436</v>
      </c>
      <c r="Q106" s="50"/>
      <c r="R106" s="50"/>
      <c r="S106" s="50"/>
      <c r="T106" s="50"/>
      <c r="U106" s="50"/>
      <c r="V106" s="50"/>
      <c r="W106" s="50"/>
      <c r="X106" s="50"/>
      <c r="Z106">
        <f t="shared" si="18"/>
        <v>25</v>
      </c>
      <c r="AA106" s="42">
        <f t="shared" si="19"/>
        <v>0</v>
      </c>
    </row>
    <row r="107" spans="1:27" x14ac:dyDescent="0.25">
      <c r="A107">
        <v>105</v>
      </c>
      <c r="B107" t="s">
        <v>216</v>
      </c>
      <c r="C107" t="s">
        <v>217</v>
      </c>
      <c r="D107" s="1">
        <v>20976</v>
      </c>
      <c r="E107" s="4" t="s">
        <v>8</v>
      </c>
      <c r="F107" s="44">
        <v>21389.82</v>
      </c>
      <c r="G107" s="31">
        <v>3588804.6579752625</v>
      </c>
      <c r="I107" s="48">
        <v>46446</v>
      </c>
      <c r="J107" s="51">
        <v>8.8680417999999997E-2</v>
      </c>
      <c r="L107" s="15">
        <f t="shared" si="17"/>
        <v>81450</v>
      </c>
      <c r="M107" s="16">
        <v>105</v>
      </c>
      <c r="N107" s="45">
        <f>(1+Increase)^Data!M107</f>
        <v>167.83263083479579</v>
      </c>
      <c r="Q107" s="50"/>
      <c r="R107" s="50"/>
      <c r="S107" s="50"/>
      <c r="T107" s="50"/>
      <c r="U107" s="50"/>
      <c r="V107" s="50"/>
      <c r="W107" s="50"/>
      <c r="X107" s="50"/>
      <c r="Z107">
        <f t="shared" si="18"/>
        <v>25</v>
      </c>
      <c r="AA107" s="42">
        <f t="shared" si="19"/>
        <v>0</v>
      </c>
    </row>
    <row r="108" spans="1:27" x14ac:dyDescent="0.25">
      <c r="A108">
        <v>106</v>
      </c>
      <c r="B108" t="s">
        <v>218</v>
      </c>
      <c r="C108" t="s">
        <v>219</v>
      </c>
      <c r="D108" s="1">
        <v>20041</v>
      </c>
      <c r="E108" s="4" t="s">
        <v>11</v>
      </c>
      <c r="F108" s="44">
        <v>15499.66</v>
      </c>
      <c r="G108" s="31">
        <v>2229028.2952683698</v>
      </c>
      <c r="I108" s="48">
        <v>46477</v>
      </c>
      <c r="J108" s="51">
        <v>8.8782072000000004E-2</v>
      </c>
      <c r="L108" s="15">
        <f t="shared" si="17"/>
        <v>81815</v>
      </c>
      <c r="M108" s="16">
        <v>106</v>
      </c>
      <c r="N108" s="45">
        <f>(1+Increase)^Data!M108</f>
        <v>176.22426237653559</v>
      </c>
      <c r="Q108" s="50"/>
      <c r="R108" s="50"/>
      <c r="S108" s="50"/>
      <c r="T108" s="50"/>
      <c r="U108" s="50"/>
      <c r="V108" s="50"/>
      <c r="W108" s="50"/>
      <c r="X108" s="50"/>
      <c r="Z108">
        <f t="shared" si="18"/>
        <v>25</v>
      </c>
      <c r="AA108" s="42">
        <f t="shared" si="19"/>
        <v>0</v>
      </c>
    </row>
    <row r="109" spans="1:27" x14ac:dyDescent="0.25">
      <c r="A109">
        <v>107</v>
      </c>
      <c r="B109" t="s">
        <v>220</v>
      </c>
      <c r="C109" t="s">
        <v>221</v>
      </c>
      <c r="D109" s="1">
        <v>17615</v>
      </c>
      <c r="E109" s="4" t="s">
        <v>8</v>
      </c>
      <c r="F109" s="44">
        <v>19664.47</v>
      </c>
      <c r="G109" s="31">
        <v>2564699.1305748066</v>
      </c>
      <c r="I109" s="48">
        <v>46507</v>
      </c>
      <c r="J109" s="51">
        <v>8.8895768999999999E-2</v>
      </c>
      <c r="L109" s="15">
        <f t="shared" si="17"/>
        <v>82181</v>
      </c>
      <c r="M109" s="16">
        <v>107</v>
      </c>
      <c r="N109" s="45">
        <f>(1+Increase)^Data!M109</f>
        <v>185.03547549536239</v>
      </c>
      <c r="Q109" s="50"/>
      <c r="R109" s="50"/>
      <c r="S109" s="50"/>
      <c r="T109" s="50"/>
      <c r="U109" s="50"/>
      <c r="V109" s="50"/>
      <c r="W109" s="50"/>
      <c r="X109" s="50"/>
      <c r="Z109">
        <f t="shared" si="18"/>
        <v>25</v>
      </c>
      <c r="AA109" s="42">
        <f t="shared" si="19"/>
        <v>0</v>
      </c>
    </row>
    <row r="110" spans="1:27" x14ac:dyDescent="0.25">
      <c r="A110">
        <v>108</v>
      </c>
      <c r="B110" t="s">
        <v>222</v>
      </c>
      <c r="C110" t="s">
        <v>223</v>
      </c>
      <c r="D110" s="1">
        <v>18092</v>
      </c>
      <c r="E110" s="4" t="s">
        <v>8</v>
      </c>
      <c r="F110" s="44">
        <v>17890.36</v>
      </c>
      <c r="G110" s="31">
        <v>2408522.6208684696</v>
      </c>
      <c r="I110" s="48">
        <v>46538</v>
      </c>
      <c r="J110" s="51">
        <v>8.9011057000000005E-2</v>
      </c>
      <c r="L110" s="15">
        <f t="shared" si="17"/>
        <v>82546</v>
      </c>
      <c r="M110" s="16">
        <v>108</v>
      </c>
      <c r="N110" s="45">
        <f>(1+Increase)^Data!M110</f>
        <v>194.28724927013047</v>
      </c>
      <c r="Q110" s="50"/>
      <c r="R110" s="50"/>
      <c r="S110" s="50"/>
      <c r="T110" s="50"/>
      <c r="U110" s="50"/>
      <c r="V110" s="50"/>
      <c r="W110" s="50"/>
      <c r="X110" s="50"/>
      <c r="Z110">
        <f t="shared" si="18"/>
        <v>25</v>
      </c>
      <c r="AA110" s="42">
        <f t="shared" si="19"/>
        <v>0</v>
      </c>
    </row>
    <row r="111" spans="1:27" x14ac:dyDescent="0.25">
      <c r="A111">
        <v>109</v>
      </c>
      <c r="B111" t="s">
        <v>224</v>
      </c>
      <c r="C111" t="s">
        <v>225</v>
      </c>
      <c r="D111" s="1">
        <v>18413</v>
      </c>
      <c r="E111" s="4" t="s">
        <v>8</v>
      </c>
      <c r="F111" s="44">
        <v>19394.060000000001</v>
      </c>
      <c r="G111" s="31">
        <v>2713383.4265055638</v>
      </c>
      <c r="I111" s="48">
        <v>46568</v>
      </c>
      <c r="J111" s="51">
        <v>8.9120280999999996E-2</v>
      </c>
      <c r="L111" s="15">
        <f t="shared" si="17"/>
        <v>82911</v>
      </c>
      <c r="M111" s="16">
        <v>109</v>
      </c>
      <c r="N111" s="45">
        <f>(1+Increase)^Data!M111</f>
        <v>204.00161173363705</v>
      </c>
      <c r="Q111" s="50"/>
      <c r="R111" s="50"/>
      <c r="S111" s="50"/>
      <c r="T111" s="50"/>
      <c r="U111" s="50"/>
      <c r="V111" s="50"/>
      <c r="W111" s="50"/>
      <c r="X111" s="50"/>
      <c r="Z111">
        <f t="shared" si="18"/>
        <v>25</v>
      </c>
      <c r="AA111" s="42">
        <f t="shared" si="19"/>
        <v>0</v>
      </c>
    </row>
    <row r="112" spans="1:27" x14ac:dyDescent="0.25">
      <c r="A112">
        <v>110</v>
      </c>
      <c r="B112" t="s">
        <v>226</v>
      </c>
      <c r="C112" t="s">
        <v>227</v>
      </c>
      <c r="D112" s="1">
        <v>14018</v>
      </c>
      <c r="E112" s="4" t="s">
        <v>11</v>
      </c>
      <c r="F112" s="44">
        <v>19780.7</v>
      </c>
      <c r="G112" s="31">
        <v>1439322.8822393375</v>
      </c>
      <c r="I112" s="48">
        <v>46599</v>
      </c>
      <c r="J112" s="51">
        <v>8.9222922999999996E-2</v>
      </c>
      <c r="L112" s="15">
        <f t="shared" si="17"/>
        <v>83276</v>
      </c>
      <c r="M112" s="16">
        <v>110</v>
      </c>
      <c r="N112" s="45">
        <f>(1+Increase)^Data!M112</f>
        <v>214.20169232031884</v>
      </c>
      <c r="Q112" s="50"/>
      <c r="R112" s="50"/>
      <c r="S112" s="50"/>
      <c r="T112" s="50"/>
      <c r="U112" s="50"/>
      <c r="V112" s="50"/>
      <c r="W112" s="50"/>
      <c r="X112" s="50"/>
      <c r="Z112">
        <f t="shared" si="18"/>
        <v>25</v>
      </c>
      <c r="AA112" s="42">
        <f t="shared" si="19"/>
        <v>0</v>
      </c>
    </row>
    <row r="113" spans="1:27" x14ac:dyDescent="0.25">
      <c r="A113">
        <v>111</v>
      </c>
      <c r="B113" t="s">
        <v>228</v>
      </c>
      <c r="C113" t="s">
        <v>229</v>
      </c>
      <c r="D113" s="1">
        <v>16255</v>
      </c>
      <c r="E113" s="4" t="s">
        <v>8</v>
      </c>
      <c r="F113" s="44">
        <v>14053.6</v>
      </c>
      <c r="G113" s="31">
        <v>1582929.7472299074</v>
      </c>
      <c r="I113" s="48">
        <v>46630</v>
      </c>
      <c r="J113" s="51">
        <v>8.9323665999999996E-2</v>
      </c>
      <c r="L113" s="15">
        <f t="shared" si="17"/>
        <v>83642</v>
      </c>
      <c r="M113" s="16">
        <v>111</v>
      </c>
      <c r="N113" s="45">
        <f>(1+Increase)^Data!M113</f>
        <v>224.91177693633486</v>
      </c>
      <c r="Q113" s="50"/>
      <c r="R113" s="50"/>
      <c r="S113" s="50"/>
      <c r="T113" s="50"/>
      <c r="U113" s="50"/>
      <c r="V113" s="50"/>
      <c r="W113" s="50"/>
      <c r="X113" s="50"/>
      <c r="Z113">
        <f t="shared" si="18"/>
        <v>25</v>
      </c>
      <c r="AA113" s="42">
        <f t="shared" si="19"/>
        <v>0</v>
      </c>
    </row>
    <row r="114" spans="1:27" x14ac:dyDescent="0.25">
      <c r="A114">
        <v>112</v>
      </c>
      <c r="B114" t="s">
        <v>158</v>
      </c>
      <c r="C114" t="s">
        <v>230</v>
      </c>
      <c r="D114" s="1">
        <v>10123</v>
      </c>
      <c r="E114" s="4" t="s">
        <v>8</v>
      </c>
      <c r="F114" s="44">
        <v>24317.39</v>
      </c>
      <c r="G114" s="31">
        <v>1230328.586077878</v>
      </c>
      <c r="I114" s="48">
        <v>46660</v>
      </c>
      <c r="J114" s="51">
        <v>8.9419979999999996E-2</v>
      </c>
      <c r="L114" s="15">
        <f t="shared" si="17"/>
        <v>84007</v>
      </c>
      <c r="M114" s="16">
        <v>112</v>
      </c>
      <c r="N114" s="45">
        <f>(1+Increase)^Data!M114</f>
        <v>236.15736578315159</v>
      </c>
      <c r="Q114" s="50"/>
      <c r="R114" s="50"/>
      <c r="S114" s="50"/>
      <c r="T114" s="50"/>
      <c r="U114" s="50"/>
      <c r="V114" s="50"/>
      <c r="W114" s="50"/>
      <c r="X114" s="50"/>
      <c r="Z114">
        <f t="shared" si="18"/>
        <v>25</v>
      </c>
      <c r="AA114" s="42">
        <f t="shared" si="19"/>
        <v>0</v>
      </c>
    </row>
    <row r="115" spans="1:27" x14ac:dyDescent="0.25">
      <c r="A115">
        <v>113</v>
      </c>
      <c r="B115" t="s">
        <v>231</v>
      </c>
      <c r="C115" t="s">
        <v>232</v>
      </c>
      <c r="D115" s="1">
        <v>12659</v>
      </c>
      <c r="E115" s="4" t="s">
        <v>11</v>
      </c>
      <c r="F115" s="44">
        <v>22009.57</v>
      </c>
      <c r="G115" s="31">
        <v>1222311.3562634869</v>
      </c>
      <c r="I115" s="48">
        <v>46691</v>
      </c>
      <c r="J115" s="51">
        <v>8.9534961999999996E-2</v>
      </c>
      <c r="L115" s="15">
        <f t="shared" si="17"/>
        <v>84372</v>
      </c>
      <c r="M115" s="16">
        <v>113</v>
      </c>
      <c r="N115" s="45">
        <f>(1+Increase)^Data!M115</f>
        <v>247.96523407230919</v>
      </c>
      <c r="Q115" s="50"/>
      <c r="R115" s="50"/>
      <c r="S115" s="50"/>
      <c r="T115" s="50"/>
      <c r="U115" s="50"/>
      <c r="V115" s="50"/>
      <c r="W115" s="50"/>
      <c r="X115" s="50"/>
      <c r="Z115">
        <f t="shared" si="18"/>
        <v>25</v>
      </c>
      <c r="AA115" s="42">
        <f t="shared" si="19"/>
        <v>0</v>
      </c>
    </row>
    <row r="116" spans="1:27" x14ac:dyDescent="0.25">
      <c r="A116">
        <v>114</v>
      </c>
      <c r="B116" t="s">
        <v>233</v>
      </c>
      <c r="C116" t="s">
        <v>234</v>
      </c>
      <c r="D116" s="1">
        <v>8970</v>
      </c>
      <c r="E116" s="4" t="s">
        <v>11</v>
      </c>
      <c r="F116" s="44">
        <v>19983.990000000002</v>
      </c>
      <c r="G116" s="31">
        <v>570291.38797403465</v>
      </c>
      <c r="I116" s="48">
        <v>46721</v>
      </c>
      <c r="J116" s="51">
        <v>8.9644261000000003E-2</v>
      </c>
      <c r="L116" s="15">
        <f t="shared" si="17"/>
        <v>84737</v>
      </c>
      <c r="M116" s="16">
        <v>114</v>
      </c>
      <c r="N116" s="45">
        <f>(1+Increase)^Data!M116</f>
        <v>260.36349577592466</v>
      </c>
      <c r="Q116" s="50"/>
      <c r="R116" s="50"/>
      <c r="S116" s="50"/>
      <c r="T116" s="50"/>
      <c r="U116" s="50"/>
      <c r="V116" s="50"/>
      <c r="W116" s="50"/>
      <c r="X116" s="50"/>
      <c r="Z116">
        <f t="shared" si="18"/>
        <v>25</v>
      </c>
      <c r="AA116" s="42">
        <f t="shared" si="19"/>
        <v>0</v>
      </c>
    </row>
    <row r="117" spans="1:27" x14ac:dyDescent="0.25">
      <c r="A117">
        <v>115</v>
      </c>
      <c r="B117" t="s">
        <v>235</v>
      </c>
      <c r="C117" t="s">
        <v>236</v>
      </c>
      <c r="D117" s="1">
        <v>10562</v>
      </c>
      <c r="E117" s="4" t="s">
        <v>11</v>
      </c>
      <c r="F117" s="44">
        <v>19800</v>
      </c>
      <c r="G117" s="31">
        <v>805368.86060353986</v>
      </c>
      <c r="I117" s="48">
        <v>46752</v>
      </c>
      <c r="J117" s="51">
        <v>8.9754513999999994E-2</v>
      </c>
      <c r="L117" s="15">
        <f t="shared" si="17"/>
        <v>85103</v>
      </c>
      <c r="M117" s="16">
        <v>115</v>
      </c>
      <c r="N117" s="45">
        <f>(1+Increase)^Data!M117</f>
        <v>273.38167056472088</v>
      </c>
      <c r="Q117" s="50"/>
      <c r="R117" s="50"/>
      <c r="S117" s="50"/>
      <c r="T117" s="50"/>
      <c r="U117" s="50"/>
      <c r="V117" s="50"/>
      <c r="W117" s="50"/>
      <c r="X117" s="50"/>
      <c r="Z117">
        <f t="shared" si="18"/>
        <v>25</v>
      </c>
      <c r="AA117" s="42">
        <f t="shared" si="19"/>
        <v>0</v>
      </c>
    </row>
    <row r="118" spans="1:27" x14ac:dyDescent="0.25">
      <c r="A118">
        <v>116</v>
      </c>
      <c r="B118" t="s">
        <v>237</v>
      </c>
      <c r="C118" t="s">
        <v>238</v>
      </c>
      <c r="D118" s="1">
        <v>20263</v>
      </c>
      <c r="E118" s="4" t="s">
        <v>8</v>
      </c>
      <c r="F118" s="44">
        <v>21474.71</v>
      </c>
      <c r="G118" s="31">
        <v>3443916.3431244306</v>
      </c>
      <c r="I118" s="48">
        <v>46783</v>
      </c>
      <c r="J118" s="51">
        <v>8.9852659000000001E-2</v>
      </c>
      <c r="L118" s="15">
        <f t="shared" si="17"/>
        <v>85468</v>
      </c>
      <c r="M118" s="16">
        <v>116</v>
      </c>
      <c r="N118" s="45">
        <f>(1+Increase)^Data!M118</f>
        <v>287.05075409295694</v>
      </c>
      <c r="Q118" s="50"/>
      <c r="R118" s="50"/>
      <c r="S118" s="50"/>
      <c r="T118" s="50"/>
      <c r="U118" s="50"/>
      <c r="V118" s="50"/>
      <c r="W118" s="50"/>
      <c r="X118" s="50"/>
      <c r="Z118">
        <f t="shared" si="18"/>
        <v>25</v>
      </c>
      <c r="AA118" s="42">
        <f t="shared" si="19"/>
        <v>0</v>
      </c>
    </row>
    <row r="119" spans="1:27" x14ac:dyDescent="0.25">
      <c r="A119">
        <v>117</v>
      </c>
      <c r="B119" t="s">
        <v>239</v>
      </c>
      <c r="C119" t="s">
        <v>240</v>
      </c>
      <c r="D119" s="1">
        <v>13995</v>
      </c>
      <c r="E119" s="4" t="s">
        <v>8</v>
      </c>
      <c r="F119" s="44">
        <v>17382.47</v>
      </c>
      <c r="G119" s="31">
        <v>1560724.3243962955</v>
      </c>
      <c r="I119" s="48">
        <v>46812</v>
      </c>
      <c r="J119" s="51">
        <v>8.9942912999999999E-2</v>
      </c>
      <c r="L119" s="15">
        <f t="shared" si="17"/>
        <v>85833</v>
      </c>
      <c r="M119" s="16">
        <v>117</v>
      </c>
      <c r="N119" s="45">
        <f>(1+Increase)^Data!M119</f>
        <v>301.40329179760471</v>
      </c>
      <c r="Q119" s="50"/>
      <c r="R119" s="50"/>
      <c r="S119" s="50"/>
      <c r="T119" s="50"/>
      <c r="U119" s="50"/>
      <c r="V119" s="50"/>
      <c r="W119" s="50"/>
      <c r="X119" s="50"/>
      <c r="Z119">
        <f t="shared" si="18"/>
        <v>25</v>
      </c>
      <c r="AA119" s="42">
        <f t="shared" si="19"/>
        <v>0</v>
      </c>
    </row>
    <row r="120" spans="1:27" x14ac:dyDescent="0.25">
      <c r="A120">
        <v>118</v>
      </c>
      <c r="B120" t="s">
        <v>241</v>
      </c>
      <c r="C120" t="s">
        <v>242</v>
      </c>
      <c r="D120" s="1">
        <v>8088</v>
      </c>
      <c r="E120" s="4" t="s">
        <v>11</v>
      </c>
      <c r="F120" s="44">
        <v>21243.21</v>
      </c>
      <c r="G120" s="31">
        <v>624185.88704548613</v>
      </c>
      <c r="I120" s="48">
        <v>46843</v>
      </c>
      <c r="J120" s="51">
        <v>9.0038661000000006E-2</v>
      </c>
      <c r="L120" s="15">
        <f t="shared" si="17"/>
        <v>86198</v>
      </c>
      <c r="M120" s="16">
        <v>118</v>
      </c>
      <c r="N120" s="45">
        <f>(1+Increase)^Data!M120</f>
        <v>316.47345638748493</v>
      </c>
      <c r="Q120" s="50"/>
      <c r="R120" s="50"/>
      <c r="S120" s="50"/>
      <c r="T120" s="50"/>
      <c r="U120" s="50"/>
      <c r="V120" s="50"/>
      <c r="W120" s="50"/>
      <c r="X120" s="50"/>
      <c r="Z120">
        <f t="shared" si="18"/>
        <v>25</v>
      </c>
      <c r="AA120" s="42">
        <f t="shared" si="19"/>
        <v>0</v>
      </c>
    </row>
    <row r="121" spans="1:27" x14ac:dyDescent="0.25">
      <c r="A121">
        <v>119</v>
      </c>
      <c r="B121" t="s">
        <v>243</v>
      </c>
      <c r="C121" t="s">
        <v>244</v>
      </c>
      <c r="D121" s="1">
        <v>14735</v>
      </c>
      <c r="E121" s="4" t="s">
        <v>8</v>
      </c>
      <c r="F121" s="44">
        <v>18113.64</v>
      </c>
      <c r="G121" s="31">
        <v>1772936.3577417678</v>
      </c>
      <c r="I121" s="48">
        <v>46873</v>
      </c>
      <c r="J121" s="51">
        <v>9.0142204000000004E-2</v>
      </c>
      <c r="L121" s="15">
        <f t="shared" si="17"/>
        <v>86564</v>
      </c>
      <c r="M121" s="16">
        <v>119</v>
      </c>
      <c r="N121" s="45">
        <f>(1+Increase)^Data!M121</f>
        <v>332.29712920685927</v>
      </c>
      <c r="Q121" s="50"/>
      <c r="R121" s="50"/>
      <c r="S121" s="50"/>
      <c r="T121" s="50"/>
      <c r="U121" s="50"/>
      <c r="V121" s="50"/>
      <c r="W121" s="50"/>
      <c r="X121" s="50"/>
      <c r="Z121">
        <f t="shared" si="18"/>
        <v>25</v>
      </c>
      <c r="AA121" s="42">
        <f t="shared" si="19"/>
        <v>0</v>
      </c>
    </row>
    <row r="122" spans="1:27" x14ac:dyDescent="0.25">
      <c r="A122">
        <v>120</v>
      </c>
      <c r="B122" t="s">
        <v>245</v>
      </c>
      <c r="C122" t="s">
        <v>246</v>
      </c>
      <c r="D122" s="1">
        <v>18693</v>
      </c>
      <c r="E122" s="4" t="s">
        <v>8</v>
      </c>
      <c r="F122" s="44">
        <v>21630.6</v>
      </c>
      <c r="G122" s="31">
        <v>3086817.886696924</v>
      </c>
      <c r="I122" s="48">
        <v>46904</v>
      </c>
      <c r="J122" s="51">
        <v>9.0247396999999993E-2</v>
      </c>
      <c r="L122" s="15">
        <f t="shared" si="17"/>
        <v>86929</v>
      </c>
      <c r="M122" s="16">
        <v>120</v>
      </c>
      <c r="N122" s="45">
        <f>(1+Increase)^Data!M122</f>
        <v>348.9119856672022</v>
      </c>
      <c r="Q122" s="50"/>
      <c r="R122" s="50"/>
      <c r="S122" s="50"/>
      <c r="T122" s="50"/>
      <c r="U122" s="50"/>
      <c r="V122" s="50"/>
      <c r="W122" s="50"/>
      <c r="X122" s="50"/>
      <c r="Z122">
        <f t="shared" si="18"/>
        <v>25</v>
      </c>
      <c r="AA122" s="42">
        <f t="shared" si="19"/>
        <v>0</v>
      </c>
    </row>
    <row r="123" spans="1:27" x14ac:dyDescent="0.25">
      <c r="A123">
        <v>121</v>
      </c>
      <c r="B123" t="s">
        <v>247</v>
      </c>
      <c r="C123" t="s">
        <v>248</v>
      </c>
      <c r="D123" s="1">
        <v>17851</v>
      </c>
      <c r="E123" s="4" t="s">
        <v>11</v>
      </c>
      <c r="F123" s="44">
        <v>17054.68</v>
      </c>
      <c r="G123" s="31">
        <v>1982217.8346480259</v>
      </c>
      <c r="I123" s="48">
        <v>46934</v>
      </c>
      <c r="J123" s="51">
        <v>9.0347146000000003E-2</v>
      </c>
      <c r="L123" s="15">
        <f t="shared" si="17"/>
        <v>87294</v>
      </c>
      <c r="M123" s="16">
        <v>121</v>
      </c>
      <c r="N123" s="45">
        <f>(1+Increase)^Data!M123</f>
        <v>366.35758495056234</v>
      </c>
    </row>
    <row r="124" spans="1:27" x14ac:dyDescent="0.25">
      <c r="A124">
        <v>122</v>
      </c>
      <c r="B124" t="s">
        <v>249</v>
      </c>
      <c r="C124" t="s">
        <v>250</v>
      </c>
      <c r="D124" s="1">
        <v>18077</v>
      </c>
      <c r="E124" s="4" t="s">
        <v>8</v>
      </c>
      <c r="F124" s="44">
        <v>16688</v>
      </c>
      <c r="G124" s="31">
        <v>2273452.129209023</v>
      </c>
      <c r="I124" s="48">
        <v>46965</v>
      </c>
      <c r="J124" s="51">
        <v>9.0438089999999999E-2</v>
      </c>
    </row>
    <row r="125" spans="1:27" x14ac:dyDescent="0.25">
      <c r="A125">
        <v>123</v>
      </c>
      <c r="B125" t="s">
        <v>251</v>
      </c>
      <c r="C125" t="s">
        <v>252</v>
      </c>
      <c r="D125" s="1">
        <v>9862</v>
      </c>
      <c r="E125" s="4" t="s">
        <v>8</v>
      </c>
      <c r="F125" s="44">
        <v>20121.05</v>
      </c>
      <c r="G125" s="31">
        <v>1016310.2638879705</v>
      </c>
      <c r="I125" s="48">
        <v>46996</v>
      </c>
      <c r="J125" s="51">
        <v>9.0527517000000002E-2</v>
      </c>
    </row>
    <row r="126" spans="1:27" x14ac:dyDescent="0.25">
      <c r="A126">
        <v>124</v>
      </c>
      <c r="B126" t="s">
        <v>253</v>
      </c>
      <c r="C126" t="s">
        <v>254</v>
      </c>
      <c r="D126" s="1">
        <v>9584</v>
      </c>
      <c r="E126" s="4" t="s">
        <v>11</v>
      </c>
      <c r="F126" s="44">
        <v>19252.3</v>
      </c>
      <c r="G126" s="31">
        <v>716050.70985560352</v>
      </c>
      <c r="I126" s="48">
        <v>47026</v>
      </c>
      <c r="J126" s="51">
        <v>9.0613008999999994E-2</v>
      </c>
    </row>
    <row r="127" spans="1:27" x14ac:dyDescent="0.25">
      <c r="A127">
        <v>125</v>
      </c>
      <c r="B127" t="s">
        <v>255</v>
      </c>
      <c r="C127" t="s">
        <v>256</v>
      </c>
      <c r="D127" s="1">
        <v>16692</v>
      </c>
      <c r="E127" s="4" t="s">
        <v>8</v>
      </c>
      <c r="F127" s="44">
        <v>19785.86</v>
      </c>
      <c r="G127" s="31">
        <v>2342184.0087081138</v>
      </c>
      <c r="I127" s="48">
        <v>47057</v>
      </c>
      <c r="J127" s="51">
        <v>9.0710594000000005E-2</v>
      </c>
    </row>
    <row r="128" spans="1:27" x14ac:dyDescent="0.25">
      <c r="A128">
        <v>126</v>
      </c>
      <c r="B128" t="s">
        <v>257</v>
      </c>
      <c r="C128" t="s">
        <v>258</v>
      </c>
      <c r="D128" s="1">
        <v>14727</v>
      </c>
      <c r="E128" s="4" t="s">
        <v>11</v>
      </c>
      <c r="F128" s="44">
        <v>21116.53</v>
      </c>
      <c r="G128" s="31">
        <v>1689201.8040570426</v>
      </c>
      <c r="I128" s="48">
        <v>47087</v>
      </c>
      <c r="J128" s="51">
        <v>9.0803518E-2</v>
      </c>
    </row>
    <row r="129" spans="1:10" x14ac:dyDescent="0.25">
      <c r="A129">
        <v>127</v>
      </c>
      <c r="B129" t="s">
        <v>259</v>
      </c>
      <c r="C129" t="s">
        <v>260</v>
      </c>
      <c r="D129" s="1">
        <v>15520</v>
      </c>
      <c r="E129" s="4" t="s">
        <v>8</v>
      </c>
      <c r="F129" s="44">
        <v>20749.650000000001</v>
      </c>
      <c r="G129" s="31">
        <v>2222038.4998296248</v>
      </c>
      <c r="I129" s="48">
        <v>47118</v>
      </c>
      <c r="J129" s="51">
        <v>9.0897322000000003E-2</v>
      </c>
    </row>
    <row r="130" spans="1:10" x14ac:dyDescent="0.25">
      <c r="A130">
        <v>128</v>
      </c>
      <c r="B130" t="s">
        <v>261</v>
      </c>
      <c r="C130" t="s">
        <v>262</v>
      </c>
      <c r="D130" s="1">
        <v>8116</v>
      </c>
      <c r="E130" s="4" t="s">
        <v>8</v>
      </c>
      <c r="F130" s="44">
        <v>21366.19</v>
      </c>
      <c r="G130" s="31">
        <v>872769.91108236706</v>
      </c>
      <c r="I130" s="48">
        <v>47149</v>
      </c>
      <c r="J130" s="51">
        <v>9.0979671999999998E-2</v>
      </c>
    </row>
    <row r="131" spans="1:10" x14ac:dyDescent="0.25">
      <c r="A131">
        <v>129</v>
      </c>
      <c r="B131" t="s">
        <v>263</v>
      </c>
      <c r="C131" t="s">
        <v>264</v>
      </c>
      <c r="D131" s="1">
        <v>20478</v>
      </c>
      <c r="E131" s="4" t="s">
        <v>8</v>
      </c>
      <c r="F131" s="44">
        <v>14544.82</v>
      </c>
      <c r="G131" s="31">
        <v>2359833.0692500095</v>
      </c>
      <c r="I131" s="48">
        <v>47177</v>
      </c>
      <c r="J131" s="51">
        <v>9.1052927000000006E-2</v>
      </c>
    </row>
    <row r="132" spans="1:10" x14ac:dyDescent="0.25">
      <c r="A132">
        <v>130</v>
      </c>
      <c r="B132" t="s">
        <v>265</v>
      </c>
      <c r="C132" t="s">
        <v>266</v>
      </c>
      <c r="D132" s="1">
        <v>20615</v>
      </c>
      <c r="E132" s="4" t="s">
        <v>11</v>
      </c>
      <c r="F132" s="44">
        <v>23075.919999999998</v>
      </c>
      <c r="G132" s="31">
        <v>3492226.1543426435</v>
      </c>
      <c r="I132" s="48">
        <v>47208</v>
      </c>
      <c r="J132" s="51">
        <v>9.1133324000000002E-2</v>
      </c>
    </row>
    <row r="133" spans="1:10" x14ac:dyDescent="0.25">
      <c r="A133">
        <v>131</v>
      </c>
      <c r="B133" t="s">
        <v>267</v>
      </c>
      <c r="C133" t="s">
        <v>268</v>
      </c>
      <c r="D133" s="1">
        <v>12508</v>
      </c>
      <c r="E133" s="4" t="s">
        <v>8</v>
      </c>
      <c r="F133" s="44">
        <v>16362.67</v>
      </c>
      <c r="G133" s="31">
        <v>1217948.9109941158</v>
      </c>
      <c r="I133" s="48">
        <v>47238</v>
      </c>
      <c r="J133" s="51">
        <v>9.1217060000000003E-2</v>
      </c>
    </row>
    <row r="134" spans="1:10" x14ac:dyDescent="0.25">
      <c r="A134">
        <v>132</v>
      </c>
      <c r="B134" t="s">
        <v>269</v>
      </c>
      <c r="C134" t="s">
        <v>270</v>
      </c>
      <c r="D134" s="1">
        <v>13044</v>
      </c>
      <c r="E134" s="4" t="s">
        <v>11</v>
      </c>
      <c r="F134" s="44">
        <v>20731.98</v>
      </c>
      <c r="G134" s="31">
        <v>1234191.5356782214</v>
      </c>
      <c r="I134" s="48">
        <v>47269</v>
      </c>
      <c r="J134" s="51">
        <v>9.1302263999999994E-2</v>
      </c>
    </row>
    <row r="135" spans="1:10" x14ac:dyDescent="0.25">
      <c r="A135">
        <v>133</v>
      </c>
      <c r="B135" t="s">
        <v>271</v>
      </c>
      <c r="C135" t="s">
        <v>272</v>
      </c>
      <c r="D135" s="1">
        <v>11549</v>
      </c>
      <c r="E135" s="4" t="s">
        <v>8</v>
      </c>
      <c r="F135" s="44">
        <v>17253.04</v>
      </c>
      <c r="G135" s="31">
        <v>1069532.0110857042</v>
      </c>
      <c r="I135" s="48">
        <v>47299</v>
      </c>
      <c r="J135" s="51">
        <v>9.1383080000000005E-2</v>
      </c>
    </row>
    <row r="136" spans="1:10" x14ac:dyDescent="0.25">
      <c r="A136">
        <v>134</v>
      </c>
      <c r="B136" t="s">
        <v>273</v>
      </c>
      <c r="C136" t="s">
        <v>274</v>
      </c>
      <c r="D136" s="1">
        <v>20822</v>
      </c>
      <c r="E136" s="4" t="s">
        <v>8</v>
      </c>
      <c r="F136" s="44">
        <v>24308.43</v>
      </c>
      <c r="G136" s="31">
        <v>4030919.773305038</v>
      </c>
      <c r="I136" s="48">
        <v>47330</v>
      </c>
      <c r="J136" s="51">
        <v>9.1453774000000002E-2</v>
      </c>
    </row>
    <row r="137" spans="1:10" x14ac:dyDescent="0.25">
      <c r="A137">
        <v>135</v>
      </c>
      <c r="B137" t="s">
        <v>275</v>
      </c>
      <c r="C137" t="s">
        <v>276</v>
      </c>
      <c r="D137" s="1">
        <v>7068</v>
      </c>
      <c r="E137" s="4" t="s">
        <v>11</v>
      </c>
      <c r="F137" s="44">
        <v>20548.32</v>
      </c>
      <c r="G137" s="31">
        <v>557528.76758520748</v>
      </c>
      <c r="I137" s="48">
        <v>47361</v>
      </c>
      <c r="J137" s="51">
        <v>9.1523394999999994E-2</v>
      </c>
    </row>
    <row r="138" spans="1:10" x14ac:dyDescent="0.25">
      <c r="A138">
        <v>136</v>
      </c>
      <c r="B138" t="s">
        <v>277</v>
      </c>
      <c r="C138" t="s">
        <v>278</v>
      </c>
      <c r="D138" s="1">
        <v>20993</v>
      </c>
      <c r="E138" s="4" t="s">
        <v>11</v>
      </c>
      <c r="F138" s="44">
        <v>21112.34</v>
      </c>
      <c r="G138" s="31">
        <v>3288375.2349569774</v>
      </c>
      <c r="I138" s="48">
        <v>47391</v>
      </c>
      <c r="J138" s="51">
        <v>9.1590009999999999E-2</v>
      </c>
    </row>
    <row r="139" spans="1:10" x14ac:dyDescent="0.25">
      <c r="A139">
        <v>137</v>
      </c>
      <c r="B139" t="s">
        <v>279</v>
      </c>
      <c r="C139" t="s">
        <v>280</v>
      </c>
      <c r="D139" s="1">
        <v>8362</v>
      </c>
      <c r="E139" s="4" t="s">
        <v>8</v>
      </c>
      <c r="F139" s="44">
        <v>16406.7</v>
      </c>
      <c r="G139" s="31">
        <v>654274.08006003581</v>
      </c>
      <c r="I139" s="48">
        <v>47422</v>
      </c>
      <c r="J139" s="51">
        <v>9.1664959000000004E-2</v>
      </c>
    </row>
    <row r="140" spans="1:10" x14ac:dyDescent="0.25">
      <c r="A140">
        <v>138</v>
      </c>
      <c r="B140" t="s">
        <v>281</v>
      </c>
      <c r="C140" t="s">
        <v>282</v>
      </c>
      <c r="D140" s="1">
        <v>16486</v>
      </c>
      <c r="E140" s="4" t="s">
        <v>8</v>
      </c>
      <c r="F140" s="44">
        <v>25952.62</v>
      </c>
      <c r="G140" s="31">
        <v>3039190.2333335625</v>
      </c>
      <c r="I140" s="48">
        <v>47452</v>
      </c>
      <c r="J140" s="51">
        <v>9.1736430999999993E-2</v>
      </c>
    </row>
    <row r="141" spans="1:10" x14ac:dyDescent="0.25">
      <c r="A141">
        <v>139</v>
      </c>
      <c r="B141" t="s">
        <v>283</v>
      </c>
      <c r="C141" t="s">
        <v>284</v>
      </c>
      <c r="D141" s="1">
        <v>10218</v>
      </c>
      <c r="E141" s="4" t="s">
        <v>11</v>
      </c>
      <c r="F141" s="44">
        <v>22149.26</v>
      </c>
      <c r="G141" s="31">
        <v>863607.62151227891</v>
      </c>
      <c r="I141" s="48">
        <v>47483</v>
      </c>
      <c r="J141" s="51">
        <v>9.1808423E-2</v>
      </c>
    </row>
    <row r="142" spans="1:10" x14ac:dyDescent="0.25">
      <c r="A142">
        <v>140</v>
      </c>
      <c r="B142" t="s">
        <v>285</v>
      </c>
      <c r="C142" t="s">
        <v>286</v>
      </c>
      <c r="D142" s="1">
        <v>17823</v>
      </c>
      <c r="E142" s="4" t="s">
        <v>8</v>
      </c>
      <c r="F142" s="44">
        <v>21482.639999999999</v>
      </c>
      <c r="G142" s="31">
        <v>2835093.4109473443</v>
      </c>
      <c r="I142" s="48">
        <v>47514</v>
      </c>
      <c r="J142" s="51">
        <v>9.1868004000000003E-2</v>
      </c>
    </row>
    <row r="143" spans="1:10" x14ac:dyDescent="0.25">
      <c r="A143">
        <v>141</v>
      </c>
      <c r="B143" t="s">
        <v>287</v>
      </c>
      <c r="C143" t="s">
        <v>288</v>
      </c>
      <c r="D143" s="1">
        <v>11880</v>
      </c>
      <c r="E143" s="4" t="s">
        <v>11</v>
      </c>
      <c r="F143" s="44">
        <v>23483.54</v>
      </c>
      <c r="G143" s="31">
        <v>1123026.4869519039</v>
      </c>
      <c r="I143" s="48">
        <v>47542</v>
      </c>
      <c r="J143" s="51">
        <v>9.1921074000000005E-2</v>
      </c>
    </row>
    <row r="144" spans="1:10" x14ac:dyDescent="0.25">
      <c r="A144">
        <v>142</v>
      </c>
      <c r="B144" t="s">
        <v>289</v>
      </c>
      <c r="C144" t="s">
        <v>290</v>
      </c>
      <c r="D144" s="1">
        <v>13417</v>
      </c>
      <c r="E144" s="4" t="s">
        <v>8</v>
      </c>
      <c r="F144" s="44">
        <v>25894.43</v>
      </c>
      <c r="G144" s="31">
        <v>2099768.6689608586</v>
      </c>
      <c r="I144" s="48">
        <v>47573</v>
      </c>
      <c r="J144" s="51">
        <v>9.1979499000000006E-2</v>
      </c>
    </row>
    <row r="145" spans="1:10" x14ac:dyDescent="0.25">
      <c r="A145">
        <v>143</v>
      </c>
      <c r="B145" t="s">
        <v>291</v>
      </c>
      <c r="C145" t="s">
        <v>292</v>
      </c>
      <c r="D145" s="1">
        <v>11836</v>
      </c>
      <c r="E145" s="4" t="s">
        <v>11</v>
      </c>
      <c r="F145" s="44">
        <v>12503.8</v>
      </c>
      <c r="G145" s="31">
        <v>664844.13230534899</v>
      </c>
      <c r="I145" s="48">
        <v>47603</v>
      </c>
      <c r="J145" s="51">
        <v>9.2041878999999993E-2</v>
      </c>
    </row>
    <row r="146" spans="1:10" x14ac:dyDescent="0.25">
      <c r="A146">
        <v>144</v>
      </c>
      <c r="B146" t="s">
        <v>293</v>
      </c>
      <c r="C146" t="s">
        <v>294</v>
      </c>
      <c r="D146" s="1">
        <v>19992</v>
      </c>
      <c r="E146" s="4" t="s">
        <v>8</v>
      </c>
      <c r="F146" s="44">
        <v>17564.939999999999</v>
      </c>
      <c r="G146" s="31">
        <v>2751441.5186269549</v>
      </c>
      <c r="I146" s="48">
        <v>47634</v>
      </c>
      <c r="J146" s="51">
        <v>9.2105434999999999E-2</v>
      </c>
    </row>
    <row r="147" spans="1:10" x14ac:dyDescent="0.25">
      <c r="A147">
        <v>145</v>
      </c>
      <c r="B147" t="s">
        <v>295</v>
      </c>
      <c r="C147" t="s">
        <v>296</v>
      </c>
      <c r="D147" s="1">
        <v>19018</v>
      </c>
      <c r="E147" s="4" t="s">
        <v>8</v>
      </c>
      <c r="F147" s="44">
        <v>21659.45</v>
      </c>
      <c r="G147" s="31">
        <v>3166936.4084579973</v>
      </c>
      <c r="I147" s="48">
        <v>47664</v>
      </c>
      <c r="J147" s="51">
        <v>9.2165801000000006E-2</v>
      </c>
    </row>
    <row r="148" spans="1:10" x14ac:dyDescent="0.25">
      <c r="A148">
        <v>146</v>
      </c>
      <c r="B148" t="s">
        <v>297</v>
      </c>
      <c r="C148" t="s">
        <v>298</v>
      </c>
      <c r="D148" s="1">
        <v>20916</v>
      </c>
      <c r="E148" s="4" t="s">
        <v>8</v>
      </c>
      <c r="F148" s="44">
        <v>15826.03</v>
      </c>
      <c r="G148" s="31">
        <v>2643333.0161949517</v>
      </c>
      <c r="I148" s="48">
        <v>47695</v>
      </c>
      <c r="J148" s="51">
        <v>9.2218891999999997E-2</v>
      </c>
    </row>
    <row r="149" spans="1:10" x14ac:dyDescent="0.25">
      <c r="A149">
        <v>147</v>
      </c>
      <c r="B149" t="s">
        <v>112</v>
      </c>
      <c r="C149" t="s">
        <v>299</v>
      </c>
      <c r="D149" s="1">
        <v>9655</v>
      </c>
      <c r="E149" s="4" t="s">
        <v>11</v>
      </c>
      <c r="F149" s="44">
        <v>22397.06</v>
      </c>
      <c r="G149" s="31">
        <v>871153.69574735733</v>
      </c>
      <c r="I149" s="48">
        <v>47726</v>
      </c>
      <c r="J149" s="51">
        <v>9.2271243000000003E-2</v>
      </c>
    </row>
    <row r="150" spans="1:10" x14ac:dyDescent="0.25">
      <c r="A150">
        <v>148</v>
      </c>
      <c r="B150" t="s">
        <v>300</v>
      </c>
      <c r="C150" t="s">
        <v>301</v>
      </c>
      <c r="D150" s="1">
        <v>18321</v>
      </c>
      <c r="E150" s="4" t="s">
        <v>8</v>
      </c>
      <c r="F150" s="44">
        <v>17637.36</v>
      </c>
      <c r="G150" s="31">
        <v>2441504.320945065</v>
      </c>
      <c r="I150" s="48">
        <v>47756</v>
      </c>
      <c r="J150" s="51">
        <v>9.2321443000000003E-2</v>
      </c>
    </row>
    <row r="151" spans="1:10" x14ac:dyDescent="0.25">
      <c r="A151">
        <v>149</v>
      </c>
      <c r="B151" t="s">
        <v>302</v>
      </c>
      <c r="C151" t="s">
        <v>303</v>
      </c>
      <c r="D151" s="1">
        <v>9630</v>
      </c>
      <c r="E151" s="4" t="s">
        <v>11</v>
      </c>
      <c r="F151" s="44">
        <v>20106.16</v>
      </c>
      <c r="G151" s="31">
        <v>770352.28942978359</v>
      </c>
      <c r="I151" s="48">
        <v>47787</v>
      </c>
      <c r="J151" s="51">
        <v>9.2379417000000005E-2</v>
      </c>
    </row>
    <row r="152" spans="1:10" x14ac:dyDescent="0.25">
      <c r="A152">
        <v>150</v>
      </c>
      <c r="B152" t="s">
        <v>304</v>
      </c>
      <c r="C152" t="s">
        <v>305</v>
      </c>
      <c r="D152" s="1">
        <v>11423</v>
      </c>
      <c r="E152" s="4" t="s">
        <v>11</v>
      </c>
      <c r="F152" s="44">
        <v>17738.14</v>
      </c>
      <c r="G152" s="31">
        <v>873552.72142670653</v>
      </c>
      <c r="I152" s="48">
        <v>47817</v>
      </c>
      <c r="J152" s="51">
        <v>9.2434767000000001E-2</v>
      </c>
    </row>
    <row r="153" spans="1:10" x14ac:dyDescent="0.25">
      <c r="A153">
        <v>151</v>
      </c>
      <c r="B153" t="s">
        <v>306</v>
      </c>
      <c r="C153" t="s">
        <v>307</v>
      </c>
      <c r="D153" s="1">
        <v>18044</v>
      </c>
      <c r="E153" s="4" t="s">
        <v>8</v>
      </c>
      <c r="F153" s="44">
        <v>21628.07</v>
      </c>
      <c r="G153" s="31">
        <v>2934750.2069105436</v>
      </c>
      <c r="I153" s="48">
        <v>47848</v>
      </c>
      <c r="J153" s="51">
        <v>9.2490629000000005E-2</v>
      </c>
    </row>
    <row r="154" spans="1:10" x14ac:dyDescent="0.25">
      <c r="A154">
        <v>152</v>
      </c>
      <c r="B154" t="s">
        <v>308</v>
      </c>
      <c r="C154" t="s">
        <v>309</v>
      </c>
      <c r="D154" s="1">
        <v>7491</v>
      </c>
      <c r="E154" s="4" t="s">
        <v>11</v>
      </c>
      <c r="F154" s="44">
        <v>18368.72</v>
      </c>
      <c r="G154" s="31">
        <v>398534.31499477348</v>
      </c>
      <c r="I154" s="48">
        <v>47879</v>
      </c>
      <c r="J154" s="51">
        <v>9.2537559000000005E-2</v>
      </c>
    </row>
    <row r="155" spans="1:10" x14ac:dyDescent="0.25">
      <c r="A155">
        <v>153</v>
      </c>
      <c r="B155" t="s">
        <v>310</v>
      </c>
      <c r="C155" t="s">
        <v>311</v>
      </c>
      <c r="D155" s="1">
        <v>20795</v>
      </c>
      <c r="E155" s="4" t="s">
        <v>11</v>
      </c>
      <c r="F155" s="44">
        <v>15805.47</v>
      </c>
      <c r="G155" s="31">
        <v>2417269.111794543</v>
      </c>
      <c r="I155" s="48">
        <v>47907</v>
      </c>
      <c r="J155" s="51">
        <v>9.2579406000000003E-2</v>
      </c>
    </row>
    <row r="156" spans="1:10" x14ac:dyDescent="0.25">
      <c r="A156">
        <v>154</v>
      </c>
      <c r="B156" t="s">
        <v>312</v>
      </c>
      <c r="C156" t="s">
        <v>313</v>
      </c>
      <c r="D156" s="1">
        <v>12430</v>
      </c>
      <c r="E156" s="4" t="s">
        <v>11</v>
      </c>
      <c r="F156" s="44">
        <v>15323.55</v>
      </c>
      <c r="G156" s="31">
        <v>855843.71093342069</v>
      </c>
      <c r="I156" s="48">
        <v>47938</v>
      </c>
      <c r="J156" s="51">
        <v>9.2624641999999993E-2</v>
      </c>
    </row>
    <row r="157" spans="1:10" x14ac:dyDescent="0.25">
      <c r="A157">
        <v>155</v>
      </c>
      <c r="B157" t="s">
        <v>314</v>
      </c>
      <c r="C157" t="s">
        <v>315</v>
      </c>
      <c r="D157" s="1">
        <v>19497</v>
      </c>
      <c r="E157" s="4" t="s">
        <v>11</v>
      </c>
      <c r="F157" s="44">
        <v>15194.78</v>
      </c>
      <c r="G157" s="31">
        <v>2094548.7988741593</v>
      </c>
      <c r="I157" s="48">
        <v>47968</v>
      </c>
      <c r="J157" s="51">
        <v>9.2660769000000004E-2</v>
      </c>
    </row>
    <row r="158" spans="1:10" x14ac:dyDescent="0.25">
      <c r="A158">
        <v>156</v>
      </c>
      <c r="B158" t="s">
        <v>316</v>
      </c>
      <c r="C158" t="s">
        <v>317</v>
      </c>
      <c r="D158" s="1">
        <v>16010</v>
      </c>
      <c r="E158" s="4" t="s">
        <v>11</v>
      </c>
      <c r="F158" s="44">
        <v>21076.04</v>
      </c>
      <c r="G158" s="31">
        <v>1958340.8108371815</v>
      </c>
      <c r="I158" s="48">
        <v>47999</v>
      </c>
      <c r="J158" s="51">
        <v>9.2697616999999996E-2</v>
      </c>
    </row>
    <row r="159" spans="1:10" x14ac:dyDescent="0.25">
      <c r="A159">
        <v>157</v>
      </c>
      <c r="B159" t="s">
        <v>318</v>
      </c>
      <c r="C159" t="s">
        <v>319</v>
      </c>
      <c r="D159" s="1">
        <v>9300</v>
      </c>
      <c r="E159" s="4" t="s">
        <v>11</v>
      </c>
      <c r="F159" s="44">
        <v>26259.439999999999</v>
      </c>
      <c r="G159" s="31">
        <v>976443.25540677516</v>
      </c>
      <c r="I159" s="48">
        <v>48029</v>
      </c>
      <c r="J159" s="51">
        <v>9.2732081999999993E-2</v>
      </c>
    </row>
    <row r="160" spans="1:10" x14ac:dyDescent="0.25">
      <c r="A160">
        <v>158</v>
      </c>
      <c r="B160" t="s">
        <v>320</v>
      </c>
      <c r="C160" t="s">
        <v>321</v>
      </c>
      <c r="D160" s="1">
        <v>15546</v>
      </c>
      <c r="E160" s="4" t="s">
        <v>8</v>
      </c>
      <c r="F160" s="44">
        <v>22615.17</v>
      </c>
      <c r="G160" s="31">
        <v>2360544.7383529348</v>
      </c>
      <c r="I160" s="48">
        <v>48060</v>
      </c>
      <c r="J160" s="51">
        <v>9.2745293000000006E-2</v>
      </c>
    </row>
    <row r="161" spans="1:10" x14ac:dyDescent="0.25">
      <c r="A161">
        <v>159</v>
      </c>
      <c r="B161" t="s">
        <v>322</v>
      </c>
      <c r="C161" t="s">
        <v>323</v>
      </c>
      <c r="D161" s="1">
        <v>15269</v>
      </c>
      <c r="E161" s="4" t="s">
        <v>8</v>
      </c>
      <c r="F161" s="44">
        <v>18977.11</v>
      </c>
      <c r="G161" s="31">
        <v>1935248.0585230154</v>
      </c>
      <c r="I161" s="48">
        <v>48091</v>
      </c>
      <c r="J161" s="51">
        <v>9.2758333999999998E-2</v>
      </c>
    </row>
    <row r="162" spans="1:10" x14ac:dyDescent="0.25">
      <c r="A162">
        <v>160</v>
      </c>
      <c r="B162" t="s">
        <v>324</v>
      </c>
      <c r="C162" t="s">
        <v>325</v>
      </c>
      <c r="D162" s="1">
        <v>10960</v>
      </c>
      <c r="E162" s="4" t="s">
        <v>11</v>
      </c>
      <c r="F162" s="44">
        <v>20259.849999999999</v>
      </c>
      <c r="G162" s="31">
        <v>894845.10297686316</v>
      </c>
      <c r="I162" s="48">
        <v>48121</v>
      </c>
      <c r="J162" s="51">
        <v>9.2770577000000007E-2</v>
      </c>
    </row>
    <row r="163" spans="1:10" x14ac:dyDescent="0.25">
      <c r="A163">
        <v>161</v>
      </c>
      <c r="B163" t="s">
        <v>326</v>
      </c>
      <c r="C163" t="s">
        <v>327</v>
      </c>
      <c r="D163" s="1">
        <v>8416</v>
      </c>
      <c r="E163" s="4" t="s">
        <v>11</v>
      </c>
      <c r="F163" s="44">
        <v>19413.14</v>
      </c>
      <c r="G163" s="31">
        <v>582725.71315613552</v>
      </c>
      <c r="I163" s="48">
        <v>48152</v>
      </c>
      <c r="J163" s="51">
        <v>9.2776605999999998E-2</v>
      </c>
    </row>
    <row r="164" spans="1:10" x14ac:dyDescent="0.25">
      <c r="A164">
        <v>162</v>
      </c>
      <c r="B164" t="s">
        <v>328</v>
      </c>
      <c r="C164" t="s">
        <v>329</v>
      </c>
      <c r="D164" s="1">
        <v>20434</v>
      </c>
      <c r="E164" s="4" t="s">
        <v>8</v>
      </c>
      <c r="F164" s="44">
        <v>25528.53</v>
      </c>
      <c r="G164" s="31">
        <v>4126921.0283589414</v>
      </c>
      <c r="I164" s="48">
        <v>48182</v>
      </c>
      <c r="J164" s="51">
        <v>9.2782368000000004E-2</v>
      </c>
    </row>
    <row r="165" spans="1:10" x14ac:dyDescent="0.25">
      <c r="A165">
        <v>163</v>
      </c>
      <c r="B165" t="s">
        <v>330</v>
      </c>
      <c r="C165" t="s">
        <v>331</v>
      </c>
      <c r="D165" s="1">
        <v>16294</v>
      </c>
      <c r="E165" s="4" t="s">
        <v>11</v>
      </c>
      <c r="F165" s="44">
        <v>19360.8</v>
      </c>
      <c r="G165" s="31">
        <v>1852348.2109262696</v>
      </c>
      <c r="I165" s="48">
        <v>48213</v>
      </c>
      <c r="J165" s="51">
        <v>9.2787250000000002E-2</v>
      </c>
    </row>
    <row r="166" spans="1:10" x14ac:dyDescent="0.25">
      <c r="A166">
        <v>164</v>
      </c>
      <c r="B166" t="s">
        <v>332</v>
      </c>
      <c r="C166" t="s">
        <v>333</v>
      </c>
      <c r="D166" s="1">
        <v>18215</v>
      </c>
      <c r="E166" s="4" t="s">
        <v>11</v>
      </c>
      <c r="F166" s="44">
        <v>23592.639999999999</v>
      </c>
      <c r="G166" s="31">
        <v>2851638.1815866753</v>
      </c>
      <c r="I166" s="48">
        <v>48244</v>
      </c>
      <c r="J166" s="51">
        <v>9.2777692999999994E-2</v>
      </c>
    </row>
    <row r="167" spans="1:10" x14ac:dyDescent="0.25">
      <c r="A167">
        <v>165</v>
      </c>
      <c r="B167" t="s">
        <v>334</v>
      </c>
      <c r="C167" t="s">
        <v>335</v>
      </c>
      <c r="D167" s="1">
        <v>8203</v>
      </c>
      <c r="E167" s="4" t="s">
        <v>8</v>
      </c>
      <c r="F167" s="44">
        <v>26655.3</v>
      </c>
      <c r="G167" s="31">
        <v>1144263.3841400743</v>
      </c>
      <c r="I167" s="48">
        <v>48273</v>
      </c>
      <c r="J167" s="51">
        <v>9.2768859999999995E-2</v>
      </c>
    </row>
    <row r="168" spans="1:10" x14ac:dyDescent="0.25">
      <c r="A168">
        <v>166</v>
      </c>
      <c r="B168" t="s">
        <v>336</v>
      </c>
      <c r="C168" t="s">
        <v>337</v>
      </c>
      <c r="D168" s="1">
        <v>7085</v>
      </c>
      <c r="E168" s="4" t="s">
        <v>11</v>
      </c>
      <c r="F168" s="44">
        <v>18807.060000000001</v>
      </c>
      <c r="G168" s="31">
        <v>516870.44900212903</v>
      </c>
      <c r="I168" s="48">
        <v>48304</v>
      </c>
      <c r="J168" s="51">
        <v>9.2759451000000007E-2</v>
      </c>
    </row>
    <row r="169" spans="1:10" x14ac:dyDescent="0.25">
      <c r="A169">
        <v>167</v>
      </c>
      <c r="B169" t="s">
        <v>338</v>
      </c>
      <c r="C169" t="s">
        <v>339</v>
      </c>
      <c r="D169" s="1">
        <v>12029</v>
      </c>
      <c r="E169" s="4" t="s">
        <v>11</v>
      </c>
      <c r="F169" s="44">
        <v>20397.53</v>
      </c>
      <c r="G169" s="31">
        <v>1057445.2574734907</v>
      </c>
      <c r="I169" s="48">
        <v>48334</v>
      </c>
      <c r="J169" s="51">
        <v>9.2749342999999998E-2</v>
      </c>
    </row>
    <row r="170" spans="1:10" x14ac:dyDescent="0.25">
      <c r="A170">
        <v>168</v>
      </c>
      <c r="B170" t="s">
        <v>340</v>
      </c>
      <c r="C170" t="s">
        <v>341</v>
      </c>
      <c r="D170" s="1">
        <v>11664</v>
      </c>
      <c r="E170" s="4" t="s">
        <v>11</v>
      </c>
      <c r="F170" s="44">
        <v>18865.84</v>
      </c>
      <c r="G170" s="31">
        <v>922501.48000704241</v>
      </c>
      <c r="I170" s="48">
        <v>48365</v>
      </c>
      <c r="J170" s="51">
        <v>9.2739024000000003E-2</v>
      </c>
    </row>
    <row r="171" spans="1:10" x14ac:dyDescent="0.25">
      <c r="A171">
        <v>169</v>
      </c>
      <c r="B171" t="s">
        <v>342</v>
      </c>
      <c r="C171" t="s">
        <v>343</v>
      </c>
      <c r="D171" s="1">
        <v>12580</v>
      </c>
      <c r="E171" s="4" t="s">
        <v>8</v>
      </c>
      <c r="F171" s="44">
        <v>20905.810000000001</v>
      </c>
      <c r="G171" s="31">
        <v>1590699.6452915086</v>
      </c>
      <c r="I171" s="48">
        <v>48395</v>
      </c>
      <c r="J171" s="51">
        <v>9.2728856999999998E-2</v>
      </c>
    </row>
    <row r="172" spans="1:10" x14ac:dyDescent="0.25">
      <c r="A172">
        <v>170</v>
      </c>
      <c r="B172" t="s">
        <v>344</v>
      </c>
      <c r="C172" t="s">
        <v>345</v>
      </c>
      <c r="D172" s="1">
        <v>8582</v>
      </c>
      <c r="E172" s="4" t="s">
        <v>8</v>
      </c>
      <c r="F172" s="44">
        <v>18565.689999999999</v>
      </c>
      <c r="G172" s="31">
        <v>839549.94981401553</v>
      </c>
      <c r="I172" s="48">
        <v>48426</v>
      </c>
      <c r="J172" s="51">
        <v>9.2709564999999994E-2</v>
      </c>
    </row>
    <row r="173" spans="1:10" x14ac:dyDescent="0.25">
      <c r="A173">
        <v>171</v>
      </c>
      <c r="B173" t="s">
        <v>346</v>
      </c>
      <c r="C173" t="s">
        <v>347</v>
      </c>
      <c r="D173" s="1">
        <v>14509</v>
      </c>
      <c r="E173" s="4" t="s">
        <v>11</v>
      </c>
      <c r="F173" s="44">
        <v>21965.42</v>
      </c>
      <c r="G173" s="31">
        <v>1644164.3158282097</v>
      </c>
      <c r="I173" s="48">
        <v>48457</v>
      </c>
      <c r="J173" s="51">
        <v>9.2690505000000006E-2</v>
      </c>
    </row>
    <row r="174" spans="1:10" x14ac:dyDescent="0.25">
      <c r="A174">
        <v>172</v>
      </c>
      <c r="B174" t="s">
        <v>348</v>
      </c>
      <c r="C174" t="s">
        <v>349</v>
      </c>
      <c r="D174" s="1">
        <v>7239</v>
      </c>
      <c r="E174" s="4" t="s">
        <v>8</v>
      </c>
      <c r="F174" s="44">
        <v>18040.03</v>
      </c>
      <c r="G174" s="31">
        <v>597389.97887248429</v>
      </c>
      <c r="I174" s="48">
        <v>48487</v>
      </c>
      <c r="J174" s="51">
        <v>9.2672387999999994E-2</v>
      </c>
    </row>
    <row r="175" spans="1:10" x14ac:dyDescent="0.25">
      <c r="A175">
        <v>173</v>
      </c>
      <c r="B175" t="s">
        <v>350</v>
      </c>
      <c r="C175" t="s">
        <v>351</v>
      </c>
      <c r="D175" s="1">
        <v>18169</v>
      </c>
      <c r="E175" s="4" t="s">
        <v>11</v>
      </c>
      <c r="F175" s="44">
        <v>20114.03</v>
      </c>
      <c r="G175" s="31">
        <v>2413713.1716014943</v>
      </c>
      <c r="I175" s="48">
        <v>48518</v>
      </c>
      <c r="J175" s="51">
        <v>9.2657240000000002E-2</v>
      </c>
    </row>
    <row r="176" spans="1:10" x14ac:dyDescent="0.25">
      <c r="A176">
        <v>174</v>
      </c>
      <c r="B176" t="s">
        <v>352</v>
      </c>
      <c r="C176" t="s">
        <v>353</v>
      </c>
      <c r="D176" s="1">
        <v>14749</v>
      </c>
      <c r="E176" s="4" t="s">
        <v>11</v>
      </c>
      <c r="F176" s="44">
        <v>17547.78</v>
      </c>
      <c r="G176" s="31">
        <v>1412485.1797707302</v>
      </c>
      <c r="I176" s="48">
        <v>48548</v>
      </c>
      <c r="J176" s="51">
        <v>9.2642750999999995E-2</v>
      </c>
    </row>
    <row r="177" spans="1:10" x14ac:dyDescent="0.25">
      <c r="A177">
        <v>175</v>
      </c>
      <c r="B177" t="s">
        <v>354</v>
      </c>
      <c r="C177" t="s">
        <v>355</v>
      </c>
      <c r="D177" s="1">
        <v>8732</v>
      </c>
      <c r="E177" s="4" t="s">
        <v>8</v>
      </c>
      <c r="F177" s="44">
        <v>22573.62</v>
      </c>
      <c r="G177" s="31">
        <v>953277.42977911863</v>
      </c>
      <c r="I177" s="48">
        <v>48579</v>
      </c>
      <c r="J177" s="51">
        <v>9.2627683000000002E-2</v>
      </c>
    </row>
    <row r="178" spans="1:10" x14ac:dyDescent="0.25">
      <c r="A178">
        <v>176</v>
      </c>
      <c r="B178" t="s">
        <v>356</v>
      </c>
      <c r="C178" t="s">
        <v>357</v>
      </c>
      <c r="D178" s="1">
        <v>8802</v>
      </c>
      <c r="E178" s="4" t="s">
        <v>8</v>
      </c>
      <c r="F178" s="44">
        <v>11300.85</v>
      </c>
      <c r="G178" s="31">
        <v>498444.8379136516</v>
      </c>
      <c r="I178" s="48">
        <v>48610</v>
      </c>
      <c r="J178" s="51">
        <v>9.2608931000000005E-2</v>
      </c>
    </row>
    <row r="179" spans="1:10" x14ac:dyDescent="0.25">
      <c r="A179">
        <v>177</v>
      </c>
      <c r="B179" t="s">
        <v>358</v>
      </c>
      <c r="C179" t="s">
        <v>359</v>
      </c>
      <c r="D179" s="1">
        <v>21246</v>
      </c>
      <c r="E179" s="4" t="s">
        <v>11</v>
      </c>
      <c r="F179" s="44">
        <v>18868.16</v>
      </c>
      <c r="G179" s="31">
        <v>2988438.5880707717</v>
      </c>
      <c r="I179" s="48">
        <v>48638</v>
      </c>
      <c r="J179" s="51">
        <v>9.2592178999999997E-2</v>
      </c>
    </row>
    <row r="180" spans="1:10" x14ac:dyDescent="0.25">
      <c r="A180">
        <v>178</v>
      </c>
      <c r="B180" t="s">
        <v>360</v>
      </c>
      <c r="C180" t="s">
        <v>361</v>
      </c>
      <c r="D180" s="1">
        <v>9362</v>
      </c>
      <c r="E180" s="4" t="s">
        <v>8</v>
      </c>
      <c r="F180" s="44">
        <v>21255.31</v>
      </c>
      <c r="G180" s="31">
        <v>943165.39668984583</v>
      </c>
      <c r="I180" s="48">
        <v>48669</v>
      </c>
      <c r="J180" s="51">
        <v>9.2574364000000006E-2</v>
      </c>
    </row>
    <row r="181" spans="1:10" x14ac:dyDescent="0.25">
      <c r="A181">
        <v>179</v>
      </c>
      <c r="B181" t="s">
        <v>362</v>
      </c>
      <c r="C181" t="s">
        <v>363</v>
      </c>
      <c r="D181" s="1">
        <v>10393</v>
      </c>
      <c r="E181" s="4" t="s">
        <v>11</v>
      </c>
      <c r="F181" s="44">
        <v>22417.98</v>
      </c>
      <c r="G181" s="31">
        <v>971704.69424275518</v>
      </c>
      <c r="I181" s="48">
        <v>48699</v>
      </c>
      <c r="J181" s="51">
        <v>9.2564680999999996E-2</v>
      </c>
    </row>
    <row r="182" spans="1:10" x14ac:dyDescent="0.25">
      <c r="A182">
        <v>180</v>
      </c>
      <c r="B182" t="s">
        <v>364</v>
      </c>
      <c r="C182" t="s">
        <v>365</v>
      </c>
      <c r="D182" s="1">
        <v>9701</v>
      </c>
      <c r="E182" s="4" t="s">
        <v>11</v>
      </c>
      <c r="F182" s="44">
        <v>15704.58</v>
      </c>
      <c r="G182" s="31">
        <v>511173.97925390233</v>
      </c>
      <c r="I182" s="48">
        <v>48730</v>
      </c>
      <c r="J182" s="51">
        <v>9.2554788999999998E-2</v>
      </c>
    </row>
    <row r="183" spans="1:10" x14ac:dyDescent="0.25">
      <c r="A183">
        <v>181</v>
      </c>
      <c r="B183" t="s">
        <v>366</v>
      </c>
      <c r="C183" t="s">
        <v>367</v>
      </c>
      <c r="D183" s="1">
        <v>10610</v>
      </c>
      <c r="E183" s="4" t="s">
        <v>8</v>
      </c>
      <c r="F183" s="44">
        <v>20508.28</v>
      </c>
      <c r="G183" s="31">
        <v>1161462.8266862768</v>
      </c>
      <c r="I183" s="48">
        <v>48760</v>
      </c>
      <c r="J183" s="51">
        <v>9.2545343000000002E-2</v>
      </c>
    </row>
    <row r="184" spans="1:10" x14ac:dyDescent="0.25">
      <c r="A184">
        <v>182</v>
      </c>
      <c r="B184" t="s">
        <v>368</v>
      </c>
      <c r="C184" t="s">
        <v>369</v>
      </c>
      <c r="D184" s="1">
        <v>19129</v>
      </c>
      <c r="E184" s="4" t="s">
        <v>8</v>
      </c>
      <c r="F184" s="44">
        <v>15454.38</v>
      </c>
      <c r="G184" s="31">
        <v>2285632.5538195609</v>
      </c>
      <c r="I184" s="48">
        <v>48791</v>
      </c>
      <c r="J184" s="51">
        <v>9.2536349000000004E-2</v>
      </c>
    </row>
    <row r="185" spans="1:10" x14ac:dyDescent="0.25">
      <c r="A185">
        <v>183</v>
      </c>
      <c r="B185" t="s">
        <v>370</v>
      </c>
      <c r="C185" t="s">
        <v>371</v>
      </c>
      <c r="D185" s="1">
        <v>11871</v>
      </c>
      <c r="E185" s="4" t="s">
        <v>11</v>
      </c>
      <c r="F185" s="44">
        <v>21334.42</v>
      </c>
      <c r="G185" s="31">
        <v>1015629.0435285829</v>
      </c>
      <c r="I185" s="48">
        <v>48822</v>
      </c>
      <c r="J185" s="51">
        <v>9.2527454999999995E-2</v>
      </c>
    </row>
    <row r="186" spans="1:10" x14ac:dyDescent="0.25">
      <c r="A186">
        <v>184</v>
      </c>
      <c r="B186" t="s">
        <v>372</v>
      </c>
      <c r="C186" t="s">
        <v>373</v>
      </c>
      <c r="D186" s="1">
        <v>19306</v>
      </c>
      <c r="E186" s="4" t="s">
        <v>11</v>
      </c>
      <c r="F186" s="44">
        <v>19176.3</v>
      </c>
      <c r="G186" s="31">
        <v>2582761.7398731341</v>
      </c>
      <c r="I186" s="48">
        <v>48852</v>
      </c>
      <c r="J186" s="51">
        <v>9.2519329999999997E-2</v>
      </c>
    </row>
    <row r="187" spans="1:10" x14ac:dyDescent="0.25">
      <c r="A187">
        <v>185</v>
      </c>
      <c r="B187" t="s">
        <v>374</v>
      </c>
      <c r="C187" t="s">
        <v>375</v>
      </c>
      <c r="D187" s="1">
        <v>16099</v>
      </c>
      <c r="E187" s="4" t="s">
        <v>11</v>
      </c>
      <c r="F187" s="44">
        <v>15960.37</v>
      </c>
      <c r="G187" s="31">
        <v>1514416.2295351545</v>
      </c>
      <c r="I187" s="48">
        <v>48883</v>
      </c>
      <c r="J187" s="51">
        <v>9.2522568999999999E-2</v>
      </c>
    </row>
    <row r="188" spans="1:10" x14ac:dyDescent="0.25">
      <c r="A188">
        <v>186</v>
      </c>
      <c r="B188" t="s">
        <v>376</v>
      </c>
      <c r="C188" t="s">
        <v>377</v>
      </c>
      <c r="D188" s="1">
        <v>16663</v>
      </c>
      <c r="E188" s="4" t="s">
        <v>11</v>
      </c>
      <c r="F188" s="44">
        <v>21864.53</v>
      </c>
      <c r="G188" s="31">
        <v>2194407.4286642657</v>
      </c>
      <c r="I188" s="48">
        <v>48913</v>
      </c>
      <c r="J188" s="51">
        <v>9.2525670000000004E-2</v>
      </c>
    </row>
    <row r="189" spans="1:10" x14ac:dyDescent="0.25">
      <c r="A189">
        <v>187</v>
      </c>
      <c r="B189" t="s">
        <v>378</v>
      </c>
      <c r="C189" t="s">
        <v>379</v>
      </c>
      <c r="D189" s="1">
        <v>9656</v>
      </c>
      <c r="E189" s="4" t="s">
        <v>11</v>
      </c>
      <c r="F189" s="44">
        <v>20768.13</v>
      </c>
      <c r="G189" s="31">
        <v>808261.3017762464</v>
      </c>
      <c r="I189" s="48">
        <v>48944</v>
      </c>
      <c r="J189" s="51">
        <v>9.2529138999999996E-2</v>
      </c>
    </row>
    <row r="190" spans="1:10" x14ac:dyDescent="0.25">
      <c r="A190">
        <v>188</v>
      </c>
      <c r="B190" t="s">
        <v>380</v>
      </c>
      <c r="C190" t="s">
        <v>381</v>
      </c>
      <c r="D190" s="1">
        <v>19949</v>
      </c>
      <c r="E190" s="4" t="s">
        <v>8</v>
      </c>
      <c r="F190" s="44">
        <v>19628.810000000001</v>
      </c>
      <c r="G190" s="31">
        <v>3062858.1871757535</v>
      </c>
      <c r="I190" s="48">
        <v>48975</v>
      </c>
      <c r="J190" s="51">
        <v>9.2536891999999996E-2</v>
      </c>
    </row>
    <row r="191" spans="1:10" x14ac:dyDescent="0.25">
      <c r="A191">
        <v>189</v>
      </c>
      <c r="B191" t="s">
        <v>382</v>
      </c>
      <c r="C191" t="s">
        <v>383</v>
      </c>
      <c r="D191" s="1">
        <v>11252</v>
      </c>
      <c r="E191" s="4" t="s">
        <v>8</v>
      </c>
      <c r="F191" s="44">
        <v>17309.330000000002</v>
      </c>
      <c r="G191" s="31">
        <v>1046865.1557080313</v>
      </c>
      <c r="I191" s="48">
        <v>49003</v>
      </c>
      <c r="J191" s="51">
        <v>9.2543822999999997E-2</v>
      </c>
    </row>
    <row r="192" spans="1:10" x14ac:dyDescent="0.25">
      <c r="A192">
        <v>190</v>
      </c>
      <c r="B192" t="s">
        <v>384</v>
      </c>
      <c r="C192" t="s">
        <v>385</v>
      </c>
      <c r="D192" s="1">
        <v>17464</v>
      </c>
      <c r="E192" s="4" t="s">
        <v>8</v>
      </c>
      <c r="F192" s="44">
        <v>15883.95</v>
      </c>
      <c r="G192" s="31">
        <v>2029689.5291403178</v>
      </c>
      <c r="I192" s="48">
        <v>49034</v>
      </c>
      <c r="J192" s="51">
        <v>9.2552427000000007E-2</v>
      </c>
    </row>
    <row r="193" spans="1:10" x14ac:dyDescent="0.25">
      <c r="A193">
        <v>191</v>
      </c>
      <c r="B193" t="s">
        <v>386</v>
      </c>
      <c r="C193" t="s">
        <v>387</v>
      </c>
      <c r="D193" s="1">
        <v>7564</v>
      </c>
      <c r="E193" s="4" t="s">
        <v>8</v>
      </c>
      <c r="F193" s="44">
        <v>24501.61</v>
      </c>
      <c r="G193" s="31">
        <v>831199.21968337405</v>
      </c>
      <c r="I193" s="48">
        <v>49064</v>
      </c>
      <c r="J193" s="51">
        <v>9.2574762000000005E-2</v>
      </c>
    </row>
    <row r="194" spans="1:10" x14ac:dyDescent="0.25">
      <c r="A194">
        <v>192</v>
      </c>
      <c r="B194" t="s">
        <v>388</v>
      </c>
      <c r="C194" t="s">
        <v>389</v>
      </c>
      <c r="D194" s="1">
        <v>16720</v>
      </c>
      <c r="E194" s="4" t="s">
        <v>8</v>
      </c>
      <c r="F194" s="44">
        <v>24148.73</v>
      </c>
      <c r="G194" s="31">
        <v>2871504.2100061192</v>
      </c>
      <c r="I194" s="48">
        <v>49095</v>
      </c>
      <c r="J194" s="51">
        <v>9.2597599000000003E-2</v>
      </c>
    </row>
    <row r="195" spans="1:10" x14ac:dyDescent="0.25">
      <c r="A195">
        <v>193</v>
      </c>
      <c r="B195" t="s">
        <v>390</v>
      </c>
      <c r="C195" t="s">
        <v>391</v>
      </c>
      <c r="D195" s="1">
        <v>15335</v>
      </c>
      <c r="E195" s="4" t="s">
        <v>11</v>
      </c>
      <c r="F195" s="44">
        <v>21085.18</v>
      </c>
      <c r="G195" s="31">
        <v>1801762.8340994078</v>
      </c>
      <c r="I195" s="48">
        <v>49125</v>
      </c>
      <c r="J195" s="51">
        <v>9.2619714000000006E-2</v>
      </c>
    </row>
    <row r="196" spans="1:10" x14ac:dyDescent="0.25">
      <c r="A196">
        <v>194</v>
      </c>
      <c r="B196" t="s">
        <v>392</v>
      </c>
      <c r="C196" t="s">
        <v>393</v>
      </c>
      <c r="D196" s="1">
        <v>13790</v>
      </c>
      <c r="E196" s="4" t="s">
        <v>11</v>
      </c>
      <c r="F196" s="44">
        <v>19976.060000000001</v>
      </c>
      <c r="G196" s="31">
        <v>1344055.2786515097</v>
      </c>
      <c r="I196" s="48">
        <v>49156</v>
      </c>
      <c r="J196" s="51">
        <v>9.2649638000000006E-2</v>
      </c>
    </row>
    <row r="197" spans="1:10" x14ac:dyDescent="0.25">
      <c r="A197">
        <v>195</v>
      </c>
      <c r="B197" t="s">
        <v>394</v>
      </c>
      <c r="C197" t="s">
        <v>395</v>
      </c>
      <c r="D197" s="1">
        <v>7286</v>
      </c>
      <c r="E197" s="4" t="s">
        <v>11</v>
      </c>
      <c r="F197" s="44">
        <v>19857.29</v>
      </c>
      <c r="G197" s="31">
        <v>493286.53924811078</v>
      </c>
      <c r="I197" s="48">
        <v>49187</v>
      </c>
      <c r="J197" s="51">
        <v>9.2679249000000005E-2</v>
      </c>
    </row>
    <row r="198" spans="1:10" x14ac:dyDescent="0.25">
      <c r="A198">
        <v>196</v>
      </c>
      <c r="B198" t="s">
        <v>396</v>
      </c>
      <c r="C198" t="s">
        <v>397</v>
      </c>
      <c r="D198" s="1">
        <v>9752</v>
      </c>
      <c r="E198" s="4" t="s">
        <v>8</v>
      </c>
      <c r="F198" s="44">
        <v>18687.39</v>
      </c>
      <c r="G198" s="31">
        <v>891464.85785759671</v>
      </c>
      <c r="I198" s="48">
        <v>49217</v>
      </c>
      <c r="J198" s="51">
        <v>9.2708216999999996E-2</v>
      </c>
    </row>
    <row r="199" spans="1:10" x14ac:dyDescent="0.25">
      <c r="A199">
        <v>197</v>
      </c>
      <c r="B199" t="s">
        <v>398</v>
      </c>
      <c r="C199" t="s">
        <v>399</v>
      </c>
      <c r="D199" s="1">
        <v>14837</v>
      </c>
      <c r="E199" s="4" t="s">
        <v>8</v>
      </c>
      <c r="F199" s="44">
        <v>21909.17</v>
      </c>
      <c r="G199" s="31">
        <v>2110806.9031261988</v>
      </c>
      <c r="I199" s="48">
        <v>49248</v>
      </c>
      <c r="J199" s="51">
        <v>9.2755955000000001E-2</v>
      </c>
    </row>
    <row r="200" spans="1:10" x14ac:dyDescent="0.25">
      <c r="A200">
        <v>198</v>
      </c>
      <c r="B200" t="s">
        <v>400</v>
      </c>
      <c r="C200" t="s">
        <v>401</v>
      </c>
      <c r="D200" s="1">
        <v>6950</v>
      </c>
      <c r="E200" s="4" t="s">
        <v>11</v>
      </c>
      <c r="F200" s="44">
        <v>25388.65</v>
      </c>
      <c r="G200" s="31">
        <v>618776.42076866771</v>
      </c>
      <c r="I200" s="48">
        <v>49278</v>
      </c>
      <c r="J200" s="51">
        <v>9.2801681999999996E-2</v>
      </c>
    </row>
    <row r="201" spans="1:10" x14ac:dyDescent="0.25">
      <c r="A201">
        <v>199</v>
      </c>
      <c r="B201" t="s">
        <v>402</v>
      </c>
      <c r="C201" t="s">
        <v>403</v>
      </c>
      <c r="D201" s="1">
        <v>18679</v>
      </c>
      <c r="E201" s="4" t="s">
        <v>11</v>
      </c>
      <c r="F201" s="44">
        <v>18781.48</v>
      </c>
      <c r="G201" s="31">
        <v>2390722.0252316482</v>
      </c>
      <c r="I201" s="48">
        <v>49309</v>
      </c>
      <c r="J201" s="51">
        <v>9.2849135999999999E-2</v>
      </c>
    </row>
    <row r="202" spans="1:10" x14ac:dyDescent="0.25">
      <c r="A202">
        <v>200</v>
      </c>
      <c r="B202" t="s">
        <v>404</v>
      </c>
      <c r="C202" t="s">
        <v>405</v>
      </c>
      <c r="D202" s="1">
        <v>7965</v>
      </c>
      <c r="E202" s="4" t="s">
        <v>11</v>
      </c>
      <c r="F202" s="44">
        <v>18376.02</v>
      </c>
      <c r="G202" s="31">
        <v>480752.08272385859</v>
      </c>
      <c r="I202" s="48">
        <v>49340</v>
      </c>
      <c r="J202" s="51">
        <v>9.2905913000000007E-2</v>
      </c>
    </row>
    <row r="203" spans="1:10" x14ac:dyDescent="0.25">
      <c r="A203">
        <v>201</v>
      </c>
      <c r="B203" t="s">
        <v>406</v>
      </c>
      <c r="C203" t="s">
        <v>407</v>
      </c>
      <c r="D203" s="1">
        <v>19119</v>
      </c>
      <c r="E203" s="4" t="s">
        <v>11</v>
      </c>
      <c r="F203" s="44">
        <v>15634.61</v>
      </c>
      <c r="G203" s="31">
        <v>2081587.8943790372</v>
      </c>
      <c r="I203" s="48">
        <v>49368</v>
      </c>
      <c r="J203" s="51">
        <v>9.2956698000000004E-2</v>
      </c>
    </row>
    <row r="204" spans="1:10" x14ac:dyDescent="0.25">
      <c r="A204">
        <v>202</v>
      </c>
      <c r="B204" t="s">
        <v>408</v>
      </c>
      <c r="C204" t="s">
        <v>409</v>
      </c>
      <c r="D204" s="1">
        <v>20160</v>
      </c>
      <c r="E204" s="4" t="s">
        <v>11</v>
      </c>
      <c r="F204" s="44">
        <v>20400.88</v>
      </c>
      <c r="G204" s="31">
        <v>2971542.4166321978</v>
      </c>
      <c r="I204" s="48">
        <v>49399</v>
      </c>
      <c r="J204" s="51">
        <v>9.3013723000000006E-2</v>
      </c>
    </row>
    <row r="205" spans="1:10" x14ac:dyDescent="0.25">
      <c r="A205">
        <v>203</v>
      </c>
      <c r="B205" t="s">
        <v>410</v>
      </c>
      <c r="C205" t="s">
        <v>411</v>
      </c>
      <c r="D205" s="1">
        <v>20333</v>
      </c>
      <c r="E205" s="4" t="s">
        <v>8</v>
      </c>
      <c r="F205" s="44">
        <v>19100.23</v>
      </c>
      <c r="G205" s="31">
        <v>3061705.9278644687</v>
      </c>
      <c r="I205" s="48">
        <v>49429</v>
      </c>
      <c r="J205" s="51">
        <v>9.3087063999999997E-2</v>
      </c>
    </row>
    <row r="206" spans="1:10" x14ac:dyDescent="0.25">
      <c r="A206">
        <v>204</v>
      </c>
      <c r="B206" t="s">
        <v>412</v>
      </c>
      <c r="C206" t="s">
        <v>413</v>
      </c>
      <c r="D206" s="1">
        <v>13221</v>
      </c>
      <c r="E206" s="4" t="s">
        <v>11</v>
      </c>
      <c r="F206" s="44">
        <v>18325.14</v>
      </c>
      <c r="G206" s="31">
        <v>1172717.1574933068</v>
      </c>
      <c r="I206" s="48">
        <v>49460</v>
      </c>
      <c r="J206" s="51">
        <v>9.3162102999999996E-2</v>
      </c>
    </row>
    <row r="207" spans="1:10" x14ac:dyDescent="0.25">
      <c r="A207">
        <v>205</v>
      </c>
      <c r="B207" t="s">
        <v>414</v>
      </c>
      <c r="C207" t="s">
        <v>415</v>
      </c>
      <c r="D207" s="1">
        <v>18875</v>
      </c>
      <c r="E207" s="4" t="s">
        <v>8</v>
      </c>
      <c r="F207" s="44">
        <v>19545.12</v>
      </c>
      <c r="G207" s="31">
        <v>2814556.5926650614</v>
      </c>
      <c r="I207" s="48">
        <v>49490</v>
      </c>
      <c r="J207" s="51">
        <v>9.3234371999999996E-2</v>
      </c>
    </row>
    <row r="208" spans="1:10" x14ac:dyDescent="0.25">
      <c r="A208">
        <v>206</v>
      </c>
      <c r="B208" t="s">
        <v>416</v>
      </c>
      <c r="C208" t="s">
        <v>417</v>
      </c>
      <c r="D208" s="1">
        <v>11349</v>
      </c>
      <c r="E208" s="4" t="s">
        <v>8</v>
      </c>
      <c r="F208" s="44">
        <v>20290.2</v>
      </c>
      <c r="G208" s="31">
        <v>1276613.3608740591</v>
      </c>
      <c r="I208" s="48">
        <v>49521</v>
      </c>
      <c r="J208" s="51">
        <v>9.3319191999999995E-2</v>
      </c>
    </row>
    <row r="209" spans="1:10" x14ac:dyDescent="0.25">
      <c r="A209">
        <v>207</v>
      </c>
      <c r="B209" t="s">
        <v>418</v>
      </c>
      <c r="C209" t="s">
        <v>419</v>
      </c>
      <c r="D209" s="1">
        <v>11894</v>
      </c>
      <c r="E209" s="4" t="s">
        <v>8</v>
      </c>
      <c r="F209" s="44">
        <v>26345.57</v>
      </c>
      <c r="G209" s="31">
        <v>1708253.9161041386</v>
      </c>
      <c r="I209" s="48">
        <v>49552</v>
      </c>
      <c r="J209" s="51">
        <v>9.3403173000000006E-2</v>
      </c>
    </row>
    <row r="210" spans="1:10" x14ac:dyDescent="0.25">
      <c r="A210">
        <v>208</v>
      </c>
      <c r="B210" t="s">
        <v>420</v>
      </c>
      <c r="C210" t="s">
        <v>421</v>
      </c>
      <c r="D210" s="1">
        <v>18245</v>
      </c>
      <c r="E210" s="4" t="s">
        <v>11</v>
      </c>
      <c r="F210" s="44">
        <v>22413.02</v>
      </c>
      <c r="G210" s="31">
        <v>2721562.1823071153</v>
      </c>
      <c r="I210" s="48">
        <v>49582</v>
      </c>
      <c r="J210" s="51">
        <v>9.3484435000000005E-2</v>
      </c>
    </row>
    <row r="211" spans="1:10" x14ac:dyDescent="0.25">
      <c r="A211">
        <v>209</v>
      </c>
      <c r="B211" t="s">
        <v>422</v>
      </c>
      <c r="C211" t="s">
        <v>423</v>
      </c>
      <c r="D211" s="1">
        <v>12520</v>
      </c>
      <c r="E211" s="4" t="s">
        <v>11</v>
      </c>
      <c r="F211" s="44">
        <v>15339.11</v>
      </c>
      <c r="G211" s="31">
        <v>890914.2781859939</v>
      </c>
      <c r="I211" s="48">
        <v>49613</v>
      </c>
      <c r="J211" s="51">
        <v>9.3590787999999994E-2</v>
      </c>
    </row>
    <row r="212" spans="1:10" x14ac:dyDescent="0.25">
      <c r="A212">
        <v>210</v>
      </c>
      <c r="B212" t="s">
        <v>160</v>
      </c>
      <c r="C212" t="s">
        <v>424</v>
      </c>
      <c r="D212" s="1">
        <v>12003</v>
      </c>
      <c r="E212" s="4" t="s">
        <v>8</v>
      </c>
      <c r="F212" s="44">
        <v>17149.89</v>
      </c>
      <c r="G212" s="31">
        <v>1159903.2940674387</v>
      </c>
      <c r="I212" s="48">
        <v>49643</v>
      </c>
      <c r="J212" s="51">
        <v>9.3692722000000006E-2</v>
      </c>
    </row>
    <row r="213" spans="1:10" x14ac:dyDescent="0.25">
      <c r="A213">
        <v>211</v>
      </c>
      <c r="B213" t="s">
        <v>425</v>
      </c>
      <c r="C213" t="s">
        <v>426</v>
      </c>
      <c r="D213" s="1">
        <v>21284</v>
      </c>
      <c r="E213" s="4" t="s">
        <v>11</v>
      </c>
      <c r="F213" s="44">
        <v>21964.92</v>
      </c>
      <c r="G213" s="31">
        <v>3490325.3171658274</v>
      </c>
      <c r="I213" s="48">
        <v>49674</v>
      </c>
      <c r="J213" s="51">
        <v>9.3797758999999994E-2</v>
      </c>
    </row>
    <row r="214" spans="1:10" x14ac:dyDescent="0.25">
      <c r="A214">
        <v>212</v>
      </c>
      <c r="B214" t="s">
        <v>427</v>
      </c>
      <c r="C214" t="s">
        <v>428</v>
      </c>
      <c r="D214" s="1">
        <v>18197</v>
      </c>
      <c r="E214" s="4" t="s">
        <v>11</v>
      </c>
      <c r="F214" s="44">
        <v>19451.810000000001</v>
      </c>
      <c r="G214" s="31">
        <v>2344502.2349658194</v>
      </c>
      <c r="I214" s="48">
        <v>49705</v>
      </c>
      <c r="J214" s="51">
        <v>9.3912010000000004E-2</v>
      </c>
    </row>
    <row r="215" spans="1:10" x14ac:dyDescent="0.25">
      <c r="A215">
        <v>213</v>
      </c>
      <c r="B215" t="s">
        <v>429</v>
      </c>
      <c r="C215" t="s">
        <v>430</v>
      </c>
      <c r="D215" s="1">
        <v>8723</v>
      </c>
      <c r="E215" s="4" t="s">
        <v>8</v>
      </c>
      <c r="F215" s="44">
        <v>22670.65</v>
      </c>
      <c r="G215" s="31">
        <v>952527.44119809626</v>
      </c>
      <c r="I215" s="48">
        <v>49734</v>
      </c>
      <c r="J215" s="51">
        <v>9.4017897000000003E-2</v>
      </c>
    </row>
    <row r="216" spans="1:10" x14ac:dyDescent="0.25">
      <c r="A216">
        <v>214</v>
      </c>
      <c r="B216" t="s">
        <v>431</v>
      </c>
      <c r="C216" t="s">
        <v>432</v>
      </c>
      <c r="D216" s="1">
        <v>9996</v>
      </c>
      <c r="E216" s="4" t="s">
        <v>8</v>
      </c>
      <c r="F216" s="44">
        <v>18883.53</v>
      </c>
      <c r="G216" s="31">
        <v>1018347.0382769151</v>
      </c>
      <c r="I216" s="48">
        <v>49765</v>
      </c>
      <c r="J216" s="51">
        <v>9.4131610000000004E-2</v>
      </c>
    </row>
    <row r="217" spans="1:10" x14ac:dyDescent="0.25">
      <c r="A217">
        <v>215</v>
      </c>
      <c r="B217" t="s">
        <v>433</v>
      </c>
      <c r="C217" t="s">
        <v>434</v>
      </c>
      <c r="D217" s="1">
        <v>7665</v>
      </c>
      <c r="E217" s="4" t="s">
        <v>8</v>
      </c>
      <c r="F217" s="44">
        <v>22652.66</v>
      </c>
      <c r="G217" s="31">
        <v>830047.3914356844</v>
      </c>
      <c r="I217" s="48">
        <v>49795</v>
      </c>
      <c r="J217" s="51">
        <v>9.4262566000000006E-2</v>
      </c>
    </row>
    <row r="218" spans="1:10" x14ac:dyDescent="0.25">
      <c r="A218">
        <v>216</v>
      </c>
      <c r="B218" t="s">
        <v>435</v>
      </c>
      <c r="C218" t="s">
        <v>436</v>
      </c>
      <c r="D218" s="1">
        <v>19556</v>
      </c>
      <c r="E218" s="4" t="s">
        <v>8</v>
      </c>
      <c r="F218" s="44">
        <v>23927.279999999999</v>
      </c>
      <c r="G218" s="31">
        <v>3626482.922621469</v>
      </c>
      <c r="I218" s="48">
        <v>49826</v>
      </c>
      <c r="J218" s="51">
        <v>9.4396625999999997E-2</v>
      </c>
    </row>
    <row r="219" spans="1:10" x14ac:dyDescent="0.25">
      <c r="A219">
        <v>217</v>
      </c>
      <c r="B219" t="s">
        <v>437</v>
      </c>
      <c r="C219" t="s">
        <v>438</v>
      </c>
      <c r="D219" s="1">
        <v>13315</v>
      </c>
      <c r="E219" s="4" t="s">
        <v>11</v>
      </c>
      <c r="F219" s="44">
        <v>25150.12</v>
      </c>
      <c r="G219" s="31">
        <v>1665443.00035147</v>
      </c>
      <c r="I219" s="48">
        <v>49856</v>
      </c>
      <c r="J219" s="51">
        <v>9.4525274000000006E-2</v>
      </c>
    </row>
    <row r="220" spans="1:10" x14ac:dyDescent="0.25">
      <c r="A220">
        <v>218</v>
      </c>
      <c r="B220" t="s">
        <v>439</v>
      </c>
      <c r="C220" t="s">
        <v>440</v>
      </c>
      <c r="D220" s="1">
        <v>21339</v>
      </c>
      <c r="E220" s="4" t="s">
        <v>11</v>
      </c>
      <c r="F220" s="44">
        <v>28148</v>
      </c>
      <c r="G220" s="31">
        <v>4493872.8281272538</v>
      </c>
      <c r="I220" s="48">
        <v>49887</v>
      </c>
      <c r="J220" s="51">
        <v>9.4660428000000005E-2</v>
      </c>
    </row>
    <row r="221" spans="1:10" x14ac:dyDescent="0.25">
      <c r="A221">
        <v>219</v>
      </c>
      <c r="B221" t="s">
        <v>441</v>
      </c>
      <c r="C221" t="s">
        <v>442</v>
      </c>
      <c r="D221" s="1">
        <v>12868</v>
      </c>
      <c r="E221" s="4" t="s">
        <v>11</v>
      </c>
      <c r="F221" s="44">
        <v>17576.919999999998</v>
      </c>
      <c r="G221" s="31">
        <v>1070278.7083714514</v>
      </c>
      <c r="I221" s="48">
        <v>49918</v>
      </c>
      <c r="J221" s="51">
        <v>9.4794319000000002E-2</v>
      </c>
    </row>
    <row r="222" spans="1:10" x14ac:dyDescent="0.25">
      <c r="A222">
        <v>220</v>
      </c>
      <c r="B222" t="s">
        <v>443</v>
      </c>
      <c r="C222" t="s">
        <v>444</v>
      </c>
      <c r="D222" s="1">
        <v>15753</v>
      </c>
      <c r="E222" s="4" t="s">
        <v>8</v>
      </c>
      <c r="F222" s="44">
        <v>20652.05</v>
      </c>
      <c r="G222" s="31">
        <v>2243127.2473600111</v>
      </c>
      <c r="I222" s="48">
        <v>49948</v>
      </c>
      <c r="J222" s="51">
        <v>9.4922699999999999E-2</v>
      </c>
    </row>
    <row r="223" spans="1:10" x14ac:dyDescent="0.25">
      <c r="A223">
        <v>221</v>
      </c>
      <c r="B223" t="s">
        <v>445</v>
      </c>
      <c r="C223" t="s">
        <v>446</v>
      </c>
      <c r="D223" s="1">
        <v>7670</v>
      </c>
      <c r="E223" s="4" t="s">
        <v>8</v>
      </c>
      <c r="F223" s="44">
        <v>16593.97</v>
      </c>
      <c r="G223" s="31">
        <v>609983.54489602835</v>
      </c>
      <c r="I223" s="48">
        <v>49979</v>
      </c>
      <c r="J223" s="51">
        <v>9.5054006999999996E-2</v>
      </c>
    </row>
    <row r="224" spans="1:10" x14ac:dyDescent="0.25">
      <c r="A224">
        <v>222</v>
      </c>
      <c r="B224" t="s">
        <v>447</v>
      </c>
      <c r="C224" t="s">
        <v>448</v>
      </c>
      <c r="D224" s="1">
        <v>11797</v>
      </c>
      <c r="E224" s="4" t="s">
        <v>8</v>
      </c>
      <c r="F224" s="44">
        <v>21022.400000000001</v>
      </c>
      <c r="G224" s="31">
        <v>1432370.5451443796</v>
      </c>
      <c r="I224" s="48">
        <v>50009</v>
      </c>
      <c r="J224" s="51">
        <v>9.5179926999999998E-2</v>
      </c>
    </row>
    <row r="225" spans="1:10" x14ac:dyDescent="0.25">
      <c r="A225">
        <v>223</v>
      </c>
      <c r="B225" t="s">
        <v>449</v>
      </c>
      <c r="C225" t="s">
        <v>450</v>
      </c>
      <c r="D225" s="1">
        <v>10469</v>
      </c>
      <c r="E225" s="4" t="s">
        <v>8</v>
      </c>
      <c r="F225" s="44">
        <v>22912.57</v>
      </c>
      <c r="G225" s="31">
        <v>1212686.8834520646</v>
      </c>
      <c r="I225" s="48">
        <v>50040</v>
      </c>
      <c r="J225" s="51">
        <v>9.5307476000000002E-2</v>
      </c>
    </row>
    <row r="226" spans="1:10" x14ac:dyDescent="0.25">
      <c r="A226">
        <v>224</v>
      </c>
      <c r="B226" t="s">
        <v>451</v>
      </c>
      <c r="C226" t="s">
        <v>452</v>
      </c>
      <c r="D226" s="1">
        <v>6886</v>
      </c>
      <c r="E226" s="4" t="s">
        <v>11</v>
      </c>
      <c r="F226" s="44">
        <v>21270.35</v>
      </c>
      <c r="G226" s="31">
        <v>483514.80134086614</v>
      </c>
      <c r="I226" s="48">
        <v>50071</v>
      </c>
      <c r="J226" s="51">
        <v>9.5413753000000004E-2</v>
      </c>
    </row>
    <row r="227" spans="1:10" x14ac:dyDescent="0.25">
      <c r="A227">
        <v>225</v>
      </c>
      <c r="B227" t="s">
        <v>453</v>
      </c>
      <c r="C227" t="s">
        <v>454</v>
      </c>
      <c r="D227" s="1">
        <v>17714</v>
      </c>
      <c r="E227" s="4" t="s">
        <v>8</v>
      </c>
      <c r="F227" s="44">
        <v>15602.02</v>
      </c>
      <c r="G227" s="31">
        <v>2060831.9826380652</v>
      </c>
      <c r="I227" s="48">
        <v>50099</v>
      </c>
      <c r="J227" s="51">
        <v>9.5508914E-2</v>
      </c>
    </row>
    <row r="228" spans="1:10" x14ac:dyDescent="0.25">
      <c r="A228">
        <v>226</v>
      </c>
      <c r="B228" t="s">
        <v>455</v>
      </c>
      <c r="C228" t="s">
        <v>456</v>
      </c>
      <c r="D228" s="1">
        <v>21327</v>
      </c>
      <c r="E228" s="4" t="s">
        <v>11</v>
      </c>
      <c r="F228" s="44">
        <v>16722.46</v>
      </c>
      <c r="G228" s="31">
        <v>2667042.6955008279</v>
      </c>
      <c r="I228" s="48">
        <v>50130</v>
      </c>
      <c r="J228" s="51">
        <v>9.5612615999999997E-2</v>
      </c>
    </row>
    <row r="229" spans="1:10" x14ac:dyDescent="0.25">
      <c r="A229">
        <v>227</v>
      </c>
      <c r="B229" t="s">
        <v>457</v>
      </c>
      <c r="C229" t="s">
        <v>458</v>
      </c>
      <c r="D229" s="1">
        <v>8972</v>
      </c>
      <c r="E229" s="4" t="s">
        <v>8</v>
      </c>
      <c r="F229" s="44">
        <v>16676.13</v>
      </c>
      <c r="G229" s="31">
        <v>686081.36069662601</v>
      </c>
      <c r="I229" s="48">
        <v>50160</v>
      </c>
      <c r="J229" s="51">
        <v>9.5701631999999995E-2</v>
      </c>
    </row>
    <row r="230" spans="1:10" x14ac:dyDescent="0.25">
      <c r="A230">
        <v>228</v>
      </c>
      <c r="B230" t="s">
        <v>459</v>
      </c>
      <c r="C230" t="s">
        <v>460</v>
      </c>
      <c r="D230" s="1">
        <v>17001</v>
      </c>
      <c r="E230" s="4" t="s">
        <v>11</v>
      </c>
      <c r="F230" s="44">
        <v>20182.93</v>
      </c>
      <c r="G230" s="31">
        <v>2108114.6710094032</v>
      </c>
      <c r="I230" s="48">
        <v>50191</v>
      </c>
      <c r="J230" s="51">
        <v>9.5792802999999996E-2</v>
      </c>
    </row>
    <row r="231" spans="1:10" x14ac:dyDescent="0.25">
      <c r="A231">
        <v>229</v>
      </c>
      <c r="B231" t="s">
        <v>461</v>
      </c>
      <c r="C231" t="s">
        <v>462</v>
      </c>
      <c r="D231" s="1">
        <v>20954</v>
      </c>
      <c r="E231" s="4" t="s">
        <v>11</v>
      </c>
      <c r="F231" s="44">
        <v>17235.580000000002</v>
      </c>
      <c r="G231" s="31">
        <v>2675112.1339404751</v>
      </c>
      <c r="I231" s="48">
        <v>50221</v>
      </c>
      <c r="J231" s="51">
        <v>9.5879698999999999E-2</v>
      </c>
    </row>
    <row r="232" spans="1:10" x14ac:dyDescent="0.25">
      <c r="A232">
        <v>230</v>
      </c>
      <c r="B232" t="s">
        <v>463</v>
      </c>
      <c r="C232" t="s">
        <v>464</v>
      </c>
      <c r="D232" s="1">
        <v>14130</v>
      </c>
      <c r="E232" s="4" t="s">
        <v>8</v>
      </c>
      <c r="F232" s="44">
        <v>16364.73</v>
      </c>
      <c r="G232" s="31">
        <v>1450378.280008042</v>
      </c>
      <c r="I232" s="48">
        <v>50252</v>
      </c>
      <c r="J232" s="51">
        <v>9.5952046999999999E-2</v>
      </c>
    </row>
    <row r="233" spans="1:10" x14ac:dyDescent="0.25">
      <c r="A233">
        <v>231</v>
      </c>
      <c r="B233" t="s">
        <v>465</v>
      </c>
      <c r="C233" t="s">
        <v>466</v>
      </c>
      <c r="D233" s="1">
        <v>19441</v>
      </c>
      <c r="E233" s="4" t="s">
        <v>11</v>
      </c>
      <c r="F233" s="44">
        <v>22335.14</v>
      </c>
      <c r="G233" s="31">
        <v>3058380.8808430852</v>
      </c>
      <c r="I233" s="48">
        <v>50283</v>
      </c>
      <c r="J233" s="51">
        <v>9.6023754000000003E-2</v>
      </c>
    </row>
    <row r="234" spans="1:10" x14ac:dyDescent="0.25">
      <c r="A234">
        <v>232</v>
      </c>
      <c r="B234" t="s">
        <v>467</v>
      </c>
      <c r="C234" t="s">
        <v>468</v>
      </c>
      <c r="D234" s="1">
        <v>15397</v>
      </c>
      <c r="E234" s="4" t="s">
        <v>8</v>
      </c>
      <c r="F234" s="44">
        <v>22514.65</v>
      </c>
      <c r="G234" s="31">
        <v>2355619.780011029</v>
      </c>
      <c r="I234" s="48">
        <v>50313</v>
      </c>
      <c r="J234" s="51">
        <v>9.6092324000000007E-2</v>
      </c>
    </row>
    <row r="235" spans="1:10" x14ac:dyDescent="0.25">
      <c r="A235">
        <v>233</v>
      </c>
      <c r="B235" t="s">
        <v>469</v>
      </c>
      <c r="C235" t="s">
        <v>470</v>
      </c>
      <c r="D235" s="1">
        <v>20725</v>
      </c>
      <c r="E235" s="4" t="s">
        <v>11</v>
      </c>
      <c r="F235" s="44">
        <v>17296.63</v>
      </c>
      <c r="G235" s="31">
        <v>2627636.5956417141</v>
      </c>
      <c r="I235" s="48">
        <v>50344</v>
      </c>
      <c r="J235" s="51">
        <v>9.6155931E-2</v>
      </c>
    </row>
    <row r="236" spans="1:10" x14ac:dyDescent="0.25">
      <c r="A236">
        <v>234</v>
      </c>
      <c r="B236" t="s">
        <v>471</v>
      </c>
      <c r="C236" t="s">
        <v>472</v>
      </c>
      <c r="D236" s="1">
        <v>20328</v>
      </c>
      <c r="E236" s="4" t="s">
        <v>11</v>
      </c>
      <c r="F236" s="44">
        <v>16662.509999999998</v>
      </c>
      <c r="G236" s="31">
        <v>2450215.0746672596</v>
      </c>
      <c r="I236" s="48">
        <v>50374</v>
      </c>
      <c r="J236" s="51">
        <v>9.6216958000000005E-2</v>
      </c>
    </row>
    <row r="237" spans="1:10" x14ac:dyDescent="0.25">
      <c r="A237">
        <v>235</v>
      </c>
      <c r="B237" t="s">
        <v>473</v>
      </c>
      <c r="C237" t="s">
        <v>474</v>
      </c>
      <c r="D237" s="1">
        <v>15013</v>
      </c>
      <c r="E237" s="4" t="s">
        <v>8</v>
      </c>
      <c r="F237" s="44">
        <v>21967.18</v>
      </c>
      <c r="G237" s="31">
        <v>2199309.6511521451</v>
      </c>
      <c r="I237" s="48">
        <v>50405</v>
      </c>
      <c r="J237" s="51">
        <v>9.6278548000000005E-2</v>
      </c>
    </row>
    <row r="238" spans="1:10" x14ac:dyDescent="0.25">
      <c r="A238">
        <v>236</v>
      </c>
      <c r="B238" t="s">
        <v>475</v>
      </c>
      <c r="C238" t="s">
        <v>476</v>
      </c>
      <c r="D238" s="1">
        <v>16835</v>
      </c>
      <c r="E238" s="4" t="s">
        <v>8</v>
      </c>
      <c r="F238" s="44">
        <v>21653.39</v>
      </c>
      <c r="G238" s="31">
        <v>2621326.3076555636</v>
      </c>
      <c r="I238" s="48">
        <v>50436</v>
      </c>
      <c r="J238" s="51">
        <v>9.6326176999999999E-2</v>
      </c>
    </row>
    <row r="239" spans="1:10" x14ac:dyDescent="0.25">
      <c r="A239">
        <v>237</v>
      </c>
      <c r="B239" t="s">
        <v>477</v>
      </c>
      <c r="C239" t="s">
        <v>478</v>
      </c>
      <c r="D239" s="1">
        <v>7229</v>
      </c>
      <c r="E239" s="4" t="s">
        <v>11</v>
      </c>
      <c r="F239" s="44">
        <v>23215.52</v>
      </c>
      <c r="G239" s="31">
        <v>540778.64758030337</v>
      </c>
      <c r="I239" s="48">
        <v>50464</v>
      </c>
      <c r="J239" s="51">
        <v>9.6368843999999995E-2</v>
      </c>
    </row>
    <row r="240" spans="1:10" x14ac:dyDescent="0.25">
      <c r="A240">
        <v>238</v>
      </c>
      <c r="B240" t="s">
        <v>479</v>
      </c>
      <c r="C240" t="s">
        <v>480</v>
      </c>
      <c r="D240" s="1">
        <v>9181</v>
      </c>
      <c r="E240" s="4" t="s">
        <v>8</v>
      </c>
      <c r="F240" s="44">
        <v>27034.97</v>
      </c>
      <c r="G240" s="31">
        <v>1264737.5286151886</v>
      </c>
      <c r="I240" s="48">
        <v>50495</v>
      </c>
      <c r="J240" s="51">
        <v>9.6415332000000006E-2</v>
      </c>
    </row>
    <row r="241" spans="1:10" x14ac:dyDescent="0.25">
      <c r="A241">
        <v>239</v>
      </c>
      <c r="B241" t="s">
        <v>481</v>
      </c>
      <c r="C241" t="s">
        <v>482</v>
      </c>
      <c r="D241" s="1">
        <v>7948</v>
      </c>
      <c r="E241" s="4" t="s">
        <v>11</v>
      </c>
      <c r="F241" s="44">
        <v>17517.63</v>
      </c>
      <c r="G241" s="31">
        <v>451743.47002291353</v>
      </c>
      <c r="I241" s="48">
        <v>50525</v>
      </c>
      <c r="J241" s="51">
        <v>9.6454869999999998E-2</v>
      </c>
    </row>
    <row r="242" spans="1:10" x14ac:dyDescent="0.25">
      <c r="A242">
        <v>240</v>
      </c>
      <c r="B242" t="s">
        <v>483</v>
      </c>
      <c r="C242" t="s">
        <v>484</v>
      </c>
      <c r="D242" s="1">
        <v>8736</v>
      </c>
      <c r="E242" s="4" t="s">
        <v>11</v>
      </c>
      <c r="F242" s="44">
        <v>25118.74</v>
      </c>
      <c r="G242" s="31">
        <v>767528.54637415532</v>
      </c>
      <c r="I242" s="48">
        <v>50556</v>
      </c>
      <c r="J242" s="51">
        <v>9.6495383000000004E-2</v>
      </c>
    </row>
    <row r="243" spans="1:10" x14ac:dyDescent="0.25">
      <c r="A243">
        <v>241</v>
      </c>
      <c r="B243" t="s">
        <v>485</v>
      </c>
      <c r="C243" t="s">
        <v>486</v>
      </c>
      <c r="D243" s="1">
        <v>9031</v>
      </c>
      <c r="E243" s="4" t="s">
        <v>11</v>
      </c>
      <c r="F243" s="44">
        <v>21682.54</v>
      </c>
      <c r="G243" s="31">
        <v>657370.24939088069</v>
      </c>
      <c r="I243" s="48">
        <v>50586</v>
      </c>
      <c r="J243" s="51">
        <v>9.6533905000000003E-2</v>
      </c>
    </row>
    <row r="244" spans="1:10" x14ac:dyDescent="0.25">
      <c r="A244">
        <v>242</v>
      </c>
      <c r="B244" t="s">
        <v>487</v>
      </c>
      <c r="C244" t="s">
        <v>488</v>
      </c>
      <c r="D244" s="1">
        <v>10981</v>
      </c>
      <c r="E244" s="4" t="s">
        <v>11</v>
      </c>
      <c r="F244" s="44">
        <v>14754.88</v>
      </c>
      <c r="G244" s="31">
        <v>659017.01911263133</v>
      </c>
      <c r="I244" s="48">
        <v>50617</v>
      </c>
      <c r="J244" s="51">
        <v>9.6562734999999997E-2</v>
      </c>
    </row>
    <row r="245" spans="1:10" x14ac:dyDescent="0.25">
      <c r="A245">
        <v>243</v>
      </c>
      <c r="B245" t="s">
        <v>489</v>
      </c>
      <c r="C245" t="s">
        <v>490</v>
      </c>
      <c r="D245" s="1">
        <v>7178</v>
      </c>
      <c r="E245" s="4" t="s">
        <v>11</v>
      </c>
      <c r="F245" s="44">
        <v>23945.439999999999</v>
      </c>
      <c r="G245" s="31">
        <v>521165.39882115426</v>
      </c>
      <c r="I245" s="48">
        <v>50648</v>
      </c>
      <c r="J245" s="51">
        <v>9.6591324000000006E-2</v>
      </c>
    </row>
    <row r="246" spans="1:10" x14ac:dyDescent="0.25">
      <c r="A246">
        <v>244</v>
      </c>
      <c r="B246" t="s">
        <v>491</v>
      </c>
      <c r="C246" t="s">
        <v>492</v>
      </c>
      <c r="D246" s="1">
        <v>19484</v>
      </c>
      <c r="E246" s="4" t="s">
        <v>11</v>
      </c>
      <c r="F246" s="44">
        <v>20523.39</v>
      </c>
      <c r="G246" s="31">
        <v>2824760.7511136751</v>
      </c>
      <c r="I246" s="48">
        <v>50678</v>
      </c>
      <c r="J246" s="51">
        <v>9.6618626999999999E-2</v>
      </c>
    </row>
    <row r="247" spans="1:10" x14ac:dyDescent="0.25">
      <c r="A247">
        <v>245</v>
      </c>
      <c r="B247" t="s">
        <v>493</v>
      </c>
      <c r="C247" t="s">
        <v>494</v>
      </c>
      <c r="D247" s="1">
        <v>14718</v>
      </c>
      <c r="E247" s="4" t="s">
        <v>8</v>
      </c>
      <c r="F247" s="44">
        <v>18749.87</v>
      </c>
      <c r="G247" s="31">
        <v>1828501.2946442503</v>
      </c>
      <c r="I247" s="48">
        <v>50709</v>
      </c>
      <c r="J247" s="51">
        <v>9.6642597999999996E-2</v>
      </c>
    </row>
    <row r="248" spans="1:10" x14ac:dyDescent="0.25">
      <c r="A248">
        <v>246</v>
      </c>
      <c r="B248" t="s">
        <v>495</v>
      </c>
      <c r="C248" t="s">
        <v>496</v>
      </c>
      <c r="D248" s="1">
        <v>20088</v>
      </c>
      <c r="E248" s="4" t="s">
        <v>8</v>
      </c>
      <c r="F248" s="44">
        <v>16034.7</v>
      </c>
      <c r="G248" s="31">
        <v>2533226.6533055943</v>
      </c>
      <c r="I248" s="48">
        <v>50739</v>
      </c>
      <c r="J248" s="51">
        <v>9.6665606000000001E-2</v>
      </c>
    </row>
    <row r="249" spans="1:10" x14ac:dyDescent="0.25">
      <c r="A249">
        <v>247</v>
      </c>
      <c r="B249" t="s">
        <v>497</v>
      </c>
      <c r="C249" t="s">
        <v>498</v>
      </c>
      <c r="D249" s="1">
        <v>19444</v>
      </c>
      <c r="E249" s="4" t="s">
        <v>11</v>
      </c>
      <c r="F249" s="44">
        <v>21246.04</v>
      </c>
      <c r="G249" s="31">
        <v>2910292.37119271</v>
      </c>
      <c r="I249" s="48">
        <v>50770</v>
      </c>
      <c r="J249" s="51">
        <v>9.6688618000000004E-2</v>
      </c>
    </row>
    <row r="250" spans="1:10" x14ac:dyDescent="0.25">
      <c r="A250">
        <v>248</v>
      </c>
      <c r="B250" t="s">
        <v>499</v>
      </c>
      <c r="C250" t="s">
        <v>500</v>
      </c>
      <c r="D250" s="1">
        <v>7207</v>
      </c>
      <c r="E250" s="4" t="s">
        <v>8</v>
      </c>
      <c r="F250" s="44">
        <v>19529.95</v>
      </c>
      <c r="G250" s="31">
        <v>629375.39743820357</v>
      </c>
      <c r="I250" s="48">
        <v>50801</v>
      </c>
      <c r="J250" s="51">
        <v>9.6703233E-2</v>
      </c>
    </row>
    <row r="251" spans="1:10" x14ac:dyDescent="0.25">
      <c r="A251">
        <v>249</v>
      </c>
      <c r="B251" t="s">
        <v>501</v>
      </c>
      <c r="C251" t="s">
        <v>502</v>
      </c>
      <c r="D251" s="1">
        <v>8525</v>
      </c>
      <c r="E251" s="4" t="s">
        <v>8</v>
      </c>
      <c r="F251" s="44">
        <v>19822.580000000002</v>
      </c>
      <c r="G251" s="31">
        <v>873052.36681725143</v>
      </c>
      <c r="I251" s="48">
        <v>50829</v>
      </c>
      <c r="J251" s="51">
        <v>9.6716331000000003E-2</v>
      </c>
    </row>
    <row r="252" spans="1:10" x14ac:dyDescent="0.25">
      <c r="A252">
        <v>250</v>
      </c>
      <c r="B252" t="s">
        <v>503</v>
      </c>
      <c r="C252" t="s">
        <v>504</v>
      </c>
      <c r="D252" s="1">
        <v>20301</v>
      </c>
      <c r="E252" s="4" t="s">
        <v>8</v>
      </c>
      <c r="F252" s="44">
        <v>24080.29</v>
      </c>
      <c r="G252" s="31">
        <v>3849336.5838104566</v>
      </c>
      <c r="I252" s="48">
        <v>50860</v>
      </c>
      <c r="J252" s="51">
        <v>9.6730518000000001E-2</v>
      </c>
    </row>
    <row r="253" spans="1:10" x14ac:dyDescent="0.25">
      <c r="A253">
        <v>251</v>
      </c>
      <c r="B253" t="s">
        <v>505</v>
      </c>
      <c r="C253" t="s">
        <v>506</v>
      </c>
      <c r="D253" s="1">
        <v>16377</v>
      </c>
      <c r="E253" s="4" t="s">
        <v>8</v>
      </c>
      <c r="F253" s="44">
        <v>21881.65</v>
      </c>
      <c r="G253" s="31">
        <v>2517014.1919373581</v>
      </c>
      <c r="I253" s="48">
        <v>50890</v>
      </c>
      <c r="J253" s="51">
        <v>9.6741334999999998E-2</v>
      </c>
    </row>
    <row r="254" spans="1:10" x14ac:dyDescent="0.25">
      <c r="A254">
        <v>252</v>
      </c>
      <c r="B254" t="s">
        <v>507</v>
      </c>
      <c r="C254" t="s">
        <v>508</v>
      </c>
      <c r="D254" s="1">
        <v>14780</v>
      </c>
      <c r="E254" s="4" t="s">
        <v>8</v>
      </c>
      <c r="F254" s="44">
        <v>21043.73</v>
      </c>
      <c r="G254" s="31">
        <v>2079242.8951774808</v>
      </c>
      <c r="I254" s="48">
        <v>50921</v>
      </c>
      <c r="J254" s="51">
        <v>9.6752424000000004E-2</v>
      </c>
    </row>
    <row r="255" spans="1:10" x14ac:dyDescent="0.25">
      <c r="A255">
        <v>253</v>
      </c>
      <c r="B255" t="s">
        <v>509</v>
      </c>
      <c r="C255" t="s">
        <v>510</v>
      </c>
      <c r="D255" s="1">
        <v>19571</v>
      </c>
      <c r="E255" s="4" t="s">
        <v>8</v>
      </c>
      <c r="F255" s="44">
        <v>19820.37</v>
      </c>
      <c r="G255" s="31">
        <v>3008328.3008791371</v>
      </c>
      <c r="I255" s="48">
        <v>50951</v>
      </c>
      <c r="J255" s="51">
        <v>9.6762843000000001E-2</v>
      </c>
    </row>
    <row r="256" spans="1:10" x14ac:dyDescent="0.25">
      <c r="A256">
        <v>254</v>
      </c>
      <c r="B256" t="s">
        <v>511</v>
      </c>
      <c r="C256" t="s">
        <v>512</v>
      </c>
      <c r="D256" s="1">
        <v>7711</v>
      </c>
      <c r="E256" s="4" t="s">
        <v>8</v>
      </c>
      <c r="F256" s="44">
        <v>23035.11</v>
      </c>
      <c r="G256" s="31">
        <v>872425.61456139421</v>
      </c>
      <c r="I256" s="48">
        <v>50982</v>
      </c>
      <c r="J256" s="51">
        <v>9.6766767000000004E-2</v>
      </c>
    </row>
    <row r="257" spans="1:10" x14ac:dyDescent="0.25">
      <c r="A257">
        <v>255</v>
      </c>
      <c r="B257" t="s">
        <v>513</v>
      </c>
      <c r="C257" t="s">
        <v>514</v>
      </c>
      <c r="D257" s="1">
        <v>19501</v>
      </c>
      <c r="E257" s="4" t="s">
        <v>8</v>
      </c>
      <c r="F257" s="44">
        <v>19171.93</v>
      </c>
      <c r="G257" s="31">
        <v>2914803.6158473282</v>
      </c>
      <c r="I257" s="48">
        <v>51013</v>
      </c>
      <c r="J257" s="51">
        <v>9.6770659999999994E-2</v>
      </c>
    </row>
    <row r="258" spans="1:10" x14ac:dyDescent="0.25">
      <c r="A258">
        <v>256</v>
      </c>
      <c r="B258" t="s">
        <v>515</v>
      </c>
      <c r="C258" t="s">
        <v>516</v>
      </c>
      <c r="D258" s="1">
        <v>9826</v>
      </c>
      <c r="E258" s="4" t="s">
        <v>8</v>
      </c>
      <c r="F258" s="44">
        <v>19289.59</v>
      </c>
      <c r="G258" s="31">
        <v>957676.69559680449</v>
      </c>
      <c r="I258" s="48">
        <v>51043</v>
      </c>
      <c r="J258" s="51">
        <v>9.6774330000000006E-2</v>
      </c>
    </row>
    <row r="259" spans="1:10" x14ac:dyDescent="0.25">
      <c r="A259">
        <v>257</v>
      </c>
      <c r="B259" t="s">
        <v>517</v>
      </c>
      <c r="C259" t="s">
        <v>518</v>
      </c>
      <c r="D259" s="1">
        <v>16878</v>
      </c>
      <c r="E259" s="4" t="s">
        <v>8</v>
      </c>
      <c r="F259" s="44">
        <v>18645.919999999998</v>
      </c>
      <c r="G259" s="31">
        <v>2271873.1684490996</v>
      </c>
      <c r="I259" s="48">
        <v>51074</v>
      </c>
      <c r="J259" s="51">
        <v>9.6776081999999999E-2</v>
      </c>
    </row>
    <row r="260" spans="1:10" x14ac:dyDescent="0.25">
      <c r="A260">
        <v>258</v>
      </c>
      <c r="B260" t="s">
        <v>519</v>
      </c>
      <c r="C260" t="s">
        <v>520</v>
      </c>
      <c r="D260" s="1">
        <v>7104</v>
      </c>
      <c r="E260" s="4" t="s">
        <v>8</v>
      </c>
      <c r="F260" s="44">
        <v>16572.900000000001</v>
      </c>
      <c r="G260" s="31">
        <v>615632.54158142162</v>
      </c>
      <c r="I260" s="48">
        <v>51104</v>
      </c>
      <c r="J260" s="51">
        <v>9.6777765000000002E-2</v>
      </c>
    </row>
    <row r="261" spans="1:10" x14ac:dyDescent="0.25">
      <c r="A261">
        <v>259</v>
      </c>
      <c r="B261" t="s">
        <v>521</v>
      </c>
      <c r="C261" t="s">
        <v>522</v>
      </c>
      <c r="D261" s="1">
        <v>12492</v>
      </c>
      <c r="E261" s="4" t="s">
        <v>11</v>
      </c>
      <c r="F261" s="44">
        <v>17197.89</v>
      </c>
      <c r="G261" s="31">
        <v>987104.28840904171</v>
      </c>
      <c r="I261" s="48">
        <v>51135</v>
      </c>
      <c r="J261" s="51">
        <v>9.6779140999999999E-2</v>
      </c>
    </row>
    <row r="262" spans="1:10" x14ac:dyDescent="0.25">
      <c r="A262">
        <v>260</v>
      </c>
      <c r="B262" t="s">
        <v>523</v>
      </c>
      <c r="C262" t="s">
        <v>524</v>
      </c>
      <c r="D262" s="1">
        <v>15538</v>
      </c>
      <c r="E262" s="4" t="s">
        <v>8</v>
      </c>
      <c r="F262" s="44">
        <v>18528.009999999998</v>
      </c>
      <c r="G262" s="31">
        <v>1930954.917218802</v>
      </c>
      <c r="I262" s="48">
        <v>51166</v>
      </c>
      <c r="J262" s="51">
        <v>9.6775464000000005E-2</v>
      </c>
    </row>
    <row r="263" spans="1:10" x14ac:dyDescent="0.25">
      <c r="A263">
        <v>261</v>
      </c>
      <c r="B263" t="s">
        <v>525</v>
      </c>
      <c r="C263" t="s">
        <v>526</v>
      </c>
      <c r="D263" s="1">
        <v>10846</v>
      </c>
      <c r="E263" s="4" t="s">
        <v>11</v>
      </c>
      <c r="F263" s="44">
        <v>20796.080000000002</v>
      </c>
      <c r="G263" s="31">
        <v>854409.52145104134</v>
      </c>
      <c r="I263" s="48">
        <v>51195</v>
      </c>
      <c r="J263" s="51">
        <v>9.6772050999999998E-2</v>
      </c>
    </row>
    <row r="264" spans="1:10" x14ac:dyDescent="0.25">
      <c r="A264">
        <v>262</v>
      </c>
      <c r="B264" t="s">
        <v>527</v>
      </c>
      <c r="C264" t="s">
        <v>528</v>
      </c>
      <c r="D264" s="1">
        <v>19645</v>
      </c>
      <c r="E264" s="4" t="s">
        <v>11</v>
      </c>
      <c r="F264" s="44">
        <v>15254.88</v>
      </c>
      <c r="G264" s="31">
        <v>2117572.6576800453</v>
      </c>
      <c r="I264" s="48">
        <v>51226</v>
      </c>
      <c r="J264" s="51">
        <v>9.6768358999999998E-2</v>
      </c>
    </row>
    <row r="265" spans="1:10" x14ac:dyDescent="0.25">
      <c r="A265">
        <v>263</v>
      </c>
      <c r="B265" t="s">
        <v>465</v>
      </c>
      <c r="C265" t="s">
        <v>529</v>
      </c>
      <c r="D265" s="1">
        <v>8574</v>
      </c>
      <c r="E265" s="4" t="s">
        <v>11</v>
      </c>
      <c r="F265" s="44">
        <v>24876.05</v>
      </c>
      <c r="G265" s="31">
        <v>840066.75958359172</v>
      </c>
      <c r="I265" s="48">
        <v>51256</v>
      </c>
      <c r="J265" s="51">
        <v>9.6763826999999997E-2</v>
      </c>
    </row>
    <row r="266" spans="1:10" x14ac:dyDescent="0.25">
      <c r="A266">
        <v>264</v>
      </c>
      <c r="B266" t="s">
        <v>530</v>
      </c>
      <c r="C266" t="s">
        <v>531</v>
      </c>
      <c r="D266" s="1">
        <v>7867</v>
      </c>
      <c r="E266" s="4" t="s">
        <v>8</v>
      </c>
      <c r="F266" s="44">
        <v>24716.91</v>
      </c>
      <c r="G266" s="31">
        <v>843966.5168570911</v>
      </c>
      <c r="I266" s="48">
        <v>51287</v>
      </c>
      <c r="J266" s="51">
        <v>9.6759179000000001E-2</v>
      </c>
    </row>
    <row r="267" spans="1:10" x14ac:dyDescent="0.25">
      <c r="A267">
        <v>265</v>
      </c>
      <c r="B267" t="s">
        <v>532</v>
      </c>
      <c r="C267" t="s">
        <v>533</v>
      </c>
      <c r="D267" s="1">
        <v>10256</v>
      </c>
      <c r="E267" s="4" t="s">
        <v>8</v>
      </c>
      <c r="F267" s="44">
        <v>20230.62</v>
      </c>
      <c r="G267" s="31">
        <v>1093382.4223395814</v>
      </c>
      <c r="I267" s="48">
        <v>51317</v>
      </c>
      <c r="J267" s="51">
        <v>9.6754581000000006E-2</v>
      </c>
    </row>
    <row r="268" spans="1:10" x14ac:dyDescent="0.25">
      <c r="A268">
        <v>266</v>
      </c>
      <c r="B268" t="s">
        <v>534</v>
      </c>
      <c r="C268" t="s">
        <v>535</v>
      </c>
      <c r="D268" s="1">
        <v>15817</v>
      </c>
      <c r="E268" s="4" t="s">
        <v>8</v>
      </c>
      <c r="F268" s="44">
        <v>18043.419999999998</v>
      </c>
      <c r="G268" s="31">
        <v>1982562.3786789514</v>
      </c>
      <c r="I268" s="48">
        <v>51348</v>
      </c>
      <c r="J268" s="51">
        <v>9.6745853000000007E-2</v>
      </c>
    </row>
    <row r="269" spans="1:10" x14ac:dyDescent="0.25">
      <c r="A269">
        <v>267</v>
      </c>
      <c r="B269" t="s">
        <v>536</v>
      </c>
      <c r="C269" t="s">
        <v>537</v>
      </c>
      <c r="D269" s="1">
        <v>15571</v>
      </c>
      <c r="E269" s="4" t="s">
        <v>11</v>
      </c>
      <c r="F269" s="44">
        <v>17113.29</v>
      </c>
      <c r="G269" s="31">
        <v>1485854.9895593794</v>
      </c>
      <c r="I269" s="48">
        <v>51379</v>
      </c>
      <c r="J269" s="51">
        <v>9.6737191E-2</v>
      </c>
    </row>
    <row r="270" spans="1:10" x14ac:dyDescent="0.25">
      <c r="A270">
        <v>268</v>
      </c>
      <c r="B270" t="s">
        <v>538</v>
      </c>
      <c r="C270" t="s">
        <v>539</v>
      </c>
      <c r="D270" s="1">
        <v>7547</v>
      </c>
      <c r="E270" s="4" t="s">
        <v>11</v>
      </c>
      <c r="F270" s="44">
        <v>20579.349999999999</v>
      </c>
      <c r="G270" s="31">
        <v>476822.81280826376</v>
      </c>
      <c r="I270" s="48">
        <v>51409</v>
      </c>
      <c r="J270" s="51">
        <v>9.6728862999999998E-2</v>
      </c>
    </row>
    <row r="271" spans="1:10" x14ac:dyDescent="0.25">
      <c r="A271">
        <v>269</v>
      </c>
      <c r="B271" t="s">
        <v>540</v>
      </c>
      <c r="C271" t="s">
        <v>541</v>
      </c>
      <c r="D271" s="1">
        <v>16282</v>
      </c>
      <c r="E271" s="4" t="s">
        <v>8</v>
      </c>
      <c r="F271" s="44">
        <v>20322.97</v>
      </c>
      <c r="G271" s="31">
        <v>2299565.2854658244</v>
      </c>
      <c r="I271" s="48">
        <v>51440</v>
      </c>
      <c r="J271" s="51">
        <v>9.6720049000000002E-2</v>
      </c>
    </row>
    <row r="272" spans="1:10" x14ac:dyDescent="0.25">
      <c r="A272">
        <v>270</v>
      </c>
      <c r="B272" t="s">
        <v>542</v>
      </c>
      <c r="C272" t="s">
        <v>543</v>
      </c>
      <c r="D272" s="1">
        <v>16435</v>
      </c>
      <c r="E272" s="4" t="s">
        <v>11</v>
      </c>
      <c r="F272" s="44">
        <v>18529.75</v>
      </c>
      <c r="G272" s="31">
        <v>1829251.8023474391</v>
      </c>
      <c r="I272" s="48">
        <v>51470</v>
      </c>
      <c r="J272" s="51">
        <v>9.6711582000000004E-2</v>
      </c>
    </row>
    <row r="273" spans="1:10" x14ac:dyDescent="0.25">
      <c r="A273">
        <v>271</v>
      </c>
      <c r="B273" t="s">
        <v>544</v>
      </c>
      <c r="C273" t="s">
        <v>545</v>
      </c>
      <c r="D273" s="1">
        <v>8669</v>
      </c>
      <c r="E273" s="4" t="s">
        <v>11</v>
      </c>
      <c r="F273" s="44">
        <v>20359.990000000002</v>
      </c>
      <c r="G273" s="31">
        <v>582332.25458623806</v>
      </c>
      <c r="I273" s="48">
        <v>51501</v>
      </c>
      <c r="J273" s="51">
        <v>9.6702692000000007E-2</v>
      </c>
    </row>
    <row r="274" spans="1:10" x14ac:dyDescent="0.25">
      <c r="A274">
        <v>272</v>
      </c>
      <c r="B274" t="s">
        <v>546</v>
      </c>
      <c r="C274" t="s">
        <v>547</v>
      </c>
      <c r="D274" s="1">
        <v>18819</v>
      </c>
      <c r="E274" s="4" t="s">
        <v>8</v>
      </c>
      <c r="F274" s="44">
        <v>20975.57</v>
      </c>
      <c r="G274" s="31">
        <v>3001973.7349108015</v>
      </c>
      <c r="I274" s="48">
        <v>51532</v>
      </c>
      <c r="J274" s="51">
        <v>9.6690896999999998E-2</v>
      </c>
    </row>
    <row r="275" spans="1:10" x14ac:dyDescent="0.25">
      <c r="A275">
        <v>273</v>
      </c>
      <c r="B275" t="s">
        <v>548</v>
      </c>
      <c r="C275" t="s">
        <v>549</v>
      </c>
      <c r="D275" s="1">
        <v>13895</v>
      </c>
      <c r="E275" s="4" t="s">
        <v>11</v>
      </c>
      <c r="F275" s="44">
        <v>20397.5</v>
      </c>
      <c r="G275" s="31">
        <v>1424859.0576526937</v>
      </c>
      <c r="I275" s="48">
        <v>51560</v>
      </c>
      <c r="J275" s="51">
        <v>9.6680318000000001E-2</v>
      </c>
    </row>
    <row r="276" spans="1:10" x14ac:dyDescent="0.25">
      <c r="A276">
        <v>274</v>
      </c>
      <c r="B276" t="s">
        <v>550</v>
      </c>
      <c r="C276" t="s">
        <v>551</v>
      </c>
      <c r="D276" s="1">
        <v>16157</v>
      </c>
      <c r="E276" s="4" t="s">
        <v>11</v>
      </c>
      <c r="F276" s="44">
        <v>22507.21</v>
      </c>
      <c r="G276" s="31">
        <v>2163697.2543029953</v>
      </c>
      <c r="I276" s="48">
        <v>51591</v>
      </c>
      <c r="J276" s="51">
        <v>9.6668727999999995E-2</v>
      </c>
    </row>
    <row r="277" spans="1:10" x14ac:dyDescent="0.25">
      <c r="A277">
        <v>275</v>
      </c>
      <c r="B277" t="s">
        <v>552</v>
      </c>
      <c r="C277" t="s">
        <v>553</v>
      </c>
      <c r="D277" s="1">
        <v>11759</v>
      </c>
      <c r="E277" s="4" t="s">
        <v>8</v>
      </c>
      <c r="F277" s="44">
        <v>15230.93</v>
      </c>
      <c r="G277" s="31">
        <v>1024136.5432714541</v>
      </c>
      <c r="I277" s="48">
        <v>51621</v>
      </c>
      <c r="J277" s="51">
        <v>9.6658129999999995E-2</v>
      </c>
    </row>
    <row r="278" spans="1:10" x14ac:dyDescent="0.25">
      <c r="A278">
        <v>276</v>
      </c>
      <c r="B278" t="s">
        <v>554</v>
      </c>
      <c r="C278" t="s">
        <v>555</v>
      </c>
      <c r="D278" s="1">
        <v>20745</v>
      </c>
      <c r="E278" s="4" t="s">
        <v>11</v>
      </c>
      <c r="F278" s="44">
        <v>18452.599999999999</v>
      </c>
      <c r="G278" s="31">
        <v>2808671.2831724808</v>
      </c>
      <c r="I278" s="48">
        <v>51652</v>
      </c>
      <c r="J278" s="51">
        <v>9.6647258999999999E-2</v>
      </c>
    </row>
    <row r="279" spans="1:10" x14ac:dyDescent="0.25">
      <c r="A279">
        <v>277</v>
      </c>
      <c r="B279" t="s">
        <v>556</v>
      </c>
      <c r="C279" t="s">
        <v>557</v>
      </c>
      <c r="D279" s="1">
        <v>14428</v>
      </c>
      <c r="E279" s="4" t="s">
        <v>11</v>
      </c>
      <c r="F279" s="44">
        <v>20796.59</v>
      </c>
      <c r="G279" s="31">
        <v>1515716.7758768967</v>
      </c>
      <c r="I279" s="48">
        <v>51682</v>
      </c>
      <c r="J279" s="51">
        <v>9.6636751000000007E-2</v>
      </c>
    </row>
    <row r="280" spans="1:10" x14ac:dyDescent="0.25">
      <c r="A280">
        <v>278</v>
      </c>
      <c r="B280" t="s">
        <v>558</v>
      </c>
      <c r="C280" t="s">
        <v>559</v>
      </c>
      <c r="D280" s="1">
        <v>9611</v>
      </c>
      <c r="E280" s="4" t="s">
        <v>11</v>
      </c>
      <c r="F280" s="44">
        <v>22777.87</v>
      </c>
      <c r="G280" s="31">
        <v>862216.05765883462</v>
      </c>
      <c r="I280" s="48">
        <v>51713</v>
      </c>
      <c r="J280" s="51">
        <v>9.6624082E-2</v>
      </c>
    </row>
    <row r="281" spans="1:10" x14ac:dyDescent="0.25">
      <c r="A281">
        <v>279</v>
      </c>
      <c r="B281" t="s">
        <v>560</v>
      </c>
      <c r="C281" t="s">
        <v>561</v>
      </c>
      <c r="D281" s="1">
        <v>13087</v>
      </c>
      <c r="E281" s="4" t="s">
        <v>8</v>
      </c>
      <c r="F281" s="44">
        <v>21622.18</v>
      </c>
      <c r="G281" s="31">
        <v>1688846.077638481</v>
      </c>
      <c r="I281" s="48">
        <v>51744</v>
      </c>
      <c r="J281" s="51">
        <v>9.6611506E-2</v>
      </c>
    </row>
    <row r="282" spans="1:10" x14ac:dyDescent="0.25">
      <c r="A282">
        <v>280</v>
      </c>
      <c r="B282" t="s">
        <v>562</v>
      </c>
      <c r="C282" t="s">
        <v>563</v>
      </c>
      <c r="D282" s="1">
        <v>11310</v>
      </c>
      <c r="E282" s="4" t="s">
        <v>8</v>
      </c>
      <c r="F282" s="44">
        <v>19987.62</v>
      </c>
      <c r="G282" s="31">
        <v>1238384.2064596144</v>
      </c>
      <c r="I282" s="48">
        <v>51774</v>
      </c>
      <c r="J282" s="51">
        <v>9.6599454000000001E-2</v>
      </c>
    </row>
    <row r="283" spans="1:10" x14ac:dyDescent="0.25">
      <c r="A283">
        <v>281</v>
      </c>
      <c r="B283" t="s">
        <v>564</v>
      </c>
      <c r="C283" t="s">
        <v>565</v>
      </c>
      <c r="D283" s="1">
        <v>12789</v>
      </c>
      <c r="E283" s="4" t="s">
        <v>11</v>
      </c>
      <c r="F283" s="44">
        <v>14693.57</v>
      </c>
      <c r="G283" s="31">
        <v>866300.61070981144</v>
      </c>
      <c r="I283" s="48">
        <v>51805</v>
      </c>
      <c r="J283" s="51">
        <v>9.6588018999999997E-2</v>
      </c>
    </row>
    <row r="284" spans="1:10" x14ac:dyDescent="0.25">
      <c r="A284">
        <v>282</v>
      </c>
      <c r="B284" t="s">
        <v>560</v>
      </c>
      <c r="C284" t="s">
        <v>566</v>
      </c>
      <c r="D284" s="1">
        <v>21199</v>
      </c>
      <c r="E284" s="4" t="s">
        <v>8</v>
      </c>
      <c r="F284" s="44">
        <v>18143.400000000001</v>
      </c>
      <c r="G284" s="31">
        <v>3079934.5322854104</v>
      </c>
      <c r="I284" s="48">
        <v>51835</v>
      </c>
      <c r="J284" s="51">
        <v>9.6577030999999994E-2</v>
      </c>
    </row>
    <row r="285" spans="1:10" x14ac:dyDescent="0.25">
      <c r="A285">
        <v>283</v>
      </c>
      <c r="B285" t="s">
        <v>567</v>
      </c>
      <c r="C285" t="s">
        <v>568</v>
      </c>
      <c r="D285" s="1">
        <v>14037</v>
      </c>
      <c r="E285" s="4" t="s">
        <v>11</v>
      </c>
      <c r="F285" s="44">
        <v>19641.47</v>
      </c>
      <c r="G285" s="31">
        <v>1437811.2554076849</v>
      </c>
      <c r="I285" s="48">
        <v>51866</v>
      </c>
      <c r="J285" s="51">
        <v>9.6565699000000005E-2</v>
      </c>
    </row>
    <row r="286" spans="1:10" x14ac:dyDescent="0.25">
      <c r="A286">
        <v>284</v>
      </c>
      <c r="B286" t="s">
        <v>569</v>
      </c>
      <c r="C286" t="s">
        <v>570</v>
      </c>
      <c r="D286" s="1">
        <v>14129</v>
      </c>
      <c r="E286" s="4" t="s">
        <v>11</v>
      </c>
      <c r="F286" s="44">
        <v>19708.509999999998</v>
      </c>
      <c r="G286" s="31">
        <v>1389378.1098021006</v>
      </c>
      <c r="I286" s="48">
        <v>51897</v>
      </c>
      <c r="J286" s="51">
        <v>9.6553606E-2</v>
      </c>
    </row>
    <row r="287" spans="1:10" x14ac:dyDescent="0.25">
      <c r="A287">
        <v>285</v>
      </c>
      <c r="B287" t="s">
        <v>571</v>
      </c>
      <c r="C287" t="s">
        <v>572</v>
      </c>
      <c r="D287" s="1">
        <v>19321</v>
      </c>
      <c r="E287" s="4" t="s">
        <v>8</v>
      </c>
      <c r="F287" s="44">
        <v>25990.53</v>
      </c>
      <c r="G287" s="31">
        <v>3882655.4218829479</v>
      </c>
      <c r="I287" s="48">
        <v>51925</v>
      </c>
      <c r="J287" s="51">
        <v>9.6542757000000007E-2</v>
      </c>
    </row>
    <row r="288" spans="1:10" x14ac:dyDescent="0.25">
      <c r="A288">
        <v>286</v>
      </c>
      <c r="B288" t="s">
        <v>573</v>
      </c>
      <c r="C288" t="s">
        <v>574</v>
      </c>
      <c r="D288" s="1">
        <v>20389</v>
      </c>
      <c r="E288" s="4" t="s">
        <v>8</v>
      </c>
      <c r="F288" s="44">
        <v>18612.419999999998</v>
      </c>
      <c r="G288" s="31">
        <v>2997567.3572496609</v>
      </c>
      <c r="I288" s="48">
        <v>51956</v>
      </c>
      <c r="J288" s="51">
        <v>9.6530950000000004E-2</v>
      </c>
    </row>
    <row r="289" spans="1:10" x14ac:dyDescent="0.25">
      <c r="A289">
        <v>287</v>
      </c>
      <c r="B289" t="s">
        <v>575</v>
      </c>
      <c r="C289" t="s">
        <v>165</v>
      </c>
      <c r="D289" s="1">
        <v>13447</v>
      </c>
      <c r="E289" s="4" t="s">
        <v>11</v>
      </c>
      <c r="F289" s="44">
        <v>20450.32</v>
      </c>
      <c r="G289" s="31">
        <v>1310379.4598948862</v>
      </c>
      <c r="I289" s="48">
        <v>51986</v>
      </c>
      <c r="J289" s="51">
        <v>9.6521312999999997E-2</v>
      </c>
    </row>
    <row r="290" spans="1:10" x14ac:dyDescent="0.25">
      <c r="A290">
        <v>288</v>
      </c>
      <c r="B290" t="s">
        <v>576</v>
      </c>
      <c r="C290" t="s">
        <v>577</v>
      </c>
      <c r="D290" s="1">
        <v>21060</v>
      </c>
      <c r="E290" s="4" t="s">
        <v>11</v>
      </c>
      <c r="F290" s="44">
        <v>22338.98</v>
      </c>
      <c r="G290" s="31">
        <v>3480119.2926896187</v>
      </c>
      <c r="I290" s="48">
        <v>52017</v>
      </c>
      <c r="J290" s="51">
        <v>9.6511423999999998E-2</v>
      </c>
    </row>
    <row r="291" spans="1:10" x14ac:dyDescent="0.25">
      <c r="A291">
        <v>289</v>
      </c>
      <c r="B291" t="s">
        <v>578</v>
      </c>
      <c r="C291" t="s">
        <v>579</v>
      </c>
      <c r="D291" s="1">
        <v>21109</v>
      </c>
      <c r="E291" s="4" t="s">
        <v>11</v>
      </c>
      <c r="F291" s="44">
        <v>15262.83</v>
      </c>
      <c r="G291" s="31">
        <v>2388323.731852944</v>
      </c>
      <c r="I291" s="48">
        <v>52047</v>
      </c>
      <c r="J291" s="51">
        <v>9.6501907999999997E-2</v>
      </c>
    </row>
    <row r="292" spans="1:10" x14ac:dyDescent="0.25">
      <c r="A292">
        <v>290</v>
      </c>
      <c r="B292" t="s">
        <v>580</v>
      </c>
      <c r="C292" t="s">
        <v>581</v>
      </c>
      <c r="D292" s="1">
        <v>16500</v>
      </c>
      <c r="E292" s="4" t="s">
        <v>11</v>
      </c>
      <c r="F292" s="44">
        <v>18092.75</v>
      </c>
      <c r="G292" s="31">
        <v>1811161.1717382506</v>
      </c>
      <c r="I292" s="48">
        <v>52078</v>
      </c>
      <c r="J292" s="51">
        <v>9.6491790999999993E-2</v>
      </c>
    </row>
    <row r="293" spans="1:10" x14ac:dyDescent="0.25">
      <c r="A293">
        <v>291</v>
      </c>
      <c r="B293" t="s">
        <v>582</v>
      </c>
      <c r="C293" t="s">
        <v>583</v>
      </c>
      <c r="D293" s="1">
        <v>11513</v>
      </c>
      <c r="E293" s="4" t="s">
        <v>8</v>
      </c>
      <c r="F293" s="44">
        <v>24002.58</v>
      </c>
      <c r="G293" s="31">
        <v>1465599.7172500396</v>
      </c>
      <c r="I293" s="48">
        <v>52109</v>
      </c>
      <c r="J293" s="51">
        <v>9.6481744999999994E-2</v>
      </c>
    </row>
    <row r="294" spans="1:10" x14ac:dyDescent="0.25">
      <c r="A294">
        <v>292</v>
      </c>
      <c r="B294" t="s">
        <v>584</v>
      </c>
      <c r="C294" t="s">
        <v>585</v>
      </c>
      <c r="D294" s="1">
        <v>18265</v>
      </c>
      <c r="E294" s="4" t="s">
        <v>11</v>
      </c>
      <c r="F294" s="44">
        <v>19633.259999999998</v>
      </c>
      <c r="G294" s="31">
        <v>2391360.2468549125</v>
      </c>
      <c r="I294" s="48">
        <v>52139</v>
      </c>
      <c r="J294" s="51">
        <v>9.6472172999999994E-2</v>
      </c>
    </row>
    <row r="295" spans="1:10" x14ac:dyDescent="0.25">
      <c r="A295">
        <v>293</v>
      </c>
      <c r="B295" t="s">
        <v>586</v>
      </c>
      <c r="C295" t="s">
        <v>587</v>
      </c>
      <c r="D295" s="1">
        <v>12340</v>
      </c>
      <c r="E295" s="4" t="s">
        <v>11</v>
      </c>
      <c r="F295" s="44">
        <v>19339.169999999998</v>
      </c>
      <c r="G295" s="31">
        <v>1035030.5009470097</v>
      </c>
      <c r="I295" s="48">
        <v>52170</v>
      </c>
      <c r="J295" s="51">
        <v>9.6464837999999997E-2</v>
      </c>
    </row>
    <row r="296" spans="1:10" x14ac:dyDescent="0.25">
      <c r="A296">
        <v>294</v>
      </c>
      <c r="B296" t="s">
        <v>588</v>
      </c>
      <c r="C296" t="s">
        <v>589</v>
      </c>
      <c r="D296" s="1">
        <v>16193</v>
      </c>
      <c r="E296" s="4" t="s">
        <v>8</v>
      </c>
      <c r="F296" s="44">
        <v>16620.93</v>
      </c>
      <c r="G296" s="31">
        <v>1899167.0100595972</v>
      </c>
      <c r="I296" s="48">
        <v>52200</v>
      </c>
      <c r="J296" s="51">
        <v>9.6457787000000003E-2</v>
      </c>
    </row>
    <row r="297" spans="1:10" x14ac:dyDescent="0.25">
      <c r="A297">
        <v>295</v>
      </c>
      <c r="B297" t="s">
        <v>590</v>
      </c>
      <c r="C297" t="s">
        <v>591</v>
      </c>
      <c r="D297" s="1">
        <v>18528</v>
      </c>
      <c r="E297" s="4" t="s">
        <v>11</v>
      </c>
      <c r="F297" s="44">
        <v>19671.439999999999</v>
      </c>
      <c r="G297" s="31">
        <v>2450585.3792821518</v>
      </c>
      <c r="I297" s="48">
        <v>52231</v>
      </c>
      <c r="J297" s="51">
        <v>9.6450562000000004E-2</v>
      </c>
    </row>
    <row r="298" spans="1:10" x14ac:dyDescent="0.25">
      <c r="A298">
        <v>296</v>
      </c>
      <c r="B298" t="s">
        <v>592</v>
      </c>
      <c r="C298" t="s">
        <v>593</v>
      </c>
      <c r="D298" s="1">
        <v>8889</v>
      </c>
      <c r="E298" s="4" t="s">
        <v>8</v>
      </c>
      <c r="F298" s="44">
        <v>15686.37</v>
      </c>
      <c r="G298" s="31">
        <v>725466.50294914655</v>
      </c>
      <c r="I298" s="48">
        <v>52262</v>
      </c>
      <c r="J298" s="51">
        <v>9.6443540999999994E-2</v>
      </c>
    </row>
    <row r="299" spans="1:10" x14ac:dyDescent="0.25">
      <c r="A299">
        <v>297</v>
      </c>
      <c r="B299" t="s">
        <v>594</v>
      </c>
      <c r="C299" t="s">
        <v>595</v>
      </c>
      <c r="D299" s="1">
        <v>11258</v>
      </c>
      <c r="E299" s="4" t="s">
        <v>8</v>
      </c>
      <c r="F299" s="44">
        <v>16343.8</v>
      </c>
      <c r="G299" s="31">
        <v>990793.77487554646</v>
      </c>
      <c r="I299" s="48">
        <v>52290</v>
      </c>
      <c r="J299" s="51">
        <v>9.6437239999999994E-2</v>
      </c>
    </row>
    <row r="300" spans="1:10" x14ac:dyDescent="0.25">
      <c r="A300">
        <v>298</v>
      </c>
      <c r="B300" t="s">
        <v>596</v>
      </c>
      <c r="C300" t="s">
        <v>597</v>
      </c>
      <c r="D300" s="1">
        <v>11759</v>
      </c>
      <c r="E300" s="4" t="s">
        <v>11</v>
      </c>
      <c r="F300" s="44">
        <v>25726.2</v>
      </c>
      <c r="G300" s="31">
        <v>1320028.5139619194</v>
      </c>
      <c r="I300" s="48">
        <v>52321</v>
      </c>
      <c r="J300" s="51">
        <v>9.6430526000000003E-2</v>
      </c>
    </row>
    <row r="301" spans="1:10" x14ac:dyDescent="0.25">
      <c r="A301">
        <v>299</v>
      </c>
      <c r="B301" t="s">
        <v>598</v>
      </c>
      <c r="C301" t="s">
        <v>599</v>
      </c>
      <c r="D301" s="1">
        <v>9756</v>
      </c>
      <c r="E301" s="4" t="s">
        <v>11</v>
      </c>
      <c r="F301" s="44">
        <v>16733.28</v>
      </c>
      <c r="G301" s="31">
        <v>571800.24255039939</v>
      </c>
      <c r="I301" s="48">
        <v>52351</v>
      </c>
      <c r="J301" s="51">
        <v>9.6427102000000001E-2</v>
      </c>
    </row>
    <row r="302" spans="1:10" x14ac:dyDescent="0.25">
      <c r="A302">
        <v>300</v>
      </c>
      <c r="B302" t="s">
        <v>600</v>
      </c>
      <c r="C302" t="s">
        <v>601</v>
      </c>
      <c r="D302" s="1">
        <v>16682</v>
      </c>
      <c r="E302" s="4" t="s">
        <v>8</v>
      </c>
      <c r="F302" s="44">
        <v>22316.57</v>
      </c>
      <c r="G302" s="31">
        <v>2637647.0929510836</v>
      </c>
      <c r="I302" s="48">
        <v>52382</v>
      </c>
      <c r="J302" s="51">
        <v>9.6423587000000005E-2</v>
      </c>
    </row>
    <row r="303" spans="1:10" x14ac:dyDescent="0.25">
      <c r="A303">
        <v>301</v>
      </c>
      <c r="B303" t="s">
        <v>602</v>
      </c>
      <c r="C303" t="s">
        <v>603</v>
      </c>
      <c r="D303" s="1">
        <v>20247</v>
      </c>
      <c r="E303" s="4" t="s">
        <v>8</v>
      </c>
      <c r="F303" s="44">
        <v>19456.68</v>
      </c>
      <c r="G303" s="31">
        <v>3116103.8095785668</v>
      </c>
      <c r="I303" s="48">
        <v>52412</v>
      </c>
      <c r="J303" s="51">
        <v>9.6420235000000007E-2</v>
      </c>
    </row>
    <row r="304" spans="1:10" x14ac:dyDescent="0.25">
      <c r="A304">
        <v>302</v>
      </c>
      <c r="B304" t="s">
        <v>163</v>
      </c>
      <c r="C304" t="s">
        <v>604</v>
      </c>
      <c r="D304" s="1">
        <v>8427</v>
      </c>
      <c r="E304" s="4" t="s">
        <v>8</v>
      </c>
      <c r="F304" s="44">
        <v>20066.740000000002</v>
      </c>
      <c r="G304" s="31">
        <v>834374.21242111921</v>
      </c>
      <c r="I304" s="48">
        <v>52443</v>
      </c>
      <c r="J304" s="51">
        <v>9.6417599000000007E-2</v>
      </c>
    </row>
    <row r="305" spans="1:10" x14ac:dyDescent="0.25">
      <c r="A305">
        <v>303</v>
      </c>
      <c r="B305" t="s">
        <v>605</v>
      </c>
      <c r="C305" t="s">
        <v>606</v>
      </c>
      <c r="D305" s="1">
        <v>13861</v>
      </c>
      <c r="E305" s="4" t="s">
        <v>8</v>
      </c>
      <c r="F305" s="44">
        <v>19183.52</v>
      </c>
      <c r="G305" s="31">
        <v>1665573.2619141841</v>
      </c>
      <c r="I305" s="48">
        <v>52474</v>
      </c>
      <c r="J305" s="51">
        <v>9.6414979999999997E-2</v>
      </c>
    </row>
    <row r="306" spans="1:10" x14ac:dyDescent="0.25">
      <c r="A306">
        <v>304</v>
      </c>
      <c r="B306" t="s">
        <v>607</v>
      </c>
      <c r="C306" t="s">
        <v>608</v>
      </c>
      <c r="D306" s="1">
        <v>15553</v>
      </c>
      <c r="E306" s="4" t="s">
        <v>11</v>
      </c>
      <c r="F306" s="44">
        <v>15351.27</v>
      </c>
      <c r="G306" s="31">
        <v>1326146.4160801857</v>
      </c>
      <c r="I306" s="48">
        <v>52504</v>
      </c>
      <c r="J306" s="51">
        <v>9.6412583999999996E-2</v>
      </c>
    </row>
    <row r="307" spans="1:10" x14ac:dyDescent="0.25">
      <c r="A307">
        <v>305</v>
      </c>
      <c r="B307" t="s">
        <v>609</v>
      </c>
      <c r="C307" t="s">
        <v>610</v>
      </c>
      <c r="D307" s="1">
        <v>19953</v>
      </c>
      <c r="E307" s="4" t="s">
        <v>11</v>
      </c>
      <c r="F307" s="44">
        <v>23173.8</v>
      </c>
      <c r="G307" s="31">
        <v>3300416.7659199685</v>
      </c>
      <c r="I307" s="48">
        <v>52535</v>
      </c>
      <c r="J307" s="51">
        <v>9.6413753000000005E-2</v>
      </c>
    </row>
    <row r="308" spans="1:10" x14ac:dyDescent="0.25">
      <c r="A308">
        <v>306</v>
      </c>
      <c r="B308" t="s">
        <v>611</v>
      </c>
      <c r="C308" t="s">
        <v>612</v>
      </c>
      <c r="D308" s="1">
        <v>13313</v>
      </c>
      <c r="E308" s="4" t="s">
        <v>11</v>
      </c>
      <c r="F308" s="44">
        <v>19152.93</v>
      </c>
      <c r="G308" s="31">
        <v>1267425.1801768704</v>
      </c>
      <c r="I308" s="48">
        <v>52565</v>
      </c>
      <c r="J308" s="51">
        <v>9.6414877999999996E-2</v>
      </c>
    </row>
    <row r="309" spans="1:10" x14ac:dyDescent="0.25">
      <c r="A309">
        <v>307</v>
      </c>
      <c r="B309" t="s">
        <v>613</v>
      </c>
      <c r="C309" t="s">
        <v>614</v>
      </c>
      <c r="D309" s="1">
        <v>12379</v>
      </c>
      <c r="E309" s="4" t="s">
        <v>11</v>
      </c>
      <c r="F309" s="44">
        <v>19305.22</v>
      </c>
      <c r="G309" s="31">
        <v>1052578.0418258349</v>
      </c>
      <c r="I309" s="48">
        <v>52596</v>
      </c>
      <c r="J309" s="51">
        <v>9.6416087999999997E-2</v>
      </c>
    </row>
    <row r="310" spans="1:10" x14ac:dyDescent="0.25">
      <c r="A310">
        <v>308</v>
      </c>
      <c r="B310" t="s">
        <v>615</v>
      </c>
      <c r="C310" t="s">
        <v>616</v>
      </c>
      <c r="D310" s="1">
        <v>8250</v>
      </c>
      <c r="E310" s="4" t="s">
        <v>8</v>
      </c>
      <c r="F310" s="44">
        <v>18350.09</v>
      </c>
      <c r="G310" s="31">
        <v>676375.21978414408</v>
      </c>
      <c r="I310" s="48">
        <v>52627</v>
      </c>
      <c r="J310" s="51">
        <v>9.6418103000000005E-2</v>
      </c>
    </row>
    <row r="311" spans="1:10" x14ac:dyDescent="0.25">
      <c r="A311">
        <v>309</v>
      </c>
      <c r="B311" t="s">
        <v>617</v>
      </c>
      <c r="C311" t="s">
        <v>618</v>
      </c>
      <c r="D311" s="1">
        <v>15200</v>
      </c>
      <c r="E311" s="4" t="s">
        <v>8</v>
      </c>
      <c r="F311" s="44">
        <v>14339.25</v>
      </c>
      <c r="G311" s="31">
        <v>1441385.893680728</v>
      </c>
      <c r="I311" s="48">
        <v>52656</v>
      </c>
      <c r="J311" s="51">
        <v>9.6419976000000004E-2</v>
      </c>
    </row>
    <row r="312" spans="1:10" x14ac:dyDescent="0.25">
      <c r="A312">
        <v>310</v>
      </c>
      <c r="B312" t="s">
        <v>619</v>
      </c>
      <c r="C312" t="s">
        <v>620</v>
      </c>
      <c r="D312" s="1">
        <v>11607</v>
      </c>
      <c r="E312" s="4" t="s">
        <v>11</v>
      </c>
      <c r="F312" s="44">
        <v>16741.400000000001</v>
      </c>
      <c r="G312" s="31">
        <v>793178.17053137766</v>
      </c>
      <c r="I312" s="48">
        <v>52687</v>
      </c>
      <c r="J312" s="51">
        <v>9.6422051999999994E-2</v>
      </c>
    </row>
    <row r="313" spans="1:10" x14ac:dyDescent="0.25">
      <c r="A313">
        <v>311</v>
      </c>
      <c r="B313" t="s">
        <v>621</v>
      </c>
      <c r="C313" t="s">
        <v>622</v>
      </c>
      <c r="D313" s="1">
        <v>19002</v>
      </c>
      <c r="E313" s="4" t="s">
        <v>8</v>
      </c>
      <c r="F313" s="44">
        <v>22830.06</v>
      </c>
      <c r="G313" s="31">
        <v>3332555.6550904922</v>
      </c>
      <c r="I313" s="48">
        <v>52717</v>
      </c>
      <c r="J313" s="51">
        <v>9.6425264999999996E-2</v>
      </c>
    </row>
    <row r="314" spans="1:10" x14ac:dyDescent="0.25">
      <c r="A314">
        <v>312</v>
      </c>
      <c r="B314" t="s">
        <v>623</v>
      </c>
      <c r="C314" t="s">
        <v>624</v>
      </c>
      <c r="D314" s="1">
        <v>15164</v>
      </c>
      <c r="E314" s="4" t="s">
        <v>11</v>
      </c>
      <c r="F314" s="44">
        <v>17747.650000000001</v>
      </c>
      <c r="G314" s="31">
        <v>1445944.3761458595</v>
      </c>
      <c r="I314" s="48">
        <v>52748</v>
      </c>
      <c r="J314" s="51">
        <v>9.6428563999999994E-2</v>
      </c>
    </row>
    <row r="315" spans="1:10" x14ac:dyDescent="0.25">
      <c r="A315">
        <v>313</v>
      </c>
      <c r="B315" t="s">
        <v>625</v>
      </c>
      <c r="C315" t="s">
        <v>626</v>
      </c>
      <c r="D315" s="1">
        <v>15098</v>
      </c>
      <c r="E315" s="4" t="s">
        <v>8</v>
      </c>
      <c r="F315" s="44">
        <v>25177.35</v>
      </c>
      <c r="G315" s="31">
        <v>2564885.7716770191</v>
      </c>
      <c r="I315" s="48">
        <v>52778</v>
      </c>
      <c r="J315" s="51">
        <v>9.6431685000000003E-2</v>
      </c>
    </row>
    <row r="316" spans="1:10" x14ac:dyDescent="0.25">
      <c r="A316">
        <v>314</v>
      </c>
      <c r="B316" t="s">
        <v>501</v>
      </c>
      <c r="C316" t="s">
        <v>627</v>
      </c>
      <c r="D316" s="1">
        <v>11767</v>
      </c>
      <c r="E316" s="4" t="s">
        <v>8</v>
      </c>
      <c r="F316" s="44">
        <v>15898.64</v>
      </c>
      <c r="G316" s="31">
        <v>1071963.6777907829</v>
      </c>
      <c r="I316" s="48">
        <v>52809</v>
      </c>
      <c r="J316" s="51">
        <v>9.6433401000000002E-2</v>
      </c>
    </row>
    <row r="317" spans="1:10" x14ac:dyDescent="0.25">
      <c r="A317">
        <v>315</v>
      </c>
      <c r="B317" t="s">
        <v>628</v>
      </c>
      <c r="C317" t="s">
        <v>629</v>
      </c>
      <c r="D317" s="1">
        <v>15628</v>
      </c>
      <c r="E317" s="4" t="s">
        <v>11</v>
      </c>
      <c r="F317" s="44">
        <v>15426.4</v>
      </c>
      <c r="G317" s="31">
        <v>1359666.2021523891</v>
      </c>
      <c r="I317" s="48">
        <v>52840</v>
      </c>
      <c r="J317" s="51">
        <v>9.6435106000000007E-2</v>
      </c>
    </row>
    <row r="318" spans="1:10" x14ac:dyDescent="0.25">
      <c r="A318">
        <v>316</v>
      </c>
      <c r="B318" t="s">
        <v>630</v>
      </c>
      <c r="C318" t="s">
        <v>631</v>
      </c>
      <c r="D318" s="1">
        <v>20046</v>
      </c>
      <c r="E318" s="4" t="s">
        <v>8</v>
      </c>
      <c r="F318" s="44">
        <v>18883.77</v>
      </c>
      <c r="G318" s="31">
        <v>2972332.2461615931</v>
      </c>
      <c r="I318" s="48">
        <v>52870</v>
      </c>
      <c r="J318" s="51">
        <v>9.6436778000000001E-2</v>
      </c>
    </row>
    <row r="319" spans="1:10" x14ac:dyDescent="0.25">
      <c r="A319">
        <v>317</v>
      </c>
      <c r="B319" t="s">
        <v>632</v>
      </c>
      <c r="C319" t="s">
        <v>633</v>
      </c>
      <c r="D319" s="1">
        <v>16798</v>
      </c>
      <c r="E319" s="4" t="s">
        <v>8</v>
      </c>
      <c r="F319" s="44">
        <v>21644.65</v>
      </c>
      <c r="G319" s="31">
        <v>2605263.6557359844</v>
      </c>
      <c r="I319" s="48">
        <v>52901</v>
      </c>
      <c r="J319" s="51">
        <v>9.6439489000000003E-2</v>
      </c>
    </row>
    <row r="320" spans="1:10" x14ac:dyDescent="0.25">
      <c r="A320">
        <v>318</v>
      </c>
      <c r="B320" t="s">
        <v>634</v>
      </c>
      <c r="C320" t="s">
        <v>635</v>
      </c>
      <c r="D320" s="1">
        <v>21310</v>
      </c>
      <c r="E320" s="4" t="s">
        <v>8</v>
      </c>
      <c r="F320" s="44">
        <v>19469.96</v>
      </c>
      <c r="G320" s="31">
        <v>3331692.2450068374</v>
      </c>
      <c r="I320" s="48">
        <v>52931</v>
      </c>
      <c r="J320" s="51">
        <v>9.6442095000000005E-2</v>
      </c>
    </row>
    <row r="321" spans="1:10" x14ac:dyDescent="0.25">
      <c r="A321">
        <v>319</v>
      </c>
      <c r="B321" t="s">
        <v>636</v>
      </c>
      <c r="C321" t="s">
        <v>637</v>
      </c>
      <c r="D321" s="1">
        <v>7001</v>
      </c>
      <c r="E321" s="4" t="s">
        <v>11</v>
      </c>
      <c r="F321" s="44">
        <v>18884.939999999999</v>
      </c>
      <c r="G321" s="31">
        <v>484216.88944267749</v>
      </c>
      <c r="I321" s="48">
        <v>52962</v>
      </c>
      <c r="J321" s="51">
        <v>9.6444680000000005E-2</v>
      </c>
    </row>
    <row r="322" spans="1:10" x14ac:dyDescent="0.25">
      <c r="A322">
        <v>320</v>
      </c>
      <c r="B322" t="s">
        <v>487</v>
      </c>
      <c r="C322" t="s">
        <v>638</v>
      </c>
      <c r="D322" s="1">
        <v>12213</v>
      </c>
      <c r="E322" s="4" t="s">
        <v>11</v>
      </c>
      <c r="F322" s="44">
        <v>22125.54</v>
      </c>
      <c r="G322" s="31">
        <v>1247605.4326717921</v>
      </c>
      <c r="I322" s="48">
        <v>52993</v>
      </c>
      <c r="J322" s="51">
        <v>9.6445926000000001E-2</v>
      </c>
    </row>
    <row r="323" spans="1:10" x14ac:dyDescent="0.25">
      <c r="A323">
        <v>321</v>
      </c>
      <c r="B323" t="s">
        <v>639</v>
      </c>
      <c r="C323" t="s">
        <v>640</v>
      </c>
      <c r="D323" s="1">
        <v>14357</v>
      </c>
      <c r="E323" s="4" t="s">
        <v>11</v>
      </c>
      <c r="F323" s="44">
        <v>19668.580000000002</v>
      </c>
      <c r="G323" s="31">
        <v>1493967.31901277</v>
      </c>
      <c r="I323" s="48">
        <v>53021</v>
      </c>
      <c r="J323" s="51">
        <v>9.6447044999999995E-2</v>
      </c>
    </row>
    <row r="324" spans="1:10" x14ac:dyDescent="0.25">
      <c r="A324">
        <v>322</v>
      </c>
      <c r="B324" t="s">
        <v>641</v>
      </c>
      <c r="C324" t="s">
        <v>642</v>
      </c>
      <c r="D324" s="1">
        <v>16229</v>
      </c>
      <c r="E324" s="4" t="s">
        <v>11</v>
      </c>
      <c r="F324" s="44">
        <v>22766.31</v>
      </c>
      <c r="G324" s="31">
        <v>2223182.3327596383</v>
      </c>
      <c r="I324" s="48">
        <v>53052</v>
      </c>
      <c r="J324" s="51">
        <v>9.6448343000000006E-2</v>
      </c>
    </row>
    <row r="325" spans="1:10" x14ac:dyDescent="0.25">
      <c r="A325">
        <v>323</v>
      </c>
      <c r="B325" t="s">
        <v>643</v>
      </c>
      <c r="C325" t="s">
        <v>644</v>
      </c>
      <c r="D325" s="1">
        <v>7910</v>
      </c>
      <c r="E325" s="4" t="s">
        <v>8</v>
      </c>
      <c r="F325" s="44">
        <v>21027.71</v>
      </c>
      <c r="G325" s="31">
        <v>742871.37208695104</v>
      </c>
      <c r="I325" s="48">
        <v>53082</v>
      </c>
      <c r="J325" s="51">
        <v>9.6450517999999999E-2</v>
      </c>
    </row>
    <row r="326" spans="1:10" x14ac:dyDescent="0.25">
      <c r="A326">
        <v>324</v>
      </c>
      <c r="B326" t="s">
        <v>645</v>
      </c>
      <c r="C326" t="s">
        <v>646</v>
      </c>
      <c r="D326" s="1">
        <v>7374</v>
      </c>
      <c r="E326" s="4" t="s">
        <v>8</v>
      </c>
      <c r="F326" s="44">
        <v>18012.78</v>
      </c>
      <c r="G326" s="31">
        <v>660982.04808422201</v>
      </c>
      <c r="I326" s="48">
        <v>53113</v>
      </c>
      <c r="J326" s="51">
        <v>9.6452752000000003E-2</v>
      </c>
    </row>
    <row r="327" spans="1:10" x14ac:dyDescent="0.25">
      <c r="A327">
        <v>325</v>
      </c>
      <c r="B327" t="s">
        <v>647</v>
      </c>
      <c r="C327" t="s">
        <v>648</v>
      </c>
      <c r="D327" s="1">
        <v>13165</v>
      </c>
      <c r="E327" s="4" t="s">
        <v>11</v>
      </c>
      <c r="F327" s="44">
        <v>21482.33</v>
      </c>
      <c r="G327" s="31">
        <v>1345142.4671113163</v>
      </c>
      <c r="I327" s="48">
        <v>53143</v>
      </c>
      <c r="J327" s="51">
        <v>9.6454859000000004E-2</v>
      </c>
    </row>
    <row r="328" spans="1:10" x14ac:dyDescent="0.25">
      <c r="A328">
        <v>326</v>
      </c>
      <c r="B328" t="s">
        <v>649</v>
      </c>
      <c r="C328" t="s">
        <v>650</v>
      </c>
      <c r="D328" s="1">
        <v>20855</v>
      </c>
      <c r="E328" s="4" t="s">
        <v>11</v>
      </c>
      <c r="F328" s="44">
        <v>28545.75</v>
      </c>
      <c r="G328" s="31">
        <v>4390435.3850796437</v>
      </c>
      <c r="I328" s="48">
        <v>53174</v>
      </c>
      <c r="J328" s="51">
        <v>9.6455796999999996E-2</v>
      </c>
    </row>
    <row r="329" spans="1:10" x14ac:dyDescent="0.25">
      <c r="A329">
        <v>327</v>
      </c>
      <c r="B329" t="s">
        <v>651</v>
      </c>
      <c r="C329" t="s">
        <v>652</v>
      </c>
      <c r="D329" s="1">
        <v>11230</v>
      </c>
      <c r="E329" s="4" t="s">
        <v>11</v>
      </c>
      <c r="F329" s="44">
        <v>21672.33</v>
      </c>
      <c r="G329" s="31">
        <v>957718.57079876051</v>
      </c>
      <c r="I329" s="48">
        <v>53205</v>
      </c>
      <c r="J329" s="51">
        <v>9.6456729000000005E-2</v>
      </c>
    </row>
    <row r="330" spans="1:10" x14ac:dyDescent="0.25">
      <c r="A330">
        <v>328</v>
      </c>
      <c r="B330" t="s">
        <v>653</v>
      </c>
      <c r="C330" t="s">
        <v>654</v>
      </c>
      <c r="D330" s="1">
        <v>8480</v>
      </c>
      <c r="E330" s="4" t="s">
        <v>11</v>
      </c>
      <c r="F330" s="44">
        <v>17710.189999999999</v>
      </c>
      <c r="G330" s="31">
        <v>559674.10851533047</v>
      </c>
      <c r="I330" s="48">
        <v>53235</v>
      </c>
      <c r="J330" s="51">
        <v>9.6457657000000002E-2</v>
      </c>
    </row>
    <row r="331" spans="1:10" x14ac:dyDescent="0.25">
      <c r="A331">
        <v>329</v>
      </c>
      <c r="B331" t="s">
        <v>655</v>
      </c>
      <c r="C331" t="s">
        <v>656</v>
      </c>
      <c r="D331" s="1">
        <v>20686</v>
      </c>
      <c r="E331" s="4" t="s">
        <v>8</v>
      </c>
      <c r="F331" s="44">
        <v>20241.45</v>
      </c>
      <c r="G331" s="31">
        <v>3320632.3442196408</v>
      </c>
      <c r="I331" s="48">
        <v>53266</v>
      </c>
      <c r="J331" s="51">
        <v>9.645956E-2</v>
      </c>
    </row>
    <row r="332" spans="1:10" x14ac:dyDescent="0.25">
      <c r="A332">
        <v>330</v>
      </c>
      <c r="B332" t="s">
        <v>657</v>
      </c>
      <c r="C332" t="s">
        <v>658</v>
      </c>
      <c r="D332" s="1">
        <v>6816</v>
      </c>
      <c r="E332" s="4" t="s">
        <v>8</v>
      </c>
      <c r="F332" s="44">
        <v>18149.740000000002</v>
      </c>
      <c r="G332" s="31">
        <v>538655.16916266002</v>
      </c>
      <c r="I332" s="48">
        <v>53296</v>
      </c>
      <c r="J332" s="51">
        <v>9.6461390999999994E-2</v>
      </c>
    </row>
    <row r="333" spans="1:10" x14ac:dyDescent="0.25">
      <c r="A333">
        <v>331</v>
      </c>
      <c r="B333" t="s">
        <v>659</v>
      </c>
      <c r="C333" t="s">
        <v>660</v>
      </c>
      <c r="D333" s="1">
        <v>10969</v>
      </c>
      <c r="E333" s="4" t="s">
        <v>8</v>
      </c>
      <c r="F333" s="44">
        <v>22061.9</v>
      </c>
      <c r="G333" s="31">
        <v>1311961.9039291861</v>
      </c>
      <c r="I333" s="48">
        <v>53327</v>
      </c>
      <c r="J333" s="51">
        <v>9.6463198E-2</v>
      </c>
    </row>
    <row r="334" spans="1:10" x14ac:dyDescent="0.25">
      <c r="A334">
        <v>332</v>
      </c>
      <c r="B334" t="s">
        <v>661</v>
      </c>
      <c r="C334" t="s">
        <v>662</v>
      </c>
      <c r="D334" s="1">
        <v>18342</v>
      </c>
      <c r="E334" s="4" t="s">
        <v>8</v>
      </c>
      <c r="F334" s="44">
        <v>20732.71</v>
      </c>
      <c r="G334" s="31">
        <v>2877059.4534223471</v>
      </c>
      <c r="I334" s="48">
        <v>53358</v>
      </c>
      <c r="J334" s="51">
        <v>9.6463935000000001E-2</v>
      </c>
    </row>
    <row r="335" spans="1:10" x14ac:dyDescent="0.25">
      <c r="A335">
        <v>333</v>
      </c>
      <c r="B335" t="s">
        <v>663</v>
      </c>
      <c r="C335" t="s">
        <v>664</v>
      </c>
      <c r="D335" s="1">
        <v>11278</v>
      </c>
      <c r="E335" s="4" t="s">
        <v>11</v>
      </c>
      <c r="F335" s="44">
        <v>16123.58</v>
      </c>
      <c r="G335" s="31">
        <v>734116.50328638719</v>
      </c>
      <c r="I335" s="48">
        <v>53386</v>
      </c>
      <c r="J335" s="51">
        <v>9.6464596E-2</v>
      </c>
    </row>
    <row r="336" spans="1:10" x14ac:dyDescent="0.25">
      <c r="A336">
        <v>334</v>
      </c>
      <c r="B336" t="s">
        <v>665</v>
      </c>
      <c r="C336" t="s">
        <v>666</v>
      </c>
      <c r="D336" s="1">
        <v>18860</v>
      </c>
      <c r="E336" s="4" t="s">
        <v>11</v>
      </c>
      <c r="F336" s="44">
        <v>19907.41</v>
      </c>
      <c r="G336" s="31">
        <v>2561206.1763813184</v>
      </c>
      <c r="I336" s="48">
        <v>53417</v>
      </c>
      <c r="J336" s="51">
        <v>9.6465387999999999E-2</v>
      </c>
    </row>
    <row r="337" spans="1:10" x14ac:dyDescent="0.25">
      <c r="A337">
        <v>335</v>
      </c>
      <c r="B337" t="s">
        <v>667</v>
      </c>
      <c r="C337" t="s">
        <v>668</v>
      </c>
      <c r="D337" s="1">
        <v>17067</v>
      </c>
      <c r="E337" s="4" t="s">
        <v>11</v>
      </c>
      <c r="F337" s="44">
        <v>14857.71</v>
      </c>
      <c r="G337" s="31">
        <v>1572286.9316871201</v>
      </c>
      <c r="I337" s="48">
        <v>53447</v>
      </c>
      <c r="J337" s="51">
        <v>9.6467038000000005E-2</v>
      </c>
    </row>
    <row r="338" spans="1:10" x14ac:dyDescent="0.25">
      <c r="A338">
        <v>336</v>
      </c>
      <c r="B338" t="s">
        <v>669</v>
      </c>
      <c r="C338" t="s">
        <v>670</v>
      </c>
      <c r="D338" s="1">
        <v>19780</v>
      </c>
      <c r="E338" s="4" t="s">
        <v>8</v>
      </c>
      <c r="F338" s="44">
        <v>18717.37</v>
      </c>
      <c r="G338" s="31">
        <v>2897552.3573949616</v>
      </c>
      <c r="I338" s="48">
        <v>53478</v>
      </c>
      <c r="J338" s="51">
        <v>9.6468733000000001E-2</v>
      </c>
    </row>
    <row r="339" spans="1:10" x14ac:dyDescent="0.25">
      <c r="A339">
        <v>337</v>
      </c>
      <c r="B339" t="s">
        <v>671</v>
      </c>
      <c r="C339" t="s">
        <v>672</v>
      </c>
      <c r="D339" s="1">
        <v>9577</v>
      </c>
      <c r="E339" s="4" t="s">
        <v>8</v>
      </c>
      <c r="F339" s="44">
        <v>21609.01</v>
      </c>
      <c r="G339" s="31">
        <v>1080960.3560354447</v>
      </c>
      <c r="I339" s="48">
        <v>53508</v>
      </c>
      <c r="J339" s="51">
        <v>9.6470328999999994E-2</v>
      </c>
    </row>
    <row r="340" spans="1:10" x14ac:dyDescent="0.25">
      <c r="A340">
        <v>338</v>
      </c>
      <c r="B340" t="s">
        <v>673</v>
      </c>
      <c r="C340" t="s">
        <v>674</v>
      </c>
      <c r="D340" s="1">
        <v>15060</v>
      </c>
      <c r="E340" s="4" t="s">
        <v>8</v>
      </c>
      <c r="F340" s="44">
        <v>21165.78</v>
      </c>
      <c r="G340" s="31">
        <v>2139597.5491973497</v>
      </c>
      <c r="I340" s="48">
        <v>53539</v>
      </c>
      <c r="J340" s="51">
        <v>9.6470946000000002E-2</v>
      </c>
    </row>
    <row r="341" spans="1:10" x14ac:dyDescent="0.25">
      <c r="A341">
        <v>339</v>
      </c>
      <c r="B341" t="s">
        <v>675</v>
      </c>
      <c r="C341" t="s">
        <v>676</v>
      </c>
      <c r="D341" s="1">
        <v>8660</v>
      </c>
      <c r="E341" s="4" t="s">
        <v>11</v>
      </c>
      <c r="F341" s="44">
        <v>16886.650000000001</v>
      </c>
      <c r="G341" s="31">
        <v>479518.6046482494</v>
      </c>
      <c r="I341" s="48">
        <v>53570</v>
      </c>
      <c r="J341" s="51">
        <v>9.6471558999999998E-2</v>
      </c>
    </row>
    <row r="342" spans="1:10" x14ac:dyDescent="0.25">
      <c r="A342">
        <v>340</v>
      </c>
      <c r="B342" t="s">
        <v>677</v>
      </c>
      <c r="C342" t="s">
        <v>678</v>
      </c>
      <c r="D342" s="1">
        <v>16482</v>
      </c>
      <c r="E342" s="4" t="s">
        <v>11</v>
      </c>
      <c r="F342" s="44">
        <v>16891.099999999999</v>
      </c>
      <c r="G342" s="31">
        <v>1684415.177897309</v>
      </c>
      <c r="I342" s="48">
        <v>53600</v>
      </c>
      <c r="J342" s="51">
        <v>9.6472180000000005E-2</v>
      </c>
    </row>
    <row r="343" spans="1:10" x14ac:dyDescent="0.25">
      <c r="A343">
        <v>341</v>
      </c>
      <c r="B343" t="s">
        <v>679</v>
      </c>
      <c r="C343" t="s">
        <v>680</v>
      </c>
      <c r="D343" s="1">
        <v>15738</v>
      </c>
      <c r="E343" s="4" t="s">
        <v>11</v>
      </c>
      <c r="F343" s="44">
        <v>22656.81</v>
      </c>
      <c r="G343" s="31">
        <v>2053039.0974351377</v>
      </c>
      <c r="I343" s="48">
        <v>53631</v>
      </c>
      <c r="J343" s="51">
        <v>9.6473771E-2</v>
      </c>
    </row>
    <row r="344" spans="1:10" x14ac:dyDescent="0.25">
      <c r="A344">
        <v>342</v>
      </c>
      <c r="B344" t="s">
        <v>681</v>
      </c>
      <c r="C344" t="s">
        <v>682</v>
      </c>
      <c r="D344" s="1">
        <v>12173</v>
      </c>
      <c r="E344" s="4" t="s">
        <v>8</v>
      </c>
      <c r="F344" s="44">
        <v>19072.62</v>
      </c>
      <c r="G344" s="31">
        <v>1367560.6861287504</v>
      </c>
      <c r="I344" s="48">
        <v>53661</v>
      </c>
      <c r="J344" s="51">
        <v>9.6475300999999999E-2</v>
      </c>
    </row>
    <row r="345" spans="1:10" x14ac:dyDescent="0.25">
      <c r="A345">
        <v>343</v>
      </c>
      <c r="B345" t="s">
        <v>683</v>
      </c>
      <c r="C345" t="s">
        <v>684</v>
      </c>
      <c r="D345" s="1">
        <v>13998</v>
      </c>
      <c r="E345" s="4" t="s">
        <v>11</v>
      </c>
      <c r="F345" s="44">
        <v>18972.330000000002</v>
      </c>
      <c r="G345" s="31">
        <v>1371639.4692541857</v>
      </c>
      <c r="I345" s="48">
        <v>53692</v>
      </c>
      <c r="J345" s="51">
        <v>9.6476810999999996E-2</v>
      </c>
    </row>
    <row r="346" spans="1:10" x14ac:dyDescent="0.25">
      <c r="A346">
        <v>344</v>
      </c>
      <c r="B346" t="s">
        <v>685</v>
      </c>
      <c r="C346" t="s">
        <v>686</v>
      </c>
      <c r="D346" s="1">
        <v>12890</v>
      </c>
      <c r="E346" s="4" t="s">
        <v>11</v>
      </c>
      <c r="F346" s="44">
        <v>19994.259999999998</v>
      </c>
      <c r="G346" s="31">
        <v>1228234.1760229054</v>
      </c>
      <c r="I346" s="48">
        <v>53723</v>
      </c>
      <c r="J346" s="51">
        <v>9.6477414999999997E-2</v>
      </c>
    </row>
    <row r="347" spans="1:10" x14ac:dyDescent="0.25">
      <c r="A347">
        <v>345</v>
      </c>
      <c r="B347" t="s">
        <v>687</v>
      </c>
      <c r="C347" t="s">
        <v>688</v>
      </c>
      <c r="D347" s="1">
        <v>11311</v>
      </c>
      <c r="E347" s="4" t="s">
        <v>8</v>
      </c>
      <c r="F347" s="44">
        <v>19182.330000000002</v>
      </c>
      <c r="G347" s="31">
        <v>1188941.0601006639</v>
      </c>
      <c r="I347" s="48">
        <v>53751</v>
      </c>
      <c r="J347" s="51">
        <v>9.6477957000000003E-2</v>
      </c>
    </row>
    <row r="348" spans="1:10" x14ac:dyDescent="0.25">
      <c r="A348">
        <v>346</v>
      </c>
      <c r="B348" t="s">
        <v>689</v>
      </c>
      <c r="C348" t="s">
        <v>690</v>
      </c>
      <c r="D348" s="1">
        <v>8857</v>
      </c>
      <c r="E348" s="4" t="s">
        <v>11</v>
      </c>
      <c r="F348" s="44">
        <v>16495.47</v>
      </c>
      <c r="G348" s="31">
        <v>550867.23151211673</v>
      </c>
      <c r="I348" s="48">
        <v>53782</v>
      </c>
      <c r="J348" s="51">
        <v>9.6478614000000004E-2</v>
      </c>
    </row>
    <row r="349" spans="1:10" x14ac:dyDescent="0.25">
      <c r="A349">
        <v>347</v>
      </c>
      <c r="B349" t="s">
        <v>691</v>
      </c>
      <c r="C349" t="s">
        <v>692</v>
      </c>
      <c r="D349" s="1">
        <v>16661</v>
      </c>
      <c r="E349" s="4" t="s">
        <v>8</v>
      </c>
      <c r="F349" s="44">
        <v>17600.98</v>
      </c>
      <c r="G349" s="31">
        <v>2073129.4320326033</v>
      </c>
      <c r="I349" s="48">
        <v>53812</v>
      </c>
      <c r="J349" s="51">
        <v>9.6480086000000007E-2</v>
      </c>
    </row>
    <row r="350" spans="1:10" x14ac:dyDescent="0.25">
      <c r="A350">
        <v>348</v>
      </c>
      <c r="B350" t="s">
        <v>693</v>
      </c>
      <c r="C350" t="s">
        <v>694</v>
      </c>
      <c r="D350" s="1">
        <v>11793</v>
      </c>
      <c r="E350" s="4" t="s">
        <v>8</v>
      </c>
      <c r="F350" s="44">
        <v>22088.02</v>
      </c>
      <c r="G350" s="31">
        <v>1502947.9044415224</v>
      </c>
      <c r="I350" s="48">
        <v>53843</v>
      </c>
      <c r="J350" s="51">
        <v>9.6481600000000001E-2</v>
      </c>
    </row>
    <row r="351" spans="1:10" x14ac:dyDescent="0.25">
      <c r="A351">
        <v>349</v>
      </c>
      <c r="B351" t="s">
        <v>695</v>
      </c>
      <c r="C351" t="s">
        <v>696</v>
      </c>
      <c r="D351" s="1">
        <v>19621</v>
      </c>
      <c r="E351" s="4" t="s">
        <v>11</v>
      </c>
      <c r="F351" s="44">
        <v>17614.34</v>
      </c>
      <c r="G351" s="31">
        <v>2438138.2980626607</v>
      </c>
      <c r="I351" s="48">
        <v>53873</v>
      </c>
      <c r="J351" s="51">
        <v>9.6483028999999998E-2</v>
      </c>
    </row>
    <row r="352" spans="1:10" x14ac:dyDescent="0.25">
      <c r="A352">
        <v>350</v>
      </c>
      <c r="B352" t="s">
        <v>697</v>
      </c>
      <c r="C352" t="s">
        <v>698</v>
      </c>
      <c r="D352" s="1">
        <v>15829</v>
      </c>
      <c r="E352" s="4" t="s">
        <v>11</v>
      </c>
      <c r="F352" s="44">
        <v>19441.150000000001</v>
      </c>
      <c r="G352" s="31">
        <v>1800082.9966898139</v>
      </c>
      <c r="I352" s="48">
        <v>53904</v>
      </c>
      <c r="J352" s="51">
        <v>9.6483687999999998E-2</v>
      </c>
    </row>
    <row r="353" spans="1:10" x14ac:dyDescent="0.25">
      <c r="A353">
        <v>351</v>
      </c>
      <c r="B353" t="s">
        <v>699</v>
      </c>
      <c r="C353" t="s">
        <v>700</v>
      </c>
      <c r="D353" s="1">
        <v>16360</v>
      </c>
      <c r="E353" s="4" t="s">
        <v>8</v>
      </c>
      <c r="F353" s="44">
        <v>17536.48</v>
      </c>
      <c r="G353" s="31">
        <v>2011280.3692741406</v>
      </c>
      <c r="I353" s="48">
        <v>53935</v>
      </c>
      <c r="J353" s="51">
        <v>9.6484343E-2</v>
      </c>
    </row>
    <row r="354" spans="1:10" x14ac:dyDescent="0.25">
      <c r="A354">
        <v>352</v>
      </c>
      <c r="B354" t="s">
        <v>701</v>
      </c>
      <c r="C354" t="s">
        <v>702</v>
      </c>
      <c r="D354" s="1">
        <v>9264</v>
      </c>
      <c r="E354" s="4" t="s">
        <v>11</v>
      </c>
      <c r="F354" s="44">
        <v>24507.93</v>
      </c>
      <c r="G354" s="31">
        <v>891168.57448904589</v>
      </c>
      <c r="I354" s="48">
        <v>53965</v>
      </c>
      <c r="J354" s="51">
        <v>9.6485002E-2</v>
      </c>
    </row>
    <row r="355" spans="1:10" x14ac:dyDescent="0.25">
      <c r="A355">
        <v>353</v>
      </c>
      <c r="B355" t="s">
        <v>703</v>
      </c>
      <c r="C355" t="s">
        <v>704</v>
      </c>
      <c r="D355" s="1">
        <v>10969</v>
      </c>
      <c r="E355" s="4" t="s">
        <v>11</v>
      </c>
      <c r="F355" s="44">
        <v>20327.990000000002</v>
      </c>
      <c r="G355" s="31">
        <v>902158.433666736</v>
      </c>
      <c r="I355" s="48">
        <v>53996</v>
      </c>
      <c r="J355" s="51">
        <v>9.6486545000000007E-2</v>
      </c>
    </row>
    <row r="356" spans="1:10" x14ac:dyDescent="0.25">
      <c r="A356">
        <v>354</v>
      </c>
      <c r="B356" t="s">
        <v>705</v>
      </c>
      <c r="C356" t="s">
        <v>706</v>
      </c>
      <c r="D356" s="1">
        <v>8278</v>
      </c>
      <c r="E356" s="4" t="s">
        <v>8</v>
      </c>
      <c r="F356" s="44">
        <v>24713.68</v>
      </c>
      <c r="G356" s="31">
        <v>927356.2715204811</v>
      </c>
      <c r="I356" s="48">
        <v>54026</v>
      </c>
      <c r="J356" s="51">
        <v>9.6488030000000002E-2</v>
      </c>
    </row>
    <row r="357" spans="1:10" x14ac:dyDescent="0.25">
      <c r="A357">
        <v>355</v>
      </c>
      <c r="B357" t="s">
        <v>707</v>
      </c>
      <c r="C357" t="s">
        <v>708</v>
      </c>
      <c r="D357" s="1">
        <v>8582</v>
      </c>
      <c r="E357" s="4" t="s">
        <v>8</v>
      </c>
      <c r="F357" s="44">
        <v>27998.7</v>
      </c>
      <c r="G357" s="31">
        <v>1266115.4624394607</v>
      </c>
      <c r="I357" s="48">
        <v>54057</v>
      </c>
      <c r="J357" s="51">
        <v>9.6489506000000003E-2</v>
      </c>
    </row>
    <row r="358" spans="1:10" x14ac:dyDescent="0.25">
      <c r="A358">
        <v>356</v>
      </c>
      <c r="B358" t="s">
        <v>709</v>
      </c>
      <c r="C358" t="s">
        <v>710</v>
      </c>
      <c r="D358" s="1">
        <v>8968</v>
      </c>
      <c r="E358" s="4" t="s">
        <v>11</v>
      </c>
      <c r="F358" s="44">
        <v>17651.84</v>
      </c>
      <c r="G358" s="31">
        <v>502917.86424597865</v>
      </c>
      <c r="I358" s="48">
        <v>54088</v>
      </c>
      <c r="J358" s="51">
        <v>9.6490263000000007E-2</v>
      </c>
    </row>
    <row r="359" spans="1:10" x14ac:dyDescent="0.25">
      <c r="A359">
        <v>357</v>
      </c>
      <c r="B359" t="s">
        <v>711</v>
      </c>
      <c r="C359" t="s">
        <v>712</v>
      </c>
      <c r="D359" s="1">
        <v>15945</v>
      </c>
      <c r="E359" s="4" t="s">
        <v>8</v>
      </c>
      <c r="F359" s="44">
        <v>18021.16</v>
      </c>
      <c r="G359" s="31">
        <v>1971213.4992885792</v>
      </c>
      <c r="I359" s="48">
        <v>54117</v>
      </c>
      <c r="J359" s="51">
        <v>9.6490965999999997E-2</v>
      </c>
    </row>
    <row r="360" spans="1:10" x14ac:dyDescent="0.25">
      <c r="A360">
        <v>358</v>
      </c>
      <c r="B360" t="s">
        <v>713</v>
      </c>
      <c r="C360" t="s">
        <v>714</v>
      </c>
      <c r="D360" s="1">
        <v>15453</v>
      </c>
      <c r="E360" s="4" t="s">
        <v>8</v>
      </c>
      <c r="F360" s="44">
        <v>18455.98</v>
      </c>
      <c r="G360" s="31">
        <v>1951870.9674031716</v>
      </c>
      <c r="I360" s="48">
        <v>54148</v>
      </c>
      <c r="J360" s="51">
        <v>9.6491769000000005E-2</v>
      </c>
    </row>
    <row r="361" spans="1:10" x14ac:dyDescent="0.25">
      <c r="A361">
        <v>359</v>
      </c>
      <c r="B361" t="s">
        <v>715</v>
      </c>
      <c r="C361" t="s">
        <v>716</v>
      </c>
      <c r="D361" s="1">
        <v>8493</v>
      </c>
      <c r="E361" s="4" t="s">
        <v>8</v>
      </c>
      <c r="F361" s="44">
        <v>17391.07</v>
      </c>
      <c r="G361" s="31">
        <v>752644.02928527247</v>
      </c>
      <c r="I361" s="48">
        <v>54178</v>
      </c>
      <c r="J361" s="51">
        <v>9.6493304000000002E-2</v>
      </c>
    </row>
    <row r="362" spans="1:10" x14ac:dyDescent="0.25">
      <c r="A362">
        <v>360</v>
      </c>
      <c r="B362" t="s">
        <v>717</v>
      </c>
      <c r="C362" t="s">
        <v>718</v>
      </c>
      <c r="D362" s="1">
        <v>19282</v>
      </c>
      <c r="E362" s="4" t="s">
        <v>11</v>
      </c>
      <c r="F362" s="44">
        <v>20356.52</v>
      </c>
      <c r="G362" s="31">
        <v>2733422.7112307376</v>
      </c>
      <c r="I362" s="48">
        <v>54209</v>
      </c>
      <c r="J362" s="51">
        <v>9.6494881000000005E-2</v>
      </c>
    </row>
    <row r="363" spans="1:10" x14ac:dyDescent="0.25">
      <c r="A363">
        <v>361</v>
      </c>
      <c r="B363" t="s">
        <v>719</v>
      </c>
      <c r="C363" t="s">
        <v>720</v>
      </c>
      <c r="D363" s="1">
        <v>9417</v>
      </c>
      <c r="E363" s="4" t="s">
        <v>8</v>
      </c>
      <c r="F363" s="44">
        <v>22515.46</v>
      </c>
      <c r="G363" s="31">
        <v>1033551.2059550231</v>
      </c>
      <c r="I363" s="48">
        <v>54239</v>
      </c>
      <c r="J363" s="51">
        <v>9.6493931000000005E-2</v>
      </c>
    </row>
    <row r="364" spans="1:10" x14ac:dyDescent="0.25">
      <c r="A364">
        <v>362</v>
      </c>
      <c r="B364" t="s">
        <v>721</v>
      </c>
      <c r="C364" t="s">
        <v>722</v>
      </c>
      <c r="D364" s="1">
        <v>13109</v>
      </c>
      <c r="E364" s="4" t="s">
        <v>11</v>
      </c>
      <c r="F364" s="44">
        <v>20322.5</v>
      </c>
      <c r="G364" s="31">
        <v>1243725.2595418545</v>
      </c>
      <c r="I364" s="48">
        <v>54270</v>
      </c>
      <c r="J364" s="51">
        <v>9.6419197999999998E-2</v>
      </c>
    </row>
    <row r="365" spans="1:10" x14ac:dyDescent="0.25">
      <c r="A365">
        <v>363</v>
      </c>
      <c r="B365" t="s">
        <v>723</v>
      </c>
      <c r="C365" t="s">
        <v>724</v>
      </c>
      <c r="D365" s="1">
        <v>16046</v>
      </c>
      <c r="E365" s="4" t="s">
        <v>8</v>
      </c>
      <c r="F365" s="44">
        <v>22304.49</v>
      </c>
      <c r="G365" s="31">
        <v>2485057.9534866707</v>
      </c>
      <c r="I365" s="48">
        <v>54301</v>
      </c>
      <c r="J365" s="51">
        <v>9.6344886000000005E-2</v>
      </c>
    </row>
    <row r="366" spans="1:10" x14ac:dyDescent="0.25">
      <c r="A366">
        <v>364</v>
      </c>
      <c r="B366" t="s">
        <v>725</v>
      </c>
      <c r="C366" t="s">
        <v>726</v>
      </c>
      <c r="D366" s="1">
        <v>8182</v>
      </c>
      <c r="E366" s="4" t="s">
        <v>8</v>
      </c>
      <c r="F366" s="44">
        <v>23416.19</v>
      </c>
      <c r="G366" s="31">
        <v>993674.50239837903</v>
      </c>
      <c r="I366" s="48">
        <v>54331</v>
      </c>
      <c r="J366" s="51">
        <v>9.6273367999999998E-2</v>
      </c>
    </row>
    <row r="367" spans="1:10" x14ac:dyDescent="0.25">
      <c r="A367">
        <v>365</v>
      </c>
      <c r="B367" t="s">
        <v>727</v>
      </c>
      <c r="C367" t="s">
        <v>728</v>
      </c>
      <c r="D367" s="1">
        <v>11970</v>
      </c>
      <c r="E367" s="4" t="s">
        <v>8</v>
      </c>
      <c r="F367" s="44">
        <v>16297.15</v>
      </c>
      <c r="G367" s="31">
        <v>1088888.5287714803</v>
      </c>
      <c r="I367" s="48">
        <v>54362</v>
      </c>
      <c r="J367" s="51">
        <v>9.6199873000000005E-2</v>
      </c>
    </row>
    <row r="368" spans="1:10" x14ac:dyDescent="0.25">
      <c r="A368">
        <v>366</v>
      </c>
      <c r="B368" t="s">
        <v>729</v>
      </c>
      <c r="C368" t="s">
        <v>730</v>
      </c>
      <c r="D368" s="1">
        <v>14228</v>
      </c>
      <c r="E368" s="4" t="s">
        <v>8</v>
      </c>
      <c r="F368" s="44">
        <v>21732.1</v>
      </c>
      <c r="G368" s="31">
        <v>1973792.9142927518</v>
      </c>
      <c r="I368" s="48">
        <v>54392</v>
      </c>
      <c r="J368" s="51">
        <v>9.6129139000000002E-2</v>
      </c>
    </row>
    <row r="369" spans="1:10" x14ac:dyDescent="0.25">
      <c r="A369">
        <v>367</v>
      </c>
      <c r="B369" t="s">
        <v>731</v>
      </c>
      <c r="C369" t="s">
        <v>732</v>
      </c>
      <c r="D369" s="1">
        <v>16610</v>
      </c>
      <c r="E369" s="4" t="s">
        <v>8</v>
      </c>
      <c r="F369" s="44">
        <v>22228.91</v>
      </c>
      <c r="G369" s="31">
        <v>2654377.963667396</v>
      </c>
      <c r="I369" s="48">
        <v>54423</v>
      </c>
      <c r="J369" s="51">
        <v>9.6056447000000003E-2</v>
      </c>
    </row>
    <row r="370" spans="1:10" x14ac:dyDescent="0.25">
      <c r="A370">
        <v>368</v>
      </c>
      <c r="B370" t="s">
        <v>628</v>
      </c>
      <c r="C370" t="s">
        <v>733</v>
      </c>
      <c r="D370" s="1">
        <v>16083</v>
      </c>
      <c r="E370" s="4" t="s">
        <v>11</v>
      </c>
      <c r="F370" s="44">
        <v>19740.34</v>
      </c>
      <c r="G370" s="31">
        <v>1866397.2768749313</v>
      </c>
      <c r="I370" s="48">
        <v>54454</v>
      </c>
      <c r="J370" s="51">
        <v>9.5984158999999999E-2</v>
      </c>
    </row>
    <row r="371" spans="1:10" x14ac:dyDescent="0.25">
      <c r="A371">
        <v>369</v>
      </c>
      <c r="B371" t="s">
        <v>734</v>
      </c>
      <c r="C371" t="s">
        <v>735</v>
      </c>
      <c r="D371" s="1">
        <v>19757</v>
      </c>
      <c r="E371" s="4" t="s">
        <v>8</v>
      </c>
      <c r="F371" s="44">
        <v>16982.05</v>
      </c>
      <c r="G371" s="31">
        <v>2623400.8569069086</v>
      </c>
      <c r="I371" s="48">
        <v>54482</v>
      </c>
      <c r="J371" s="51">
        <v>9.5919210000000005E-2</v>
      </c>
    </row>
    <row r="372" spans="1:10" x14ac:dyDescent="0.25">
      <c r="A372">
        <v>370</v>
      </c>
      <c r="B372" t="s">
        <v>736</v>
      </c>
      <c r="C372" t="s">
        <v>737</v>
      </c>
      <c r="D372" s="1">
        <v>21041</v>
      </c>
      <c r="E372" s="4" t="s">
        <v>8</v>
      </c>
      <c r="F372" s="44">
        <v>22539.119999999999</v>
      </c>
      <c r="G372" s="31">
        <v>3781442.5702406471</v>
      </c>
      <c r="I372" s="48">
        <v>54513</v>
      </c>
      <c r="J372" s="51">
        <v>9.5847680000000005E-2</v>
      </c>
    </row>
    <row r="373" spans="1:10" x14ac:dyDescent="0.25">
      <c r="A373">
        <v>371</v>
      </c>
      <c r="B373" t="s">
        <v>738</v>
      </c>
      <c r="C373" t="s">
        <v>739</v>
      </c>
      <c r="D373" s="1">
        <v>20912</v>
      </c>
      <c r="E373" s="4" t="s">
        <v>11</v>
      </c>
      <c r="F373" s="44">
        <v>20955.330000000002</v>
      </c>
      <c r="G373" s="31">
        <v>3240033.2194424504</v>
      </c>
      <c r="I373" s="48">
        <v>54543</v>
      </c>
      <c r="J373" s="51">
        <v>9.5778831999999994E-2</v>
      </c>
    </row>
    <row r="374" spans="1:10" x14ac:dyDescent="0.25">
      <c r="A374">
        <v>372</v>
      </c>
      <c r="B374" t="s">
        <v>740</v>
      </c>
      <c r="C374" t="s">
        <v>741</v>
      </c>
      <c r="D374" s="1">
        <v>19859</v>
      </c>
      <c r="E374" s="4" t="s">
        <v>11</v>
      </c>
      <c r="F374" s="44">
        <v>20727.62</v>
      </c>
      <c r="G374" s="31">
        <v>2948364.4133298518</v>
      </c>
      <c r="I374" s="48">
        <v>54574</v>
      </c>
      <c r="J374" s="51">
        <v>9.5708074000000004E-2</v>
      </c>
    </row>
    <row r="375" spans="1:10" x14ac:dyDescent="0.25">
      <c r="A375">
        <v>373</v>
      </c>
      <c r="B375" t="s">
        <v>742</v>
      </c>
      <c r="C375" t="s">
        <v>743</v>
      </c>
      <c r="D375" s="1">
        <v>16124</v>
      </c>
      <c r="E375" s="4" t="s">
        <v>11</v>
      </c>
      <c r="F375" s="44">
        <v>19959.93</v>
      </c>
      <c r="G375" s="31">
        <v>1904743.0845154023</v>
      </c>
      <c r="I375" s="48">
        <v>54604</v>
      </c>
      <c r="J375" s="51">
        <v>9.5639967000000006E-2</v>
      </c>
    </row>
    <row r="376" spans="1:10" x14ac:dyDescent="0.25">
      <c r="A376">
        <v>374</v>
      </c>
      <c r="B376" t="s">
        <v>744</v>
      </c>
      <c r="C376" t="s">
        <v>745</v>
      </c>
      <c r="D376" s="1">
        <v>16140</v>
      </c>
      <c r="E376" s="4" t="s">
        <v>11</v>
      </c>
      <c r="F376" s="44">
        <v>18374.46</v>
      </c>
      <c r="G376" s="31">
        <v>1759849.6570019135</v>
      </c>
      <c r="I376" s="48">
        <v>54635</v>
      </c>
      <c r="J376" s="51">
        <v>9.5569968000000005E-2</v>
      </c>
    </row>
    <row r="377" spans="1:10" x14ac:dyDescent="0.25">
      <c r="A377">
        <v>375</v>
      </c>
      <c r="B377" t="s">
        <v>746</v>
      </c>
      <c r="C377" t="s">
        <v>747</v>
      </c>
      <c r="D377" s="1">
        <v>8229</v>
      </c>
      <c r="E377" s="4" t="s">
        <v>11</v>
      </c>
      <c r="F377" s="44">
        <v>19361.41</v>
      </c>
      <c r="G377" s="31">
        <v>480807.40620919142</v>
      </c>
      <c r="I377" s="48">
        <v>54666</v>
      </c>
      <c r="J377" s="51">
        <v>9.5500349999999998E-2</v>
      </c>
    </row>
    <row r="378" spans="1:10" x14ac:dyDescent="0.25">
      <c r="A378">
        <v>376</v>
      </c>
      <c r="B378" t="s">
        <v>748</v>
      </c>
      <c r="C378" t="s">
        <v>749</v>
      </c>
      <c r="D378" s="1">
        <v>13872</v>
      </c>
      <c r="E378" s="4" t="s">
        <v>11</v>
      </c>
      <c r="F378" s="44">
        <v>19634.75</v>
      </c>
      <c r="G378" s="31">
        <v>1360385.4842445557</v>
      </c>
      <c r="I378" s="48">
        <v>54696</v>
      </c>
      <c r="J378" s="51">
        <v>9.5433338000000006E-2</v>
      </c>
    </row>
    <row r="379" spans="1:10" x14ac:dyDescent="0.25">
      <c r="A379">
        <v>377</v>
      </c>
      <c r="B379" t="s">
        <v>750</v>
      </c>
      <c r="C379" t="s">
        <v>751</v>
      </c>
      <c r="D379" s="1">
        <v>9997</v>
      </c>
      <c r="E379" s="4" t="s">
        <v>8</v>
      </c>
      <c r="F379" s="44">
        <v>26045.26</v>
      </c>
      <c r="G379" s="31">
        <v>1405169.4909738472</v>
      </c>
      <c r="I379" s="48">
        <v>54727</v>
      </c>
      <c r="J379" s="51">
        <v>9.5364460999999998E-2</v>
      </c>
    </row>
    <row r="380" spans="1:10" x14ac:dyDescent="0.25">
      <c r="A380">
        <v>378</v>
      </c>
      <c r="B380" t="s">
        <v>752</v>
      </c>
      <c r="C380" t="s">
        <v>753</v>
      </c>
      <c r="D380" s="1">
        <v>8123</v>
      </c>
      <c r="E380" s="4" t="s">
        <v>8</v>
      </c>
      <c r="F380" s="44">
        <v>20211.29</v>
      </c>
      <c r="G380" s="31">
        <v>828879.68197355163</v>
      </c>
      <c r="I380" s="48">
        <v>54757</v>
      </c>
      <c r="J380" s="51">
        <v>9.5298161000000006E-2</v>
      </c>
    </row>
    <row r="381" spans="1:10" x14ac:dyDescent="0.25">
      <c r="A381">
        <v>379</v>
      </c>
      <c r="B381" t="s">
        <v>754</v>
      </c>
      <c r="C381" t="s">
        <v>755</v>
      </c>
      <c r="D381" s="1">
        <v>7492</v>
      </c>
      <c r="E381" s="4" t="s">
        <v>8</v>
      </c>
      <c r="F381" s="44">
        <v>14123.16</v>
      </c>
      <c r="G381" s="31">
        <v>450573.46554242203</v>
      </c>
      <c r="I381" s="48">
        <v>54788</v>
      </c>
      <c r="J381" s="51">
        <v>9.5230013000000002E-2</v>
      </c>
    </row>
    <row r="382" spans="1:10" x14ac:dyDescent="0.25">
      <c r="A382">
        <v>380</v>
      </c>
      <c r="B382" t="s">
        <v>756</v>
      </c>
      <c r="C382" t="s">
        <v>757</v>
      </c>
      <c r="D382" s="1">
        <v>13036</v>
      </c>
      <c r="E382" s="4" t="s">
        <v>11</v>
      </c>
      <c r="F382" s="44">
        <v>21907.35</v>
      </c>
      <c r="G382" s="31">
        <v>1299991.1323711399</v>
      </c>
      <c r="I382" s="48">
        <v>54819</v>
      </c>
      <c r="J382" s="51">
        <v>9.5162231E-2</v>
      </c>
    </row>
    <row r="383" spans="1:10" x14ac:dyDescent="0.25">
      <c r="A383">
        <v>381</v>
      </c>
      <c r="B383" t="s">
        <v>758</v>
      </c>
      <c r="C383" t="s">
        <v>759</v>
      </c>
      <c r="D383" s="1">
        <v>8190</v>
      </c>
      <c r="E383" s="4" t="s">
        <v>11</v>
      </c>
      <c r="F383" s="44">
        <v>17884.95</v>
      </c>
      <c r="G383" s="31">
        <v>568482.72862871457</v>
      </c>
      <c r="I383" s="48">
        <v>54847</v>
      </c>
      <c r="J383" s="51">
        <v>9.5101322000000002E-2</v>
      </c>
    </row>
    <row r="384" spans="1:10" x14ac:dyDescent="0.25">
      <c r="A384">
        <v>382</v>
      </c>
      <c r="B384" t="s">
        <v>760</v>
      </c>
      <c r="C384" t="s">
        <v>761</v>
      </c>
      <c r="D384" s="1">
        <v>21099</v>
      </c>
      <c r="E384" s="4" t="s">
        <v>11</v>
      </c>
      <c r="F384" s="44">
        <v>23044.83</v>
      </c>
      <c r="G384" s="31">
        <v>3602844.3672693279</v>
      </c>
      <c r="I384" s="48">
        <v>54878</v>
      </c>
      <c r="J384" s="51">
        <v>9.5034228999999998E-2</v>
      </c>
    </row>
    <row r="385" spans="1:10" x14ac:dyDescent="0.25">
      <c r="A385">
        <v>383</v>
      </c>
      <c r="B385" t="s">
        <v>762</v>
      </c>
      <c r="C385" t="s">
        <v>763</v>
      </c>
      <c r="D385" s="1">
        <v>19390</v>
      </c>
      <c r="E385" s="4" t="s">
        <v>11</v>
      </c>
      <c r="F385" s="44">
        <v>16598.7</v>
      </c>
      <c r="G385" s="31">
        <v>2258731.078531194</v>
      </c>
      <c r="I385" s="48">
        <v>54908</v>
      </c>
      <c r="J385" s="51">
        <v>9.4969640999999994E-2</v>
      </c>
    </row>
    <row r="386" spans="1:10" x14ac:dyDescent="0.25">
      <c r="A386">
        <v>384</v>
      </c>
      <c r="B386" t="s">
        <v>764</v>
      </c>
      <c r="C386" t="s">
        <v>765</v>
      </c>
      <c r="D386" s="1">
        <v>18378</v>
      </c>
      <c r="E386" s="4" t="s">
        <v>11</v>
      </c>
      <c r="F386" s="44">
        <v>22188.94</v>
      </c>
      <c r="G386" s="31">
        <v>2748248.2974472623</v>
      </c>
      <c r="I386" s="48">
        <v>54939</v>
      </c>
      <c r="J386" s="51">
        <v>9.4903249999999995E-2</v>
      </c>
    </row>
    <row r="387" spans="1:10" x14ac:dyDescent="0.25">
      <c r="A387">
        <v>385</v>
      </c>
      <c r="B387" t="s">
        <v>766</v>
      </c>
      <c r="C387" t="s">
        <v>767</v>
      </c>
      <c r="D387" s="1">
        <v>13383</v>
      </c>
      <c r="E387" s="4" t="s">
        <v>11</v>
      </c>
      <c r="F387" s="44">
        <v>18055.32</v>
      </c>
      <c r="G387" s="31">
        <v>1127269.4222585717</v>
      </c>
      <c r="I387" s="48">
        <v>54969</v>
      </c>
      <c r="J387" s="51">
        <v>9.4839334999999997E-2</v>
      </c>
    </row>
    <row r="388" spans="1:10" x14ac:dyDescent="0.25">
      <c r="A388">
        <v>386</v>
      </c>
      <c r="B388" t="s">
        <v>768</v>
      </c>
      <c r="C388" t="s">
        <v>769</v>
      </c>
      <c r="D388" s="1">
        <v>15466</v>
      </c>
      <c r="E388" s="4" t="s">
        <v>11</v>
      </c>
      <c r="F388" s="44">
        <v>21641.72</v>
      </c>
      <c r="G388" s="31">
        <v>1912900.1891199788</v>
      </c>
      <c r="I388" s="48">
        <v>55000</v>
      </c>
      <c r="J388" s="51">
        <v>9.4773633999999995E-2</v>
      </c>
    </row>
    <row r="389" spans="1:10" x14ac:dyDescent="0.25">
      <c r="A389">
        <v>387</v>
      </c>
      <c r="B389" t="s">
        <v>770</v>
      </c>
      <c r="C389" t="s">
        <v>771</v>
      </c>
      <c r="D389" s="1">
        <v>8753</v>
      </c>
      <c r="E389" s="4" t="s">
        <v>8</v>
      </c>
      <c r="F389" s="44">
        <v>11883.66</v>
      </c>
      <c r="G389" s="31">
        <v>508763.89327159047</v>
      </c>
      <c r="I389" s="48">
        <v>55031</v>
      </c>
      <c r="J389" s="51">
        <v>9.4708279000000006E-2</v>
      </c>
    </row>
    <row r="390" spans="1:10" x14ac:dyDescent="0.25">
      <c r="A390">
        <v>388</v>
      </c>
      <c r="B390" t="s">
        <v>772</v>
      </c>
      <c r="C390" t="s">
        <v>773</v>
      </c>
      <c r="D390" s="1">
        <v>17240</v>
      </c>
      <c r="E390" s="4" t="s">
        <v>11</v>
      </c>
      <c r="F390" s="44">
        <v>19032.099999999999</v>
      </c>
      <c r="G390" s="31">
        <v>2080834.0764263954</v>
      </c>
      <c r="I390" s="48">
        <v>55061</v>
      </c>
      <c r="J390" s="51">
        <v>9.4645359999999998E-2</v>
      </c>
    </row>
    <row r="391" spans="1:10" x14ac:dyDescent="0.25">
      <c r="A391">
        <v>389</v>
      </c>
      <c r="B391" t="s">
        <v>774</v>
      </c>
      <c r="C391" t="s">
        <v>775</v>
      </c>
      <c r="D391" s="1">
        <v>15938</v>
      </c>
      <c r="E391" s="4" t="s">
        <v>11</v>
      </c>
      <c r="F391" s="44">
        <v>17630.02</v>
      </c>
      <c r="G391" s="31">
        <v>1610104.4808256021</v>
      </c>
      <c r="I391" s="48">
        <v>55092</v>
      </c>
      <c r="J391" s="51">
        <v>9.458068E-2</v>
      </c>
    </row>
    <row r="392" spans="1:10" x14ac:dyDescent="0.25">
      <c r="A392">
        <v>390</v>
      </c>
      <c r="B392" t="s">
        <v>449</v>
      </c>
      <c r="C392" t="s">
        <v>776</v>
      </c>
      <c r="D392" s="1">
        <v>8926</v>
      </c>
      <c r="E392" s="4" t="s">
        <v>8</v>
      </c>
      <c r="F392" s="44">
        <v>20892.12</v>
      </c>
      <c r="G392" s="31">
        <v>984342.87369316746</v>
      </c>
      <c r="I392" s="48">
        <v>55122</v>
      </c>
      <c r="J392" s="51">
        <v>9.4518407999999998E-2</v>
      </c>
    </row>
    <row r="393" spans="1:10" x14ac:dyDescent="0.25">
      <c r="A393">
        <v>391</v>
      </c>
      <c r="B393" t="s">
        <v>777</v>
      </c>
      <c r="C393" t="s">
        <v>778</v>
      </c>
      <c r="D393" s="1">
        <v>11729</v>
      </c>
      <c r="E393" s="4" t="s">
        <v>8</v>
      </c>
      <c r="F393" s="44">
        <v>19927.23</v>
      </c>
      <c r="G393" s="31">
        <v>1325549.6075243792</v>
      </c>
      <c r="I393" s="48">
        <v>55153</v>
      </c>
      <c r="J393" s="51">
        <v>9.4454390999999999E-2</v>
      </c>
    </row>
    <row r="394" spans="1:10" x14ac:dyDescent="0.25">
      <c r="A394">
        <v>392</v>
      </c>
      <c r="B394" t="s">
        <v>779</v>
      </c>
      <c r="C394" t="s">
        <v>780</v>
      </c>
      <c r="D394" s="1">
        <v>15305</v>
      </c>
      <c r="E394" s="4" t="s">
        <v>11</v>
      </c>
      <c r="F394" s="44">
        <v>21962.38</v>
      </c>
      <c r="G394" s="31">
        <v>1861597.3297967273</v>
      </c>
      <c r="I394" s="48">
        <v>55184</v>
      </c>
      <c r="J394" s="51">
        <v>9.4390708000000004E-2</v>
      </c>
    </row>
    <row r="395" spans="1:10" x14ac:dyDescent="0.25">
      <c r="A395">
        <v>393</v>
      </c>
      <c r="B395" t="s">
        <v>781</v>
      </c>
      <c r="C395" t="s">
        <v>782</v>
      </c>
      <c r="D395" s="1">
        <v>16493</v>
      </c>
      <c r="E395" s="4" t="s">
        <v>8</v>
      </c>
      <c r="F395" s="44">
        <v>24825.119999999999</v>
      </c>
      <c r="G395" s="31">
        <v>2910392.5514447587</v>
      </c>
      <c r="I395" s="48">
        <v>55212</v>
      </c>
      <c r="J395" s="51">
        <v>9.4333472000000002E-2</v>
      </c>
    </row>
    <row r="396" spans="1:10" x14ac:dyDescent="0.25">
      <c r="A396">
        <v>394</v>
      </c>
      <c r="B396" t="s">
        <v>783</v>
      </c>
      <c r="C396" t="s">
        <v>784</v>
      </c>
      <c r="D396" s="1">
        <v>8955</v>
      </c>
      <c r="E396" s="4" t="s">
        <v>11</v>
      </c>
      <c r="F396" s="44">
        <v>16005.57</v>
      </c>
      <c r="G396" s="31">
        <v>451212.33751564106</v>
      </c>
      <c r="I396" s="48">
        <v>55243</v>
      </c>
      <c r="J396" s="51">
        <v>9.4270415999999996E-2</v>
      </c>
    </row>
    <row r="397" spans="1:10" x14ac:dyDescent="0.25">
      <c r="A397">
        <v>395</v>
      </c>
      <c r="B397" t="s">
        <v>785</v>
      </c>
      <c r="C397" t="s">
        <v>786</v>
      </c>
      <c r="D397" s="1">
        <v>10812</v>
      </c>
      <c r="E397" s="4" t="s">
        <v>8</v>
      </c>
      <c r="F397" s="44">
        <v>19197.04</v>
      </c>
      <c r="G397" s="31">
        <v>1063780.8891294962</v>
      </c>
      <c r="I397" s="48">
        <v>55273</v>
      </c>
      <c r="J397" s="51">
        <v>9.4209705000000005E-2</v>
      </c>
    </row>
    <row r="398" spans="1:10" x14ac:dyDescent="0.25">
      <c r="A398">
        <v>396</v>
      </c>
      <c r="B398" t="s">
        <v>787</v>
      </c>
      <c r="C398" t="s">
        <v>788</v>
      </c>
      <c r="D398" s="1">
        <v>15174</v>
      </c>
      <c r="E398" s="4" t="s">
        <v>8</v>
      </c>
      <c r="F398" s="44">
        <v>25133.41</v>
      </c>
      <c r="G398" s="31">
        <v>2512261.8617480337</v>
      </c>
      <c r="I398" s="48">
        <v>55304</v>
      </c>
      <c r="J398" s="51">
        <v>9.4147287999999996E-2</v>
      </c>
    </row>
    <row r="399" spans="1:10" x14ac:dyDescent="0.25">
      <c r="A399">
        <v>397</v>
      </c>
      <c r="B399" t="s">
        <v>789</v>
      </c>
      <c r="C399" t="s">
        <v>790</v>
      </c>
      <c r="D399" s="1">
        <v>18608</v>
      </c>
      <c r="E399" s="4" t="s">
        <v>11</v>
      </c>
      <c r="F399" s="44">
        <v>21201.19</v>
      </c>
      <c r="G399" s="31">
        <v>2671937.8202462099</v>
      </c>
      <c r="I399" s="48">
        <v>55334</v>
      </c>
      <c r="J399" s="51">
        <v>9.4087190000000001E-2</v>
      </c>
    </row>
    <row r="400" spans="1:10" x14ac:dyDescent="0.25">
      <c r="A400">
        <v>398</v>
      </c>
      <c r="B400" t="s">
        <v>791</v>
      </c>
      <c r="C400" t="s">
        <v>792</v>
      </c>
      <c r="D400" s="1">
        <v>8672</v>
      </c>
      <c r="E400" s="4" t="s">
        <v>8</v>
      </c>
      <c r="F400" s="44">
        <v>19184.43</v>
      </c>
      <c r="G400" s="31">
        <v>778707.15961150662</v>
      </c>
      <c r="I400" s="48">
        <v>55365</v>
      </c>
      <c r="J400" s="51">
        <v>9.4025401999999994E-2</v>
      </c>
    </row>
    <row r="401" spans="1:10" x14ac:dyDescent="0.25">
      <c r="A401">
        <v>399</v>
      </c>
      <c r="B401" t="s">
        <v>793</v>
      </c>
      <c r="C401" t="s">
        <v>794</v>
      </c>
      <c r="D401" s="1">
        <v>15867</v>
      </c>
      <c r="E401" s="4" t="s">
        <v>11</v>
      </c>
      <c r="F401" s="44">
        <v>17129.060000000001</v>
      </c>
      <c r="G401" s="31">
        <v>1599847.7766523021</v>
      </c>
      <c r="I401" s="48">
        <v>55396</v>
      </c>
      <c r="J401" s="51">
        <v>9.3963931000000001E-2</v>
      </c>
    </row>
    <row r="402" spans="1:10" x14ac:dyDescent="0.25">
      <c r="A402">
        <v>400</v>
      </c>
      <c r="B402" t="s">
        <v>795</v>
      </c>
      <c r="C402" t="s">
        <v>796</v>
      </c>
      <c r="D402" s="1">
        <v>13781</v>
      </c>
      <c r="E402" s="4" t="s">
        <v>11</v>
      </c>
      <c r="F402" s="44">
        <v>20441.36</v>
      </c>
      <c r="G402" s="31">
        <v>1369918.1468252013</v>
      </c>
      <c r="I402" s="48">
        <v>55426</v>
      </c>
      <c r="J402" s="51">
        <v>9.3904741E-2</v>
      </c>
    </row>
    <row r="403" spans="1:10" x14ac:dyDescent="0.25">
      <c r="A403">
        <v>401</v>
      </c>
      <c r="B403" t="s">
        <v>458</v>
      </c>
      <c r="C403" t="s">
        <v>797</v>
      </c>
      <c r="D403" s="1">
        <v>17813</v>
      </c>
      <c r="E403" s="4" t="s">
        <v>11</v>
      </c>
      <c r="F403" s="44">
        <v>16220.51</v>
      </c>
      <c r="G403" s="31">
        <v>1873415.5052555006</v>
      </c>
      <c r="I403" s="48">
        <v>55457</v>
      </c>
      <c r="J403" s="51">
        <v>9.3843885000000002E-2</v>
      </c>
    </row>
    <row r="404" spans="1:10" x14ac:dyDescent="0.25">
      <c r="A404">
        <v>402</v>
      </c>
      <c r="B404" t="s">
        <v>798</v>
      </c>
      <c r="C404" t="s">
        <v>799</v>
      </c>
      <c r="D404" s="1">
        <v>18121</v>
      </c>
      <c r="E404" s="4" t="s">
        <v>8</v>
      </c>
      <c r="F404" s="44">
        <v>24536.15</v>
      </c>
      <c r="G404" s="31">
        <v>3315289.9942070018</v>
      </c>
      <c r="I404" s="48">
        <v>55487</v>
      </c>
      <c r="J404" s="51">
        <v>9.3785285999999995E-2</v>
      </c>
    </row>
    <row r="405" spans="1:10" x14ac:dyDescent="0.25">
      <c r="A405">
        <v>403</v>
      </c>
      <c r="B405" t="s">
        <v>800</v>
      </c>
      <c r="C405" t="s">
        <v>801</v>
      </c>
      <c r="D405" s="1">
        <v>13091</v>
      </c>
      <c r="E405" s="4" t="s">
        <v>11</v>
      </c>
      <c r="F405" s="44">
        <v>17304</v>
      </c>
      <c r="G405" s="31">
        <v>1051630.9840114024</v>
      </c>
      <c r="I405" s="48">
        <v>55518</v>
      </c>
      <c r="J405" s="51">
        <v>9.3725035999999998E-2</v>
      </c>
    </row>
    <row r="406" spans="1:10" x14ac:dyDescent="0.25">
      <c r="A406">
        <v>404</v>
      </c>
      <c r="B406" t="s">
        <v>802</v>
      </c>
      <c r="C406" t="s">
        <v>803</v>
      </c>
      <c r="D406" s="1">
        <v>15713</v>
      </c>
      <c r="E406" s="4" t="s">
        <v>8</v>
      </c>
      <c r="F406" s="44">
        <v>25075.77</v>
      </c>
      <c r="G406" s="31">
        <v>2703651.377449953</v>
      </c>
      <c r="I406" s="48">
        <v>55549</v>
      </c>
      <c r="J406" s="51">
        <v>9.3665090000000006E-2</v>
      </c>
    </row>
    <row r="407" spans="1:10" x14ac:dyDescent="0.25">
      <c r="A407">
        <v>405</v>
      </c>
      <c r="B407" t="s">
        <v>804</v>
      </c>
      <c r="C407" t="s">
        <v>805</v>
      </c>
      <c r="D407" s="1">
        <v>13468</v>
      </c>
      <c r="E407" s="4" t="s">
        <v>8</v>
      </c>
      <c r="F407" s="44">
        <v>20930.099999999999</v>
      </c>
      <c r="G407" s="31">
        <v>1722520.5064893407</v>
      </c>
      <c r="I407" s="48">
        <v>55578</v>
      </c>
      <c r="J407" s="51">
        <v>9.3609285E-2</v>
      </c>
    </row>
    <row r="408" spans="1:10" x14ac:dyDescent="0.25">
      <c r="A408">
        <v>406</v>
      </c>
      <c r="B408" t="s">
        <v>806</v>
      </c>
      <c r="C408" t="s">
        <v>807</v>
      </c>
      <c r="D408" s="1">
        <v>19693</v>
      </c>
      <c r="E408" s="4" t="s">
        <v>8</v>
      </c>
      <c r="F408" s="44">
        <v>21346.29</v>
      </c>
      <c r="G408" s="31">
        <v>3277840.1663513375</v>
      </c>
      <c r="I408" s="48">
        <v>55609</v>
      </c>
      <c r="J408" s="51">
        <v>9.3549921999999994E-2</v>
      </c>
    </row>
    <row r="409" spans="1:10" x14ac:dyDescent="0.25">
      <c r="A409">
        <v>407</v>
      </c>
      <c r="B409" t="s">
        <v>808</v>
      </c>
      <c r="C409" t="s">
        <v>809</v>
      </c>
      <c r="D409" s="1">
        <v>18942</v>
      </c>
      <c r="E409" s="4" t="s">
        <v>11</v>
      </c>
      <c r="F409" s="44">
        <v>16261.27</v>
      </c>
      <c r="G409" s="31">
        <v>2115639.1890180595</v>
      </c>
      <c r="I409" s="48">
        <v>55639</v>
      </c>
      <c r="J409" s="51">
        <v>9.3492756999999996E-2</v>
      </c>
    </row>
    <row r="410" spans="1:10" x14ac:dyDescent="0.25">
      <c r="A410">
        <v>408</v>
      </c>
      <c r="B410" t="s">
        <v>810</v>
      </c>
      <c r="C410" t="s">
        <v>811</v>
      </c>
      <c r="D410" s="1">
        <v>9555</v>
      </c>
      <c r="E410" s="4" t="s">
        <v>8</v>
      </c>
      <c r="F410" s="44">
        <v>16025.03</v>
      </c>
      <c r="G410" s="31">
        <v>792668.87007252278</v>
      </c>
      <c r="I410" s="48">
        <v>55670</v>
      </c>
      <c r="J410" s="51">
        <v>9.3433978000000001E-2</v>
      </c>
    </row>
    <row r="411" spans="1:10" x14ac:dyDescent="0.25">
      <c r="A411">
        <v>409</v>
      </c>
      <c r="B411" t="s">
        <v>812</v>
      </c>
      <c r="C411" t="s">
        <v>813</v>
      </c>
      <c r="D411" s="1">
        <v>12703</v>
      </c>
      <c r="E411" s="4" t="s">
        <v>8</v>
      </c>
      <c r="F411" s="44">
        <v>16458.689999999999</v>
      </c>
      <c r="G411" s="31">
        <v>1217468.2396766525</v>
      </c>
      <c r="I411" s="48">
        <v>55700</v>
      </c>
      <c r="J411" s="51">
        <v>9.3377373999999999E-2</v>
      </c>
    </row>
    <row r="412" spans="1:10" x14ac:dyDescent="0.25">
      <c r="A412">
        <v>410</v>
      </c>
      <c r="B412" t="s">
        <v>814</v>
      </c>
      <c r="C412" t="s">
        <v>815</v>
      </c>
      <c r="D412" s="1">
        <v>17061</v>
      </c>
      <c r="E412" s="4" t="s">
        <v>8</v>
      </c>
      <c r="F412" s="44">
        <v>19394.96</v>
      </c>
      <c r="G412" s="31">
        <v>2381346.4400870474</v>
      </c>
      <c r="I412" s="48">
        <v>55731</v>
      </c>
      <c r="J412" s="51">
        <v>9.3319170000000007E-2</v>
      </c>
    </row>
    <row r="413" spans="1:10" x14ac:dyDescent="0.25">
      <c r="A413">
        <v>411</v>
      </c>
      <c r="B413" t="s">
        <v>816</v>
      </c>
      <c r="C413" t="s">
        <v>817</v>
      </c>
      <c r="D413" s="1">
        <v>19100</v>
      </c>
      <c r="E413" s="4" t="s">
        <v>11</v>
      </c>
      <c r="F413" s="44">
        <v>19129.36</v>
      </c>
      <c r="G413" s="31">
        <v>2540724.9131670585</v>
      </c>
      <c r="I413" s="48">
        <v>55762</v>
      </c>
      <c r="J413" s="51">
        <v>9.3261255000000001E-2</v>
      </c>
    </row>
    <row r="414" spans="1:10" x14ac:dyDescent="0.25">
      <c r="A414">
        <v>412</v>
      </c>
      <c r="B414" t="s">
        <v>818</v>
      </c>
      <c r="C414" t="s">
        <v>819</v>
      </c>
      <c r="D414" s="1">
        <v>7009</v>
      </c>
      <c r="E414" s="4" t="s">
        <v>11</v>
      </c>
      <c r="F414" s="44">
        <v>25060.47</v>
      </c>
      <c r="G414" s="31">
        <v>646665.72227301518</v>
      </c>
      <c r="I414" s="48">
        <v>55792</v>
      </c>
      <c r="J414" s="51">
        <v>9.3205482000000006E-2</v>
      </c>
    </row>
    <row r="415" spans="1:10" x14ac:dyDescent="0.25">
      <c r="A415">
        <v>413</v>
      </c>
      <c r="B415" t="s">
        <v>820</v>
      </c>
      <c r="C415" t="s">
        <v>821</v>
      </c>
      <c r="D415" s="1">
        <v>11873</v>
      </c>
      <c r="E415" s="4" t="s">
        <v>8</v>
      </c>
      <c r="F415" s="44">
        <v>16340.93</v>
      </c>
      <c r="G415" s="31">
        <v>1051491.8920417225</v>
      </c>
      <c r="I415" s="48">
        <v>55823</v>
      </c>
      <c r="J415" s="51">
        <v>9.3148129999999996E-2</v>
      </c>
    </row>
    <row r="416" spans="1:10" x14ac:dyDescent="0.25">
      <c r="A416">
        <v>414</v>
      </c>
      <c r="B416" t="s">
        <v>822</v>
      </c>
      <c r="C416" t="s">
        <v>823</v>
      </c>
      <c r="D416" s="1">
        <v>8159</v>
      </c>
      <c r="E416" s="4" t="s">
        <v>11</v>
      </c>
      <c r="F416" s="44">
        <v>19195.53</v>
      </c>
      <c r="G416" s="31">
        <v>596951.06118130987</v>
      </c>
      <c r="I416" s="48">
        <v>55853</v>
      </c>
      <c r="J416" s="51">
        <v>9.3092896999999994E-2</v>
      </c>
    </row>
    <row r="417" spans="1:10" x14ac:dyDescent="0.25">
      <c r="A417">
        <v>415</v>
      </c>
      <c r="B417" t="s">
        <v>824</v>
      </c>
      <c r="C417" t="s">
        <v>825</v>
      </c>
      <c r="D417" s="1">
        <v>14568</v>
      </c>
      <c r="E417" s="4" t="s">
        <v>11</v>
      </c>
      <c r="F417" s="44">
        <v>19381.43</v>
      </c>
      <c r="G417" s="31">
        <v>1478494.3080714531</v>
      </c>
      <c r="I417" s="48">
        <v>55884</v>
      </c>
      <c r="J417" s="51">
        <v>9.3036098999999997E-2</v>
      </c>
    </row>
    <row r="418" spans="1:10" x14ac:dyDescent="0.25">
      <c r="A418">
        <v>416</v>
      </c>
      <c r="B418" t="s">
        <v>826</v>
      </c>
      <c r="C418" t="s">
        <v>827</v>
      </c>
      <c r="D418" s="1">
        <v>16942</v>
      </c>
      <c r="E418" s="4" t="s">
        <v>11</v>
      </c>
      <c r="F418" s="44">
        <v>21779.35</v>
      </c>
      <c r="G418" s="31">
        <v>2311822.3637311906</v>
      </c>
      <c r="I418" s="48">
        <v>55915</v>
      </c>
      <c r="J418" s="51">
        <v>9.2979580000000006E-2</v>
      </c>
    </row>
    <row r="419" spans="1:10" x14ac:dyDescent="0.25">
      <c r="A419">
        <v>417</v>
      </c>
      <c r="B419" t="s">
        <v>828</v>
      </c>
      <c r="C419" t="s">
        <v>829</v>
      </c>
      <c r="D419" s="1">
        <v>16250</v>
      </c>
      <c r="E419" s="4" t="s">
        <v>8</v>
      </c>
      <c r="F419" s="44">
        <v>25142.62</v>
      </c>
      <c r="G419" s="31">
        <v>2899893.4976782487</v>
      </c>
      <c r="I419" s="48">
        <v>55943</v>
      </c>
      <c r="J419" s="51">
        <v>9.2928767999999995E-2</v>
      </c>
    </row>
    <row r="420" spans="1:10" x14ac:dyDescent="0.25">
      <c r="A420">
        <v>418</v>
      </c>
      <c r="B420" t="s">
        <v>830</v>
      </c>
      <c r="C420" t="s">
        <v>831</v>
      </c>
      <c r="D420" s="1">
        <v>16123</v>
      </c>
      <c r="E420" s="4" t="s">
        <v>8</v>
      </c>
      <c r="F420" s="44">
        <v>20954.11</v>
      </c>
      <c r="G420" s="31">
        <v>2366041.260465865</v>
      </c>
      <c r="I420" s="48">
        <v>55974</v>
      </c>
      <c r="J420" s="51">
        <v>9.2872774000000005E-2</v>
      </c>
    </row>
    <row r="421" spans="1:10" x14ac:dyDescent="0.25">
      <c r="A421">
        <v>419</v>
      </c>
      <c r="B421" t="s">
        <v>832</v>
      </c>
      <c r="C421" t="s">
        <v>833</v>
      </c>
      <c r="D421" s="1">
        <v>11164</v>
      </c>
      <c r="E421" s="4" t="s">
        <v>11</v>
      </c>
      <c r="F421" s="44">
        <v>16455.189999999999</v>
      </c>
      <c r="G421" s="31">
        <v>697001.36867140548</v>
      </c>
      <c r="I421" s="48">
        <v>56004</v>
      </c>
      <c r="J421" s="51">
        <v>9.2818844999999997E-2</v>
      </c>
    </row>
    <row r="422" spans="1:10" x14ac:dyDescent="0.25">
      <c r="A422">
        <v>420</v>
      </c>
      <c r="B422" t="s">
        <v>515</v>
      </c>
      <c r="C422" t="s">
        <v>834</v>
      </c>
      <c r="D422" s="1">
        <v>16914</v>
      </c>
      <c r="E422" s="4" t="s">
        <v>8</v>
      </c>
      <c r="F422" s="44">
        <v>17332.740000000002</v>
      </c>
      <c r="G422" s="31">
        <v>2123193.3894081954</v>
      </c>
      <c r="I422" s="48">
        <v>56035</v>
      </c>
      <c r="J422" s="51">
        <v>9.2763386000000003E-2</v>
      </c>
    </row>
    <row r="423" spans="1:10" x14ac:dyDescent="0.25">
      <c r="A423">
        <v>421</v>
      </c>
      <c r="B423" t="s">
        <v>835</v>
      </c>
      <c r="C423" t="s">
        <v>836</v>
      </c>
      <c r="D423" s="1">
        <v>17246</v>
      </c>
      <c r="E423" s="4" t="s">
        <v>11</v>
      </c>
      <c r="F423" s="44">
        <v>17741.099999999999</v>
      </c>
      <c r="G423" s="31">
        <v>1941767.5737280259</v>
      </c>
      <c r="I423" s="48">
        <v>56065</v>
      </c>
      <c r="J423" s="51">
        <v>9.2709972000000002E-2</v>
      </c>
    </row>
    <row r="424" spans="1:10" x14ac:dyDescent="0.25">
      <c r="A424">
        <v>422</v>
      </c>
      <c r="B424" t="s">
        <v>837</v>
      </c>
      <c r="C424" t="s">
        <v>838</v>
      </c>
      <c r="D424" s="1">
        <v>11953</v>
      </c>
      <c r="E424" s="4" t="s">
        <v>8</v>
      </c>
      <c r="F424" s="44">
        <v>18791.87</v>
      </c>
      <c r="G424" s="31">
        <v>1247024.7532071879</v>
      </c>
      <c r="I424" s="48">
        <v>56096</v>
      </c>
      <c r="J424" s="51">
        <v>9.2655039999999994E-2</v>
      </c>
    </row>
    <row r="425" spans="1:10" x14ac:dyDescent="0.25">
      <c r="A425">
        <v>423</v>
      </c>
      <c r="B425" t="s">
        <v>839</v>
      </c>
      <c r="C425" t="s">
        <v>840</v>
      </c>
      <c r="D425" s="1">
        <v>10161</v>
      </c>
      <c r="E425" s="4" t="s">
        <v>8</v>
      </c>
      <c r="F425" s="44">
        <v>22282.23</v>
      </c>
      <c r="G425" s="31">
        <v>1149540.0273585499</v>
      </c>
      <c r="I425" s="48">
        <v>56127</v>
      </c>
      <c r="J425" s="51">
        <v>9.2600373E-2</v>
      </c>
    </row>
    <row r="426" spans="1:10" x14ac:dyDescent="0.25">
      <c r="A426">
        <v>424</v>
      </c>
      <c r="B426" t="s">
        <v>841</v>
      </c>
      <c r="C426" t="s">
        <v>842</v>
      </c>
      <c r="D426" s="1">
        <v>21111</v>
      </c>
      <c r="E426" s="4" t="s">
        <v>11</v>
      </c>
      <c r="F426" s="44">
        <v>20444.55</v>
      </c>
      <c r="G426" s="31">
        <v>3199727.3193938155</v>
      </c>
      <c r="I426" s="48">
        <v>56157</v>
      </c>
      <c r="J426" s="51">
        <v>9.254772E-2</v>
      </c>
    </row>
    <row r="427" spans="1:10" x14ac:dyDescent="0.25">
      <c r="A427">
        <v>425</v>
      </c>
      <c r="B427" t="s">
        <v>843</v>
      </c>
      <c r="C427" t="s">
        <v>844</v>
      </c>
      <c r="D427" s="1">
        <v>13695</v>
      </c>
      <c r="E427" s="4" t="s">
        <v>11</v>
      </c>
      <c r="F427" s="44">
        <v>17984.72</v>
      </c>
      <c r="G427" s="31">
        <v>1260328.0073018977</v>
      </c>
      <c r="I427" s="48">
        <v>56188</v>
      </c>
      <c r="J427" s="51">
        <v>9.2493568999999998E-2</v>
      </c>
    </row>
    <row r="428" spans="1:10" x14ac:dyDescent="0.25">
      <c r="A428">
        <v>426</v>
      </c>
      <c r="B428" t="s">
        <v>845</v>
      </c>
      <c r="C428" t="s">
        <v>846</v>
      </c>
      <c r="D428" s="1">
        <v>7820</v>
      </c>
      <c r="E428" s="4" t="s">
        <v>8</v>
      </c>
      <c r="F428" s="44">
        <v>20839.919999999998</v>
      </c>
      <c r="G428" s="31">
        <v>844057.75875514746</v>
      </c>
      <c r="I428" s="48">
        <v>56218</v>
      </c>
      <c r="J428" s="51">
        <v>9.2441412000000001E-2</v>
      </c>
    </row>
    <row r="429" spans="1:10" x14ac:dyDescent="0.25">
      <c r="A429">
        <v>427</v>
      </c>
      <c r="B429" t="s">
        <v>847</v>
      </c>
      <c r="C429" t="s">
        <v>848</v>
      </c>
      <c r="D429" s="1">
        <v>12958</v>
      </c>
      <c r="E429" s="4" t="s">
        <v>11</v>
      </c>
      <c r="F429" s="44">
        <v>24358.65</v>
      </c>
      <c r="G429" s="31">
        <v>1535472.6959640991</v>
      </c>
      <c r="I429" s="48">
        <v>56249</v>
      </c>
      <c r="J429" s="51">
        <v>9.2387769999999994E-2</v>
      </c>
    </row>
    <row r="430" spans="1:10" x14ac:dyDescent="0.25">
      <c r="A430">
        <v>428</v>
      </c>
      <c r="B430" t="s">
        <v>849</v>
      </c>
      <c r="C430" t="s">
        <v>850</v>
      </c>
      <c r="D430" s="1">
        <v>17082</v>
      </c>
      <c r="E430" s="4" t="s">
        <v>11</v>
      </c>
      <c r="F430" s="44">
        <v>21646.62</v>
      </c>
      <c r="G430" s="31">
        <v>2297629.8220454622</v>
      </c>
      <c r="I430" s="48">
        <v>56280</v>
      </c>
      <c r="J430" s="51">
        <v>9.2334384000000005E-2</v>
      </c>
    </row>
    <row r="431" spans="1:10" x14ac:dyDescent="0.25">
      <c r="A431">
        <v>429</v>
      </c>
      <c r="B431" t="s">
        <v>851</v>
      </c>
      <c r="C431" t="s">
        <v>852</v>
      </c>
      <c r="D431" s="1">
        <v>17510</v>
      </c>
      <c r="E431" s="4" t="s">
        <v>11</v>
      </c>
      <c r="F431" s="44">
        <v>22408.91</v>
      </c>
      <c r="G431" s="31">
        <v>2510907.1147011817</v>
      </c>
      <c r="I431" s="48">
        <v>56308</v>
      </c>
      <c r="J431" s="51">
        <v>9.2286382E-2</v>
      </c>
    </row>
    <row r="432" spans="1:10" x14ac:dyDescent="0.25">
      <c r="A432">
        <v>430</v>
      </c>
      <c r="B432" t="s">
        <v>853</v>
      </c>
      <c r="C432" t="s">
        <v>854</v>
      </c>
      <c r="D432" s="1">
        <v>9700</v>
      </c>
      <c r="E432" s="4" t="s">
        <v>11</v>
      </c>
      <c r="F432" s="44">
        <v>17150.400000000001</v>
      </c>
      <c r="G432" s="31">
        <v>557827.83122838056</v>
      </c>
      <c r="I432" s="48">
        <v>56339</v>
      </c>
      <c r="J432" s="51">
        <v>9.2233477999999994E-2</v>
      </c>
    </row>
    <row r="433" spans="1:10" x14ac:dyDescent="0.25">
      <c r="A433">
        <v>431</v>
      </c>
      <c r="B433" t="s">
        <v>855</v>
      </c>
      <c r="C433" t="s">
        <v>856</v>
      </c>
      <c r="D433" s="1">
        <v>15557</v>
      </c>
      <c r="E433" s="4" t="s">
        <v>8</v>
      </c>
      <c r="F433" s="44">
        <v>17980.560000000001</v>
      </c>
      <c r="G433" s="31">
        <v>1881252.2590786456</v>
      </c>
      <c r="I433" s="48">
        <v>56369</v>
      </c>
      <c r="J433" s="51">
        <v>9.2182519000000004E-2</v>
      </c>
    </row>
    <row r="434" spans="1:10" x14ac:dyDescent="0.25">
      <c r="A434">
        <v>432</v>
      </c>
      <c r="B434" t="s">
        <v>857</v>
      </c>
      <c r="C434" t="s">
        <v>858</v>
      </c>
      <c r="D434" s="1">
        <v>10659</v>
      </c>
      <c r="E434" s="4" t="s">
        <v>8</v>
      </c>
      <c r="F434" s="44">
        <v>23532.75</v>
      </c>
      <c r="G434" s="31">
        <v>1361754.7950380368</v>
      </c>
      <c r="I434" s="48">
        <v>56400</v>
      </c>
      <c r="J434" s="51">
        <v>9.2130106000000003E-2</v>
      </c>
    </row>
    <row r="435" spans="1:10" x14ac:dyDescent="0.25">
      <c r="A435">
        <v>433</v>
      </c>
      <c r="B435" t="s">
        <v>859</v>
      </c>
      <c r="C435" t="s">
        <v>860</v>
      </c>
      <c r="D435" s="1">
        <v>15261</v>
      </c>
      <c r="E435" s="4" t="s">
        <v>8</v>
      </c>
      <c r="F435" s="44">
        <v>16541.490000000002</v>
      </c>
      <c r="G435" s="31">
        <v>1684182.4021478188</v>
      </c>
      <c r="I435" s="48">
        <v>56430</v>
      </c>
      <c r="J435" s="51">
        <v>9.2079619000000001E-2</v>
      </c>
    </row>
    <row r="436" spans="1:10" x14ac:dyDescent="0.25">
      <c r="A436">
        <v>434</v>
      </c>
      <c r="B436" t="s">
        <v>861</v>
      </c>
      <c r="C436" t="s">
        <v>862</v>
      </c>
      <c r="D436" s="1">
        <v>19688</v>
      </c>
      <c r="E436" s="4" t="s">
        <v>8</v>
      </c>
      <c r="F436" s="44">
        <v>18145.490000000002</v>
      </c>
      <c r="G436" s="31">
        <v>2785112.4600265818</v>
      </c>
      <c r="I436" s="48">
        <v>56461</v>
      </c>
      <c r="J436" s="51">
        <v>9.2027690999999995E-2</v>
      </c>
    </row>
    <row r="437" spans="1:10" x14ac:dyDescent="0.25">
      <c r="A437">
        <v>435</v>
      </c>
      <c r="B437" t="s">
        <v>863</v>
      </c>
      <c r="C437" t="s">
        <v>864</v>
      </c>
      <c r="D437" s="1">
        <v>18327</v>
      </c>
      <c r="E437" s="4" t="s">
        <v>8</v>
      </c>
      <c r="F437" s="44">
        <v>18133.48</v>
      </c>
      <c r="G437" s="31">
        <v>2512007.0453849887</v>
      </c>
      <c r="I437" s="48">
        <v>56492</v>
      </c>
      <c r="J437" s="51">
        <v>9.1976005999999999E-2</v>
      </c>
    </row>
    <row r="438" spans="1:10" x14ac:dyDescent="0.25">
      <c r="A438">
        <v>436</v>
      </c>
      <c r="B438" t="s">
        <v>865</v>
      </c>
      <c r="C438" t="s">
        <v>866</v>
      </c>
      <c r="D438" s="1">
        <v>21200</v>
      </c>
      <c r="E438" s="4" t="s">
        <v>8</v>
      </c>
      <c r="F438" s="44">
        <v>19074.48</v>
      </c>
      <c r="G438" s="31">
        <v>3238225.2173800305</v>
      </c>
      <c r="I438" s="48">
        <v>56522</v>
      </c>
      <c r="J438" s="51">
        <v>9.1926219000000003E-2</v>
      </c>
    </row>
    <row r="439" spans="1:10" x14ac:dyDescent="0.25">
      <c r="A439">
        <v>437</v>
      </c>
      <c r="B439" t="s">
        <v>867</v>
      </c>
      <c r="C439" t="s">
        <v>868</v>
      </c>
      <c r="D439" s="1">
        <v>12201</v>
      </c>
      <c r="E439" s="4" t="s">
        <v>8</v>
      </c>
      <c r="F439" s="44">
        <v>19556.43</v>
      </c>
      <c r="G439" s="31">
        <v>1414918.1825574385</v>
      </c>
      <c r="I439" s="48">
        <v>56553</v>
      </c>
      <c r="J439" s="51">
        <v>9.1875008999999994E-2</v>
      </c>
    </row>
    <row r="440" spans="1:10" x14ac:dyDescent="0.25">
      <c r="A440">
        <v>438</v>
      </c>
      <c r="B440" t="s">
        <v>869</v>
      </c>
      <c r="C440" t="s">
        <v>870</v>
      </c>
      <c r="D440" s="1">
        <v>19447</v>
      </c>
      <c r="E440" s="4" t="s">
        <v>8</v>
      </c>
      <c r="F440" s="44">
        <v>18487.919999999998</v>
      </c>
      <c r="G440" s="31">
        <v>2796300.3846106869</v>
      </c>
      <c r="I440" s="48">
        <v>56583</v>
      </c>
      <c r="J440" s="51">
        <v>9.1825677999999994E-2</v>
      </c>
    </row>
    <row r="441" spans="1:10" x14ac:dyDescent="0.25">
      <c r="A441">
        <v>439</v>
      </c>
      <c r="B441" t="s">
        <v>871</v>
      </c>
      <c r="C441" t="s">
        <v>872</v>
      </c>
      <c r="D441" s="1">
        <v>14150</v>
      </c>
      <c r="E441" s="4" t="s">
        <v>8</v>
      </c>
      <c r="F441" s="44">
        <v>17216.560000000001</v>
      </c>
      <c r="G441" s="31">
        <v>1533316.8197290795</v>
      </c>
      <c r="I441" s="48">
        <v>56614</v>
      </c>
      <c r="J441" s="51">
        <v>9.1774935000000002E-2</v>
      </c>
    </row>
    <row r="442" spans="1:10" x14ac:dyDescent="0.25">
      <c r="A442">
        <v>440</v>
      </c>
      <c r="B442" t="s">
        <v>873</v>
      </c>
      <c r="C442" t="s">
        <v>874</v>
      </c>
      <c r="D442" s="1">
        <v>12398</v>
      </c>
      <c r="E442" s="4" t="s">
        <v>11</v>
      </c>
      <c r="F442" s="44">
        <v>21318.79</v>
      </c>
      <c r="G442" s="31">
        <v>1173314.3532463908</v>
      </c>
      <c r="I442" s="48">
        <v>56645</v>
      </c>
      <c r="J442" s="51">
        <v>9.1724428999999996E-2</v>
      </c>
    </row>
    <row r="443" spans="1:10" x14ac:dyDescent="0.25">
      <c r="A443">
        <v>441</v>
      </c>
      <c r="B443" t="s">
        <v>875</v>
      </c>
      <c r="C443" t="s">
        <v>876</v>
      </c>
      <c r="D443" s="1">
        <v>18923</v>
      </c>
      <c r="E443" s="4" t="s">
        <v>8</v>
      </c>
      <c r="F443" s="44">
        <v>21009.45</v>
      </c>
      <c r="G443" s="31">
        <v>3041089.7671938469</v>
      </c>
      <c r="I443" s="48">
        <v>56673</v>
      </c>
      <c r="J443" s="51">
        <v>9.1679011000000005E-2</v>
      </c>
    </row>
    <row r="444" spans="1:10" x14ac:dyDescent="0.25">
      <c r="A444">
        <v>442</v>
      </c>
      <c r="B444" t="s">
        <v>877</v>
      </c>
      <c r="C444" t="s">
        <v>878</v>
      </c>
      <c r="D444" s="1">
        <v>15924</v>
      </c>
      <c r="E444" s="4" t="s">
        <v>8</v>
      </c>
      <c r="F444" s="44">
        <v>18899.87</v>
      </c>
      <c r="G444" s="31">
        <v>2059581.5193163257</v>
      </c>
      <c r="I444" s="48">
        <v>56704</v>
      </c>
      <c r="J444" s="51">
        <v>9.1628947000000002E-2</v>
      </c>
    </row>
    <row r="445" spans="1:10" x14ac:dyDescent="0.25">
      <c r="A445">
        <v>443</v>
      </c>
      <c r="B445" t="s">
        <v>879</v>
      </c>
      <c r="C445" t="s">
        <v>880</v>
      </c>
      <c r="D445" s="1">
        <v>17490</v>
      </c>
      <c r="E445" s="4" t="s">
        <v>8</v>
      </c>
      <c r="F445" s="44">
        <v>18173.87</v>
      </c>
      <c r="G445" s="31">
        <v>2330698.5608755178</v>
      </c>
      <c r="I445" s="48">
        <v>56734</v>
      </c>
      <c r="J445" s="51">
        <v>9.1580719000000005E-2</v>
      </c>
    </row>
    <row r="446" spans="1:10" x14ac:dyDescent="0.25">
      <c r="A446">
        <v>444</v>
      </c>
      <c r="B446" t="s">
        <v>881</v>
      </c>
      <c r="C446" t="s">
        <v>882</v>
      </c>
      <c r="D446" s="1">
        <v>20759</v>
      </c>
      <c r="E446" s="4" t="s">
        <v>8</v>
      </c>
      <c r="F446" s="44">
        <v>22510.639999999999</v>
      </c>
      <c r="G446" s="31">
        <v>3714319.8218733626</v>
      </c>
      <c r="I446" s="48">
        <v>56765</v>
      </c>
      <c r="J446" s="51">
        <v>9.1531108E-2</v>
      </c>
    </row>
    <row r="447" spans="1:10" x14ac:dyDescent="0.25">
      <c r="A447">
        <v>445</v>
      </c>
      <c r="B447" t="s">
        <v>883</v>
      </c>
      <c r="C447" t="s">
        <v>884</v>
      </c>
      <c r="D447" s="1">
        <v>17065</v>
      </c>
      <c r="E447" s="4" t="s">
        <v>8</v>
      </c>
      <c r="F447" s="44">
        <v>14345.83</v>
      </c>
      <c r="G447" s="31">
        <v>1762437.2116613642</v>
      </c>
      <c r="I447" s="48">
        <v>56795</v>
      </c>
      <c r="J447" s="51">
        <v>9.1483313999999996E-2</v>
      </c>
    </row>
    <row r="448" spans="1:10" x14ac:dyDescent="0.25">
      <c r="A448">
        <v>446</v>
      </c>
      <c r="B448" t="s">
        <v>885</v>
      </c>
      <c r="C448" t="s">
        <v>886</v>
      </c>
      <c r="D448" s="1">
        <v>8024</v>
      </c>
      <c r="E448" s="4" t="s">
        <v>8</v>
      </c>
      <c r="F448" s="44">
        <v>17416.54</v>
      </c>
      <c r="G448" s="31">
        <v>670470.02074001904</v>
      </c>
      <c r="I448" s="48">
        <v>56826</v>
      </c>
      <c r="J448" s="51">
        <v>9.1434149000000006E-2</v>
      </c>
    </row>
    <row r="449" spans="1:10" x14ac:dyDescent="0.25">
      <c r="A449">
        <v>447</v>
      </c>
      <c r="B449" t="s">
        <v>887</v>
      </c>
      <c r="C449" t="s">
        <v>888</v>
      </c>
      <c r="D449" s="1">
        <v>9107</v>
      </c>
      <c r="E449" s="4" t="s">
        <v>11</v>
      </c>
      <c r="F449" s="44">
        <v>21435.54</v>
      </c>
      <c r="G449" s="31">
        <v>696023.33260402014</v>
      </c>
      <c r="I449" s="48">
        <v>56857</v>
      </c>
      <c r="J449" s="51">
        <v>9.1385208999999995E-2</v>
      </c>
    </row>
    <row r="450" spans="1:10" x14ac:dyDescent="0.25">
      <c r="A450">
        <v>448</v>
      </c>
      <c r="B450" t="s">
        <v>889</v>
      </c>
      <c r="C450" t="s">
        <v>890</v>
      </c>
      <c r="D450" s="1">
        <v>13443</v>
      </c>
      <c r="E450" s="4" t="s">
        <v>11</v>
      </c>
      <c r="F450" s="44">
        <v>24700.27</v>
      </c>
      <c r="G450" s="31">
        <v>1580362.512760855</v>
      </c>
      <c r="I450" s="48">
        <v>56887</v>
      </c>
      <c r="J450" s="51">
        <v>9.1338059999999999E-2</v>
      </c>
    </row>
    <row r="451" spans="1:10" x14ac:dyDescent="0.25">
      <c r="A451">
        <v>449</v>
      </c>
      <c r="B451" t="s">
        <v>891</v>
      </c>
      <c r="C451" t="s">
        <v>892</v>
      </c>
      <c r="D451" s="1">
        <v>14679</v>
      </c>
      <c r="E451" s="4" t="s">
        <v>11</v>
      </c>
      <c r="F451" s="44">
        <v>16862.009999999998</v>
      </c>
      <c r="G451" s="31">
        <v>1330487.58069221</v>
      </c>
      <c r="I451" s="48">
        <v>56918</v>
      </c>
      <c r="J451" s="51">
        <v>9.1289558000000007E-2</v>
      </c>
    </row>
    <row r="452" spans="1:10" x14ac:dyDescent="0.25">
      <c r="A452">
        <v>450</v>
      </c>
      <c r="B452" t="s">
        <v>893</v>
      </c>
      <c r="C452" t="s">
        <v>894</v>
      </c>
      <c r="D452" s="1">
        <v>14342</v>
      </c>
      <c r="E452" s="4" t="s">
        <v>11</v>
      </c>
      <c r="F452" s="44">
        <v>19700.009999999998</v>
      </c>
      <c r="G452" s="31">
        <v>1489669.3804929692</v>
      </c>
      <c r="I452" s="48">
        <v>56948</v>
      </c>
      <c r="J452" s="51">
        <v>9.1242828999999998E-2</v>
      </c>
    </row>
    <row r="453" spans="1:10" x14ac:dyDescent="0.25">
      <c r="A453">
        <v>451</v>
      </c>
      <c r="B453" t="s">
        <v>895</v>
      </c>
      <c r="C453" t="s">
        <v>896</v>
      </c>
      <c r="D453" s="1">
        <v>16774</v>
      </c>
      <c r="E453" s="4" t="s">
        <v>11</v>
      </c>
      <c r="F453" s="44">
        <v>26927.07</v>
      </c>
      <c r="G453" s="31">
        <v>2765956.7873291136</v>
      </c>
      <c r="I453" s="48">
        <v>56979</v>
      </c>
      <c r="J453" s="51">
        <v>9.1194758000000001E-2</v>
      </c>
    </row>
    <row r="454" spans="1:10" x14ac:dyDescent="0.25">
      <c r="A454">
        <v>452</v>
      </c>
      <c r="B454" t="s">
        <v>897</v>
      </c>
      <c r="C454" t="s">
        <v>898</v>
      </c>
      <c r="D454" s="1">
        <v>17402</v>
      </c>
      <c r="E454" s="4" t="s">
        <v>11</v>
      </c>
      <c r="F454" s="44">
        <v>15699.62</v>
      </c>
      <c r="G454" s="31">
        <v>1725155.3749743004</v>
      </c>
      <c r="I454" s="48">
        <v>57010</v>
      </c>
      <c r="J454" s="51">
        <v>9.1146904000000001E-2</v>
      </c>
    </row>
    <row r="455" spans="1:10" x14ac:dyDescent="0.25">
      <c r="A455">
        <v>453</v>
      </c>
      <c r="B455" t="s">
        <v>899</v>
      </c>
      <c r="C455" t="s">
        <v>900</v>
      </c>
      <c r="D455" s="1">
        <v>10419</v>
      </c>
      <c r="E455" s="4" t="s">
        <v>8</v>
      </c>
      <c r="F455" s="44">
        <v>23471.25</v>
      </c>
      <c r="G455" s="31">
        <v>1211708.7706276923</v>
      </c>
      <c r="I455" s="48">
        <v>57039</v>
      </c>
      <c r="J455" s="51">
        <v>9.1102331999999994E-2</v>
      </c>
    </row>
    <row r="456" spans="1:10" x14ac:dyDescent="0.25">
      <c r="A456">
        <v>454</v>
      </c>
      <c r="B456" t="s">
        <v>901</v>
      </c>
      <c r="C456" t="s">
        <v>902</v>
      </c>
      <c r="D456" s="1">
        <v>18660</v>
      </c>
      <c r="E456" s="4" t="s">
        <v>8</v>
      </c>
      <c r="F456" s="44">
        <v>15871.98</v>
      </c>
      <c r="G456" s="31">
        <v>2256800.4205007562</v>
      </c>
      <c r="I456" s="48">
        <v>57070</v>
      </c>
      <c r="J456" s="51">
        <v>9.1054893999999997E-2</v>
      </c>
    </row>
    <row r="457" spans="1:10" x14ac:dyDescent="0.25">
      <c r="A457">
        <v>455</v>
      </c>
      <c r="B457" t="s">
        <v>903</v>
      </c>
      <c r="C457" t="s">
        <v>904</v>
      </c>
      <c r="D457" s="1">
        <v>11882</v>
      </c>
      <c r="E457" s="4" t="s">
        <v>8</v>
      </c>
      <c r="F457" s="44">
        <v>23000.66</v>
      </c>
      <c r="G457" s="31">
        <v>1484875.4445044508</v>
      </c>
      <c r="I457" s="48">
        <v>57100</v>
      </c>
      <c r="J457" s="51">
        <v>9.1009189000000004E-2</v>
      </c>
    </row>
    <row r="458" spans="1:10" x14ac:dyDescent="0.25">
      <c r="A458">
        <v>456</v>
      </c>
      <c r="B458" t="s">
        <v>905</v>
      </c>
      <c r="C458" t="s">
        <v>906</v>
      </c>
      <c r="D458" s="1">
        <v>12994</v>
      </c>
      <c r="E458" s="4" t="s">
        <v>8</v>
      </c>
      <c r="F458" s="44">
        <v>22864.77</v>
      </c>
      <c r="G458" s="31">
        <v>1734364.7310171402</v>
      </c>
      <c r="I458" s="48">
        <v>57131</v>
      </c>
      <c r="J458" s="51">
        <v>9.0962167999999996E-2</v>
      </c>
    </row>
    <row r="459" spans="1:10" x14ac:dyDescent="0.25">
      <c r="A459">
        <v>457</v>
      </c>
      <c r="B459" t="s">
        <v>907</v>
      </c>
      <c r="C459" t="s">
        <v>908</v>
      </c>
      <c r="D459" s="1">
        <v>9575</v>
      </c>
      <c r="E459" s="4" t="s">
        <v>11</v>
      </c>
      <c r="F459" s="44">
        <v>22098.21</v>
      </c>
      <c r="G459" s="31">
        <v>817331.92424573726</v>
      </c>
      <c r="I459" s="48">
        <v>57161</v>
      </c>
      <c r="J459" s="51">
        <v>9.0916864E-2</v>
      </c>
    </row>
    <row r="460" spans="1:10" x14ac:dyDescent="0.25">
      <c r="A460">
        <v>458</v>
      </c>
      <c r="B460" t="s">
        <v>909</v>
      </c>
      <c r="C460" t="s">
        <v>910</v>
      </c>
      <c r="D460" s="1">
        <v>13861</v>
      </c>
      <c r="E460" s="4" t="s">
        <v>11</v>
      </c>
      <c r="F460" s="44">
        <v>24227.06</v>
      </c>
      <c r="G460" s="31">
        <v>1672363.4247167271</v>
      </c>
      <c r="I460" s="48">
        <v>57192</v>
      </c>
      <c r="J460" s="51">
        <v>9.0870254999999997E-2</v>
      </c>
    </row>
    <row r="461" spans="1:10" x14ac:dyDescent="0.25">
      <c r="A461">
        <v>459</v>
      </c>
      <c r="B461" t="s">
        <v>493</v>
      </c>
      <c r="C461" t="s">
        <v>911</v>
      </c>
      <c r="D461" s="1">
        <v>17811</v>
      </c>
      <c r="E461" s="4" t="s">
        <v>8</v>
      </c>
      <c r="F461" s="44">
        <v>20553.599999999999</v>
      </c>
      <c r="G461" s="31">
        <v>2708327.7549557625</v>
      </c>
      <c r="I461" s="48">
        <v>57223</v>
      </c>
      <c r="J461" s="51">
        <v>9.0823852999999996E-2</v>
      </c>
    </row>
    <row r="462" spans="1:10" x14ac:dyDescent="0.25">
      <c r="A462">
        <v>460</v>
      </c>
      <c r="B462" t="s">
        <v>912</v>
      </c>
      <c r="C462" t="s">
        <v>913</v>
      </c>
      <c r="D462" s="1">
        <v>16241</v>
      </c>
      <c r="E462" s="4" t="s">
        <v>11</v>
      </c>
      <c r="F462" s="44">
        <v>22321.39</v>
      </c>
      <c r="G462" s="31">
        <v>2185279.1200560466</v>
      </c>
      <c r="I462" s="48">
        <v>57253</v>
      </c>
      <c r="J462" s="51">
        <v>9.0779145000000006E-2</v>
      </c>
    </row>
    <row r="463" spans="1:10" x14ac:dyDescent="0.25">
      <c r="A463">
        <v>461</v>
      </c>
      <c r="B463" t="s">
        <v>914</v>
      </c>
      <c r="C463" t="s">
        <v>915</v>
      </c>
      <c r="D463" s="1">
        <v>13616</v>
      </c>
      <c r="E463" s="4" t="s">
        <v>8</v>
      </c>
      <c r="F463" s="44">
        <v>19679.21</v>
      </c>
      <c r="G463" s="31">
        <v>1685740.437186582</v>
      </c>
      <c r="I463" s="48">
        <v>57284</v>
      </c>
      <c r="J463" s="51">
        <v>9.0733147E-2</v>
      </c>
    </row>
    <row r="464" spans="1:10" x14ac:dyDescent="0.25">
      <c r="A464">
        <v>462</v>
      </c>
      <c r="B464" t="s">
        <v>916</v>
      </c>
      <c r="C464" t="s">
        <v>917</v>
      </c>
      <c r="D464" s="1">
        <v>21170</v>
      </c>
      <c r="E464" s="4" t="s">
        <v>8</v>
      </c>
      <c r="F464" s="44">
        <v>15316.81</v>
      </c>
      <c r="G464" s="31">
        <v>2594581.5405175225</v>
      </c>
      <c r="I464" s="48">
        <v>57314</v>
      </c>
      <c r="J464" s="51">
        <v>9.0688826E-2</v>
      </c>
    </row>
    <row r="465" spans="1:10" x14ac:dyDescent="0.25">
      <c r="A465">
        <v>463</v>
      </c>
      <c r="B465" t="s">
        <v>918</v>
      </c>
      <c r="C465" t="s">
        <v>919</v>
      </c>
      <c r="D465" s="1">
        <v>9283</v>
      </c>
      <c r="E465" s="4" t="s">
        <v>11</v>
      </c>
      <c r="F465" s="44">
        <v>24397.57</v>
      </c>
      <c r="G465" s="31">
        <v>893553.21227400436</v>
      </c>
      <c r="I465" s="48">
        <v>57345</v>
      </c>
      <c r="J465" s="51">
        <v>9.0643227000000007E-2</v>
      </c>
    </row>
    <row r="466" spans="1:10" x14ac:dyDescent="0.25">
      <c r="A466">
        <v>464</v>
      </c>
      <c r="B466" t="s">
        <v>701</v>
      </c>
      <c r="C466" t="s">
        <v>920</v>
      </c>
      <c r="D466" s="1">
        <v>7317</v>
      </c>
      <c r="E466" s="4" t="s">
        <v>11</v>
      </c>
      <c r="F466" s="44">
        <v>22468.880000000001</v>
      </c>
      <c r="G466" s="31">
        <v>575996.8094959053</v>
      </c>
      <c r="I466" s="48">
        <v>57376</v>
      </c>
      <c r="J466" s="51">
        <v>9.0597828000000005E-2</v>
      </c>
    </row>
    <row r="467" spans="1:10" x14ac:dyDescent="0.25">
      <c r="A467">
        <v>465</v>
      </c>
      <c r="B467" t="s">
        <v>921</v>
      </c>
      <c r="C467" t="s">
        <v>922</v>
      </c>
      <c r="D467" s="1">
        <v>11403</v>
      </c>
      <c r="E467" s="4" t="s">
        <v>8</v>
      </c>
      <c r="F467" s="44">
        <v>20452.41</v>
      </c>
      <c r="G467" s="31">
        <v>1313908.0164990292</v>
      </c>
      <c r="I467" s="48">
        <v>57404</v>
      </c>
      <c r="J467" s="51">
        <v>9.0556994000000002E-2</v>
      </c>
    </row>
    <row r="468" spans="1:10" x14ac:dyDescent="0.25">
      <c r="A468">
        <v>466</v>
      </c>
      <c r="B468" t="s">
        <v>923</v>
      </c>
      <c r="C468" t="s">
        <v>924</v>
      </c>
      <c r="D468" s="1">
        <v>11250</v>
      </c>
      <c r="E468" s="4" t="s">
        <v>11</v>
      </c>
      <c r="F468" s="44">
        <v>18849.830000000002</v>
      </c>
      <c r="G468" s="31">
        <v>843929.12707891548</v>
      </c>
      <c r="I468" s="48">
        <v>57435</v>
      </c>
      <c r="J468" s="51">
        <v>9.0511973999999995E-2</v>
      </c>
    </row>
    <row r="469" spans="1:10" x14ac:dyDescent="0.25">
      <c r="A469">
        <v>467</v>
      </c>
      <c r="B469" t="s">
        <v>925</v>
      </c>
      <c r="C469" t="s">
        <v>926</v>
      </c>
      <c r="D469" s="1">
        <v>9606</v>
      </c>
      <c r="E469" s="4" t="s">
        <v>8</v>
      </c>
      <c r="F469" s="44">
        <v>19569.97</v>
      </c>
      <c r="G469" s="31">
        <v>992876.32282074657</v>
      </c>
      <c r="I469" s="48">
        <v>57465</v>
      </c>
      <c r="J469" s="51">
        <v>9.0468593E-2</v>
      </c>
    </row>
    <row r="470" spans="1:10" x14ac:dyDescent="0.25">
      <c r="A470">
        <v>468</v>
      </c>
      <c r="B470" t="s">
        <v>927</v>
      </c>
      <c r="C470" t="s">
        <v>928</v>
      </c>
      <c r="D470" s="1">
        <v>9474</v>
      </c>
      <c r="E470" s="4" t="s">
        <v>8</v>
      </c>
      <c r="F470" s="44">
        <v>17374</v>
      </c>
      <c r="G470" s="31">
        <v>823981.86962982966</v>
      </c>
      <c r="I470" s="48">
        <v>57496</v>
      </c>
      <c r="J470" s="51">
        <v>9.0423957999999999E-2</v>
      </c>
    </row>
    <row r="471" spans="1:10" x14ac:dyDescent="0.25">
      <c r="A471">
        <v>469</v>
      </c>
      <c r="B471" t="s">
        <v>929</v>
      </c>
      <c r="C471" t="s">
        <v>930</v>
      </c>
      <c r="D471" s="1">
        <v>18257</v>
      </c>
      <c r="E471" s="4" t="s">
        <v>8</v>
      </c>
      <c r="F471" s="44">
        <v>15351.39</v>
      </c>
      <c r="G471" s="31">
        <v>2108996.5704552429</v>
      </c>
      <c r="I471" s="48">
        <v>57526</v>
      </c>
      <c r="J471" s="51">
        <v>9.0380948000000003E-2</v>
      </c>
    </row>
    <row r="472" spans="1:10" x14ac:dyDescent="0.25">
      <c r="A472">
        <v>470</v>
      </c>
      <c r="B472" t="s">
        <v>931</v>
      </c>
      <c r="C472" t="s">
        <v>932</v>
      </c>
      <c r="D472" s="1">
        <v>8777</v>
      </c>
      <c r="E472" s="4" t="s">
        <v>11</v>
      </c>
      <c r="F472" s="44">
        <v>20380.98</v>
      </c>
      <c r="G472" s="31">
        <v>643800.3260300596</v>
      </c>
      <c r="I472" s="48">
        <v>57557</v>
      </c>
      <c r="J472" s="51">
        <v>9.0336694999999995E-2</v>
      </c>
    </row>
    <row r="473" spans="1:10" x14ac:dyDescent="0.25">
      <c r="A473">
        <v>471</v>
      </c>
      <c r="B473" t="s">
        <v>933</v>
      </c>
      <c r="C473" t="s">
        <v>934</v>
      </c>
      <c r="D473" s="1">
        <v>16385</v>
      </c>
      <c r="E473" s="4" t="s">
        <v>11</v>
      </c>
      <c r="F473" s="44">
        <v>19312.25</v>
      </c>
      <c r="G473" s="31">
        <v>1886028.6352248022</v>
      </c>
      <c r="I473" s="48">
        <v>57588</v>
      </c>
      <c r="J473" s="51">
        <v>9.0292632999999997E-2</v>
      </c>
    </row>
    <row r="474" spans="1:10" x14ac:dyDescent="0.25">
      <c r="A474">
        <v>472</v>
      </c>
      <c r="B474" t="s">
        <v>935</v>
      </c>
      <c r="C474" t="s">
        <v>936</v>
      </c>
      <c r="D474" s="1">
        <v>21226</v>
      </c>
      <c r="E474" s="4" t="s">
        <v>11</v>
      </c>
      <c r="F474" s="44">
        <v>19169.47</v>
      </c>
      <c r="G474" s="31">
        <v>3030868.8772412185</v>
      </c>
      <c r="I474" s="48">
        <v>57618</v>
      </c>
      <c r="J474" s="51">
        <v>9.0250174000000002E-2</v>
      </c>
    </row>
    <row r="475" spans="1:10" x14ac:dyDescent="0.25">
      <c r="A475">
        <v>473</v>
      </c>
      <c r="B475" t="s">
        <v>937</v>
      </c>
      <c r="C475" t="s">
        <v>938</v>
      </c>
      <c r="D475" s="1">
        <v>9235</v>
      </c>
      <c r="E475" s="4" t="s">
        <v>8</v>
      </c>
      <c r="F475" s="44">
        <v>19833.63</v>
      </c>
      <c r="G475" s="31">
        <v>954537.7878065207</v>
      </c>
      <c r="I475" s="48">
        <v>57649</v>
      </c>
      <c r="J475" s="51">
        <v>9.0206485000000003E-2</v>
      </c>
    </row>
    <row r="476" spans="1:10" x14ac:dyDescent="0.25">
      <c r="A476">
        <v>474</v>
      </c>
      <c r="B476" t="s">
        <v>939</v>
      </c>
      <c r="C476" t="s">
        <v>940</v>
      </c>
      <c r="D476" s="1">
        <v>19777</v>
      </c>
      <c r="E476" s="4" t="s">
        <v>8</v>
      </c>
      <c r="F476" s="44">
        <v>24668.19</v>
      </c>
      <c r="G476" s="31">
        <v>3817725.300157011</v>
      </c>
      <c r="I476" s="48">
        <v>57679</v>
      </c>
      <c r="J476" s="51">
        <v>9.0164385999999999E-2</v>
      </c>
    </row>
    <row r="477" spans="1:10" x14ac:dyDescent="0.25">
      <c r="A477">
        <v>475</v>
      </c>
      <c r="B477" t="s">
        <v>941</v>
      </c>
      <c r="C477" t="s">
        <v>942</v>
      </c>
      <c r="D477" s="1">
        <v>15563</v>
      </c>
      <c r="E477" s="4" t="s">
        <v>11</v>
      </c>
      <c r="F477" s="44">
        <v>26253.56</v>
      </c>
      <c r="G477" s="31">
        <v>2274849.1488157986</v>
      </c>
      <c r="I477" s="48">
        <v>57710</v>
      </c>
      <c r="J477" s="51">
        <v>9.0121066E-2</v>
      </c>
    </row>
    <row r="478" spans="1:10" x14ac:dyDescent="0.25">
      <c r="A478">
        <v>476</v>
      </c>
      <c r="B478" t="s">
        <v>943</v>
      </c>
      <c r="C478" t="s">
        <v>944</v>
      </c>
      <c r="D478" s="1">
        <v>8295</v>
      </c>
      <c r="E478" s="4" t="s">
        <v>11</v>
      </c>
      <c r="F478" s="44">
        <v>19452.34</v>
      </c>
      <c r="G478" s="31">
        <v>520145.30553546298</v>
      </c>
      <c r="I478" s="48">
        <v>57741</v>
      </c>
      <c r="J478" s="51">
        <v>9.0077932999999999E-2</v>
      </c>
    </row>
    <row r="479" spans="1:10" x14ac:dyDescent="0.25">
      <c r="A479">
        <v>477</v>
      </c>
      <c r="B479" t="s">
        <v>945</v>
      </c>
      <c r="C479" t="s">
        <v>946</v>
      </c>
      <c r="D479" s="1">
        <v>16842</v>
      </c>
      <c r="E479" s="4" t="s">
        <v>8</v>
      </c>
      <c r="F479" s="44">
        <v>25186.31</v>
      </c>
      <c r="G479" s="31">
        <v>3052203.331418437</v>
      </c>
      <c r="I479" s="48">
        <v>57769</v>
      </c>
      <c r="J479" s="51">
        <v>9.0039131999999994E-2</v>
      </c>
    </row>
    <row r="480" spans="1:10" x14ac:dyDescent="0.25">
      <c r="A480">
        <v>478</v>
      </c>
      <c r="B480" t="s">
        <v>947</v>
      </c>
      <c r="C480" t="s">
        <v>948</v>
      </c>
      <c r="D480" s="1">
        <v>14837</v>
      </c>
      <c r="E480" s="4" t="s">
        <v>8</v>
      </c>
      <c r="F480" s="44">
        <v>18170.32</v>
      </c>
      <c r="G480" s="31">
        <v>1750592.8744909989</v>
      </c>
      <c r="I480" s="48">
        <v>57800</v>
      </c>
      <c r="J480" s="51">
        <v>8.9996349000000003E-2</v>
      </c>
    </row>
    <row r="481" spans="1:10" x14ac:dyDescent="0.25">
      <c r="A481">
        <v>479</v>
      </c>
      <c r="B481" t="s">
        <v>949</v>
      </c>
      <c r="C481" t="s">
        <v>950</v>
      </c>
      <c r="D481" s="1">
        <v>17415</v>
      </c>
      <c r="E481" s="4" t="s">
        <v>8</v>
      </c>
      <c r="F481" s="44">
        <v>16502.150000000001</v>
      </c>
      <c r="G481" s="31">
        <v>2094387.3860721558</v>
      </c>
      <c r="I481" s="48">
        <v>57830</v>
      </c>
      <c r="J481" s="51">
        <v>8.995512E-2</v>
      </c>
    </row>
    <row r="482" spans="1:10" x14ac:dyDescent="0.25">
      <c r="A482">
        <v>480</v>
      </c>
      <c r="B482" t="s">
        <v>951</v>
      </c>
      <c r="C482" t="s">
        <v>952</v>
      </c>
      <c r="D482" s="1">
        <v>13072</v>
      </c>
      <c r="E482" s="4" t="s">
        <v>11</v>
      </c>
      <c r="F482" s="44">
        <v>21179.599999999999</v>
      </c>
      <c r="G482" s="31">
        <v>1276354.5872146436</v>
      </c>
      <c r="I482" s="48">
        <v>57861</v>
      </c>
      <c r="J482" s="51">
        <v>8.9912694000000001E-2</v>
      </c>
    </row>
    <row r="483" spans="1:10" x14ac:dyDescent="0.25">
      <c r="A483">
        <v>481</v>
      </c>
      <c r="B483" t="s">
        <v>953</v>
      </c>
      <c r="C483" t="s">
        <v>954</v>
      </c>
      <c r="D483" s="1">
        <v>15314</v>
      </c>
      <c r="E483" s="4" t="s">
        <v>8</v>
      </c>
      <c r="F483" s="44">
        <v>21985.52</v>
      </c>
      <c r="G483" s="31">
        <v>2262957.7781722415</v>
      </c>
      <c r="I483" s="48">
        <v>57891</v>
      </c>
      <c r="J483" s="51">
        <v>8.9871807999999997E-2</v>
      </c>
    </row>
    <row r="484" spans="1:10" x14ac:dyDescent="0.25">
      <c r="A484">
        <v>482</v>
      </c>
      <c r="B484" t="s">
        <v>955</v>
      </c>
      <c r="C484" t="s">
        <v>956</v>
      </c>
      <c r="D484" s="1">
        <v>7671</v>
      </c>
      <c r="E484" s="4" t="s">
        <v>8</v>
      </c>
      <c r="F484" s="44">
        <v>15801.66</v>
      </c>
      <c r="G484" s="31">
        <v>579781.0780029801</v>
      </c>
      <c r="I484" s="48">
        <v>57922</v>
      </c>
      <c r="J484" s="51">
        <v>8.9829735999999993E-2</v>
      </c>
    </row>
    <row r="485" spans="1:10" x14ac:dyDescent="0.25">
      <c r="A485">
        <v>483</v>
      </c>
      <c r="B485" t="s">
        <v>957</v>
      </c>
      <c r="C485" t="s">
        <v>958</v>
      </c>
      <c r="D485" s="1">
        <v>12852</v>
      </c>
      <c r="E485" s="4" t="s">
        <v>8</v>
      </c>
      <c r="F485" s="44">
        <v>27584.91</v>
      </c>
      <c r="G485" s="31">
        <v>2138007.5639249594</v>
      </c>
      <c r="I485" s="48">
        <v>57953</v>
      </c>
      <c r="J485" s="51">
        <v>8.9787840999999993E-2</v>
      </c>
    </row>
    <row r="486" spans="1:10" x14ac:dyDescent="0.25">
      <c r="A486">
        <v>484</v>
      </c>
      <c r="B486" t="s">
        <v>959</v>
      </c>
      <c r="C486" t="s">
        <v>960</v>
      </c>
      <c r="D486" s="1">
        <v>14433</v>
      </c>
      <c r="E486" s="4" t="s">
        <v>8</v>
      </c>
      <c r="F486" s="44">
        <v>24301.41</v>
      </c>
      <c r="G486" s="31">
        <v>2219069.2263251245</v>
      </c>
      <c r="I486" s="48">
        <v>57983</v>
      </c>
      <c r="J486" s="51">
        <v>8.9747465999999998E-2</v>
      </c>
    </row>
    <row r="487" spans="1:10" x14ac:dyDescent="0.25">
      <c r="A487">
        <v>485</v>
      </c>
      <c r="B487" t="s">
        <v>961</v>
      </c>
      <c r="C487" t="s">
        <v>962</v>
      </c>
      <c r="D487" s="1">
        <v>16352</v>
      </c>
      <c r="E487" s="4" t="s">
        <v>8</v>
      </c>
      <c r="F487" s="44">
        <v>20708.009999999998</v>
      </c>
      <c r="G487" s="31">
        <v>2371900.2568678115</v>
      </c>
      <c r="I487" s="48">
        <v>58014</v>
      </c>
      <c r="J487" s="51">
        <v>8.9705917999999996E-2</v>
      </c>
    </row>
    <row r="488" spans="1:10" x14ac:dyDescent="0.25">
      <c r="A488">
        <v>486</v>
      </c>
      <c r="B488" t="s">
        <v>963</v>
      </c>
      <c r="C488" t="s">
        <v>964</v>
      </c>
      <c r="D488" s="1">
        <v>17298</v>
      </c>
      <c r="E488" s="4" t="s">
        <v>11</v>
      </c>
      <c r="F488" s="44">
        <v>18156.91</v>
      </c>
      <c r="G488" s="31">
        <v>2005869.1294444231</v>
      </c>
      <c r="I488" s="48">
        <v>58044</v>
      </c>
      <c r="J488" s="51">
        <v>8.9665876000000005E-2</v>
      </c>
    </row>
    <row r="489" spans="1:10" x14ac:dyDescent="0.25">
      <c r="A489">
        <v>487</v>
      </c>
      <c r="B489" t="s">
        <v>965</v>
      </c>
      <c r="C489" t="s">
        <v>966</v>
      </c>
      <c r="D489" s="1">
        <v>12770</v>
      </c>
      <c r="E489" s="4" t="s">
        <v>8</v>
      </c>
      <c r="F489" s="44">
        <v>21315.35</v>
      </c>
      <c r="G489" s="31">
        <v>1610913.016614584</v>
      </c>
      <c r="I489" s="48">
        <v>58075</v>
      </c>
      <c r="J489" s="51">
        <v>8.9624670000000004E-2</v>
      </c>
    </row>
    <row r="490" spans="1:10" x14ac:dyDescent="0.25">
      <c r="A490">
        <v>488</v>
      </c>
      <c r="B490" t="s">
        <v>967</v>
      </c>
      <c r="C490" t="s">
        <v>968</v>
      </c>
      <c r="D490" s="1">
        <v>7903</v>
      </c>
      <c r="E490" s="4" t="s">
        <v>8</v>
      </c>
      <c r="F490" s="44">
        <v>16424.830000000002</v>
      </c>
      <c r="G490" s="31">
        <v>577532.53582581505</v>
      </c>
      <c r="I490" s="48">
        <v>58106</v>
      </c>
      <c r="J490" s="51">
        <v>8.9583635999999994E-2</v>
      </c>
    </row>
    <row r="491" spans="1:10" x14ac:dyDescent="0.25">
      <c r="A491">
        <v>489</v>
      </c>
      <c r="B491" t="s">
        <v>218</v>
      </c>
      <c r="C491" t="s">
        <v>969</v>
      </c>
      <c r="D491" s="1">
        <v>9296</v>
      </c>
      <c r="E491" s="4" t="s">
        <v>11</v>
      </c>
      <c r="F491" s="44">
        <v>20484.29</v>
      </c>
      <c r="G491" s="31">
        <v>759865.2328456582</v>
      </c>
      <c r="I491" s="48">
        <v>58134</v>
      </c>
      <c r="J491" s="51">
        <v>8.9546720999999996E-2</v>
      </c>
    </row>
    <row r="492" spans="1:10" x14ac:dyDescent="0.25">
      <c r="A492">
        <v>490</v>
      </c>
      <c r="B492" t="s">
        <v>970</v>
      </c>
      <c r="C492" t="s">
        <v>971</v>
      </c>
      <c r="D492" s="1">
        <v>16480</v>
      </c>
      <c r="E492" s="4" t="s">
        <v>8</v>
      </c>
      <c r="F492" s="44">
        <v>18747.34</v>
      </c>
      <c r="G492" s="31">
        <v>2193320.5606398969</v>
      </c>
      <c r="I492" s="48">
        <v>58165</v>
      </c>
      <c r="J492" s="51">
        <v>8.9506011999999996E-2</v>
      </c>
    </row>
    <row r="493" spans="1:10" x14ac:dyDescent="0.25">
      <c r="A493">
        <v>491</v>
      </c>
      <c r="B493" t="s">
        <v>830</v>
      </c>
      <c r="C493" t="s">
        <v>972</v>
      </c>
      <c r="D493" s="1">
        <v>16663</v>
      </c>
      <c r="E493" s="4" t="s">
        <v>8</v>
      </c>
      <c r="F493" s="44">
        <v>15423.85</v>
      </c>
      <c r="G493" s="31">
        <v>1817267.9733960349</v>
      </c>
      <c r="I493" s="48">
        <v>58195</v>
      </c>
      <c r="J493" s="51">
        <v>8.9466777999999997E-2</v>
      </c>
    </row>
    <row r="494" spans="1:10" x14ac:dyDescent="0.25">
      <c r="A494">
        <v>492</v>
      </c>
      <c r="B494" t="s">
        <v>973</v>
      </c>
      <c r="C494" t="s">
        <v>974</v>
      </c>
      <c r="D494" s="1">
        <v>7630</v>
      </c>
      <c r="E494" s="4" t="s">
        <v>11</v>
      </c>
      <c r="F494" s="44">
        <v>23505.84</v>
      </c>
      <c r="G494" s="31">
        <v>600789.72916010814</v>
      </c>
      <c r="I494" s="48">
        <v>58226</v>
      </c>
      <c r="J494" s="51">
        <v>8.9426401000000003E-2</v>
      </c>
    </row>
    <row r="495" spans="1:10" x14ac:dyDescent="0.25">
      <c r="A495">
        <v>493</v>
      </c>
      <c r="B495" t="s">
        <v>975</v>
      </c>
      <c r="C495" t="s">
        <v>976</v>
      </c>
      <c r="D495" s="1">
        <v>15805</v>
      </c>
      <c r="E495" s="4" t="s">
        <v>11</v>
      </c>
      <c r="F495" s="44">
        <v>25875.5</v>
      </c>
      <c r="G495" s="31">
        <v>2382437.8625744507</v>
      </c>
      <c r="I495" s="48">
        <v>58256</v>
      </c>
      <c r="J495" s="51">
        <v>8.9387486000000002E-2</v>
      </c>
    </row>
    <row r="496" spans="1:10" x14ac:dyDescent="0.25">
      <c r="A496">
        <v>494</v>
      </c>
      <c r="B496" t="s">
        <v>977</v>
      </c>
      <c r="C496" t="s">
        <v>978</v>
      </c>
      <c r="D496" s="1">
        <v>20161</v>
      </c>
      <c r="E496" s="4" t="s">
        <v>11</v>
      </c>
      <c r="F496" s="44">
        <v>23187.18</v>
      </c>
      <c r="G496" s="31">
        <v>3377741.0856001191</v>
      </c>
      <c r="I496" s="48">
        <v>58287</v>
      </c>
      <c r="J496" s="51">
        <v>8.9347437000000002E-2</v>
      </c>
    </row>
    <row r="497" spans="1:10" x14ac:dyDescent="0.25">
      <c r="A497">
        <v>495</v>
      </c>
      <c r="B497" t="s">
        <v>709</v>
      </c>
      <c r="C497" t="s">
        <v>979</v>
      </c>
      <c r="D497" s="1">
        <v>17085</v>
      </c>
      <c r="E497" s="4" t="s">
        <v>11</v>
      </c>
      <c r="F497" s="44">
        <v>11913.24</v>
      </c>
      <c r="G497" s="31">
        <v>1265214.4610993383</v>
      </c>
      <c r="I497" s="48">
        <v>58318</v>
      </c>
      <c r="J497" s="51">
        <v>8.9307552999999998E-2</v>
      </c>
    </row>
    <row r="498" spans="1:10" x14ac:dyDescent="0.25">
      <c r="A498">
        <v>496</v>
      </c>
      <c r="B498" t="s">
        <v>980</v>
      </c>
      <c r="C498" t="s">
        <v>981</v>
      </c>
      <c r="D498" s="1">
        <v>13445</v>
      </c>
      <c r="E498" s="4" t="s">
        <v>8</v>
      </c>
      <c r="F498" s="44">
        <v>19217.2</v>
      </c>
      <c r="G498" s="31">
        <v>1571061.772321908</v>
      </c>
      <c r="I498" s="48">
        <v>58348</v>
      </c>
      <c r="J498" s="51">
        <v>8.9269112999999997E-2</v>
      </c>
    </row>
    <row r="499" spans="1:10" x14ac:dyDescent="0.25">
      <c r="A499">
        <v>497</v>
      </c>
      <c r="B499" t="s">
        <v>982</v>
      </c>
      <c r="C499" t="s">
        <v>983</v>
      </c>
      <c r="D499" s="1">
        <v>11958</v>
      </c>
      <c r="E499" s="4" t="s">
        <v>8</v>
      </c>
      <c r="F499" s="44">
        <v>15886.25</v>
      </c>
      <c r="G499" s="31">
        <v>1056069.8691334897</v>
      </c>
      <c r="I499" s="48">
        <v>58379</v>
      </c>
      <c r="J499" s="51">
        <v>8.9229551000000004E-2</v>
      </c>
    </row>
    <row r="500" spans="1:10" x14ac:dyDescent="0.25">
      <c r="A500">
        <v>498</v>
      </c>
      <c r="B500" t="s">
        <v>984</v>
      </c>
      <c r="C500" t="s">
        <v>985</v>
      </c>
      <c r="D500" s="1">
        <v>17096</v>
      </c>
      <c r="E500" s="4" t="s">
        <v>11</v>
      </c>
      <c r="F500" s="44">
        <v>22798.54</v>
      </c>
      <c r="G500" s="31">
        <v>2426261.4923463301</v>
      </c>
      <c r="I500" s="48">
        <v>58409</v>
      </c>
      <c r="J500" s="51">
        <v>8.9191419999999993E-2</v>
      </c>
    </row>
    <row r="501" spans="1:10" x14ac:dyDescent="0.25">
      <c r="A501">
        <v>499</v>
      </c>
      <c r="B501" t="s">
        <v>182</v>
      </c>
      <c r="C501" t="s">
        <v>986</v>
      </c>
      <c r="D501" s="1">
        <v>19592</v>
      </c>
      <c r="E501" s="4" t="s">
        <v>8</v>
      </c>
      <c r="F501" s="44">
        <v>20225.61</v>
      </c>
      <c r="G501" s="31">
        <v>3076139.1509721358</v>
      </c>
      <c r="I501" s="48">
        <v>58440</v>
      </c>
      <c r="J501" s="51">
        <v>8.9152176E-2</v>
      </c>
    </row>
    <row r="502" spans="1:10" x14ac:dyDescent="0.25">
      <c r="A502">
        <v>500</v>
      </c>
      <c r="B502" t="s">
        <v>987</v>
      </c>
      <c r="C502" t="s">
        <v>988</v>
      </c>
      <c r="D502" s="1">
        <v>13369</v>
      </c>
      <c r="E502" s="4" t="s">
        <v>11</v>
      </c>
      <c r="F502" s="44">
        <v>24490.27</v>
      </c>
      <c r="G502" s="31">
        <v>1520894.6000404549</v>
      </c>
      <c r="I502" s="48">
        <v>58471</v>
      </c>
      <c r="J502" s="51">
        <v>8.9113093000000004E-2</v>
      </c>
    </row>
    <row r="503" spans="1:10" x14ac:dyDescent="0.25">
      <c r="A503">
        <v>501</v>
      </c>
      <c r="B503" t="s">
        <v>989</v>
      </c>
      <c r="C503" t="s">
        <v>990</v>
      </c>
      <c r="D503" s="1">
        <v>20543</v>
      </c>
      <c r="E503" s="4" t="s">
        <v>11</v>
      </c>
      <c r="F503" s="44">
        <v>19796.38</v>
      </c>
      <c r="G503" s="31">
        <v>2975035.8815885065</v>
      </c>
      <c r="I503" s="48">
        <v>58500</v>
      </c>
      <c r="J503" s="51">
        <v>8.9076674999999994E-2</v>
      </c>
    </row>
    <row r="504" spans="1:10" x14ac:dyDescent="0.25">
      <c r="A504">
        <v>502</v>
      </c>
      <c r="B504" t="s">
        <v>991</v>
      </c>
      <c r="C504" t="s">
        <v>992</v>
      </c>
      <c r="D504" s="1">
        <v>16605</v>
      </c>
      <c r="E504" s="4" t="s">
        <v>11</v>
      </c>
      <c r="F504" s="44">
        <v>14360.37</v>
      </c>
      <c r="G504" s="31">
        <v>1468537.9018342688</v>
      </c>
      <c r="I504" s="48">
        <v>58531</v>
      </c>
      <c r="J504" s="51">
        <v>8.9037898000000004E-2</v>
      </c>
    </row>
    <row r="505" spans="1:10" x14ac:dyDescent="0.25">
      <c r="A505">
        <v>503</v>
      </c>
      <c r="B505" t="s">
        <v>993</v>
      </c>
      <c r="C505" t="s">
        <v>994</v>
      </c>
      <c r="D505" s="1">
        <v>18784</v>
      </c>
      <c r="E505" s="4" t="s">
        <v>11</v>
      </c>
      <c r="F505" s="44">
        <v>25362.73</v>
      </c>
      <c r="G505" s="31">
        <v>3275062.921195209</v>
      </c>
      <c r="I505" s="48">
        <v>58561</v>
      </c>
      <c r="J505" s="51">
        <v>8.9000522999999998E-2</v>
      </c>
    </row>
    <row r="506" spans="1:10" x14ac:dyDescent="0.25">
      <c r="A506">
        <v>504</v>
      </c>
      <c r="B506" t="s">
        <v>995</v>
      </c>
      <c r="C506" t="s">
        <v>996</v>
      </c>
      <c r="D506" s="1">
        <v>15466</v>
      </c>
      <c r="E506" s="4" t="s">
        <v>11</v>
      </c>
      <c r="F506" s="44">
        <v>22494.47</v>
      </c>
      <c r="G506" s="31">
        <v>1988274.310782773</v>
      </c>
      <c r="I506" s="48">
        <v>58592</v>
      </c>
      <c r="J506" s="51">
        <v>8.8962054999999998E-2</v>
      </c>
    </row>
    <row r="507" spans="1:10" x14ac:dyDescent="0.25">
      <c r="A507">
        <v>505</v>
      </c>
      <c r="B507" t="s">
        <v>997</v>
      </c>
      <c r="C507" t="s">
        <v>998</v>
      </c>
      <c r="D507" s="1">
        <v>17826</v>
      </c>
      <c r="E507" s="4" t="s">
        <v>8</v>
      </c>
      <c r="F507" s="44">
        <v>15967.14</v>
      </c>
      <c r="G507" s="31">
        <v>2108014.3846416376</v>
      </c>
      <c r="I507" s="48">
        <v>58622</v>
      </c>
      <c r="J507" s="51">
        <v>8.8924976000000003E-2</v>
      </c>
    </row>
    <row r="508" spans="1:10" x14ac:dyDescent="0.25">
      <c r="A508">
        <v>506</v>
      </c>
      <c r="B508" t="s">
        <v>999</v>
      </c>
      <c r="C508" t="s">
        <v>1000</v>
      </c>
      <c r="D508" s="1">
        <v>17203</v>
      </c>
      <c r="E508" s="4" t="s">
        <v>8</v>
      </c>
      <c r="F508" s="44">
        <v>19623.13</v>
      </c>
      <c r="G508" s="31">
        <v>2460079.0058598821</v>
      </c>
      <c r="I508" s="48">
        <v>58653</v>
      </c>
      <c r="J508" s="51">
        <v>8.8886813999999995E-2</v>
      </c>
    </row>
    <row r="509" spans="1:10" x14ac:dyDescent="0.25">
      <c r="A509">
        <v>507</v>
      </c>
      <c r="B509" t="s">
        <v>1001</v>
      </c>
      <c r="C509" t="s">
        <v>1002</v>
      </c>
      <c r="D509" s="1">
        <v>10204</v>
      </c>
      <c r="E509" s="4" t="s">
        <v>8</v>
      </c>
      <c r="F509" s="44">
        <v>13439.22</v>
      </c>
      <c r="G509" s="31">
        <v>708993.13234111562</v>
      </c>
      <c r="I509" s="48">
        <v>58684</v>
      </c>
      <c r="J509" s="51">
        <v>8.8848805000000003E-2</v>
      </c>
    </row>
    <row r="510" spans="1:10" x14ac:dyDescent="0.25">
      <c r="A510">
        <v>508</v>
      </c>
      <c r="B510" t="s">
        <v>1003</v>
      </c>
      <c r="C510" t="s">
        <v>1004</v>
      </c>
      <c r="D510" s="1">
        <v>21296</v>
      </c>
      <c r="E510" s="4" t="s">
        <v>8</v>
      </c>
      <c r="F510" s="44">
        <v>17426.21</v>
      </c>
      <c r="G510" s="31">
        <v>2978982.7115266933</v>
      </c>
      <c r="I510" s="48">
        <v>58714</v>
      </c>
      <c r="J510" s="51">
        <v>8.8812166999999997E-2</v>
      </c>
    </row>
    <row r="511" spans="1:10" x14ac:dyDescent="0.25">
      <c r="A511">
        <v>509</v>
      </c>
      <c r="B511" t="s">
        <v>1005</v>
      </c>
      <c r="C511" t="s">
        <v>1006</v>
      </c>
      <c r="D511" s="1">
        <v>20354</v>
      </c>
      <c r="E511" s="4" t="s">
        <v>11</v>
      </c>
      <c r="F511" s="44">
        <v>25160.25</v>
      </c>
      <c r="G511" s="31">
        <v>3709818.8358579795</v>
      </c>
      <c r="I511" s="48">
        <v>58745</v>
      </c>
      <c r="J511" s="51">
        <v>8.8774458000000001E-2</v>
      </c>
    </row>
    <row r="512" spans="1:10" x14ac:dyDescent="0.25">
      <c r="A512">
        <v>510</v>
      </c>
      <c r="B512" t="s">
        <v>1007</v>
      </c>
      <c r="C512" t="s">
        <v>1008</v>
      </c>
      <c r="D512" s="1">
        <v>14146</v>
      </c>
      <c r="E512" s="4" t="s">
        <v>8</v>
      </c>
      <c r="F512" s="44">
        <v>25055.27</v>
      </c>
      <c r="G512" s="31">
        <v>2229265.3146559107</v>
      </c>
      <c r="I512" s="48">
        <v>58775</v>
      </c>
      <c r="J512" s="51">
        <v>8.8738107999999996E-2</v>
      </c>
    </row>
    <row r="513" spans="1:10" x14ac:dyDescent="0.25">
      <c r="A513">
        <v>511</v>
      </c>
      <c r="B513" t="s">
        <v>1009</v>
      </c>
      <c r="C513" t="s">
        <v>1010</v>
      </c>
      <c r="D513" s="1">
        <v>8149</v>
      </c>
      <c r="E513" s="4" t="s">
        <v>8</v>
      </c>
      <c r="F513" s="44">
        <v>21839.73</v>
      </c>
      <c r="G513" s="31">
        <v>909633.64063279389</v>
      </c>
      <c r="I513" s="48">
        <v>58806</v>
      </c>
      <c r="J513" s="51">
        <v>8.8700694999999996E-2</v>
      </c>
    </row>
    <row r="514" spans="1:10" x14ac:dyDescent="0.25">
      <c r="A514">
        <v>512</v>
      </c>
      <c r="B514" t="s">
        <v>1011</v>
      </c>
      <c r="C514" t="s">
        <v>1012</v>
      </c>
      <c r="D514" s="1">
        <v>17592</v>
      </c>
      <c r="E514" s="4" t="s">
        <v>11</v>
      </c>
      <c r="F514" s="44">
        <v>23472.16</v>
      </c>
      <c r="G514" s="31">
        <v>2667097.7564496095</v>
      </c>
      <c r="I514" s="48">
        <v>58837</v>
      </c>
      <c r="J514" s="51">
        <v>8.8663431000000001E-2</v>
      </c>
    </row>
    <row r="515" spans="1:10" x14ac:dyDescent="0.25">
      <c r="A515">
        <v>513</v>
      </c>
      <c r="B515" t="s">
        <v>1013</v>
      </c>
      <c r="C515" t="s">
        <v>1014</v>
      </c>
      <c r="D515" s="1">
        <v>12908</v>
      </c>
      <c r="E515" s="4" t="s">
        <v>8</v>
      </c>
      <c r="F515" s="44">
        <v>22050.36</v>
      </c>
      <c r="G515" s="31">
        <v>1737230.2461708111</v>
      </c>
      <c r="I515" s="48">
        <v>58865</v>
      </c>
      <c r="J515" s="51">
        <v>8.8629899999999998E-2</v>
      </c>
    </row>
    <row r="516" spans="1:10" x14ac:dyDescent="0.25">
      <c r="A516">
        <v>514</v>
      </c>
      <c r="B516" t="s">
        <v>1015</v>
      </c>
      <c r="C516" t="s">
        <v>1016</v>
      </c>
      <c r="D516" s="1">
        <v>11047</v>
      </c>
      <c r="E516" s="4" t="s">
        <v>8</v>
      </c>
      <c r="F516" s="44">
        <v>20414.330000000002</v>
      </c>
      <c r="G516" s="31">
        <v>1252775.1388438633</v>
      </c>
      <c r="I516" s="48">
        <v>58896</v>
      </c>
      <c r="J516" s="51">
        <v>8.8592916999999993E-2</v>
      </c>
    </row>
    <row r="517" spans="1:10" x14ac:dyDescent="0.25">
      <c r="A517">
        <v>515</v>
      </c>
      <c r="B517" t="s">
        <v>1017</v>
      </c>
      <c r="C517" t="s">
        <v>1018</v>
      </c>
      <c r="D517" s="1">
        <v>17888</v>
      </c>
      <c r="E517" s="4" t="s">
        <v>8</v>
      </c>
      <c r="F517" s="44">
        <v>18918.900000000001</v>
      </c>
      <c r="G517" s="31">
        <v>2517775.4772978704</v>
      </c>
      <c r="I517" s="48">
        <v>58926</v>
      </c>
      <c r="J517" s="51">
        <v>8.8557265999999996E-2</v>
      </c>
    </row>
    <row r="518" spans="1:10" x14ac:dyDescent="0.25">
      <c r="A518">
        <v>516</v>
      </c>
      <c r="B518" t="s">
        <v>263</v>
      </c>
      <c r="C518" t="s">
        <v>1019</v>
      </c>
      <c r="D518" s="1">
        <v>13057</v>
      </c>
      <c r="E518" s="4" t="s">
        <v>8</v>
      </c>
      <c r="F518" s="44">
        <v>23400.560000000001</v>
      </c>
      <c r="G518" s="31">
        <v>1810526.4757815788</v>
      </c>
      <c r="I518" s="48">
        <v>58957</v>
      </c>
      <c r="J518" s="51">
        <v>8.8520571000000006E-2</v>
      </c>
    </row>
    <row r="519" spans="1:10" x14ac:dyDescent="0.25">
      <c r="A519">
        <v>517</v>
      </c>
      <c r="B519" t="s">
        <v>1020</v>
      </c>
      <c r="C519" t="s">
        <v>1021</v>
      </c>
      <c r="D519" s="1">
        <v>8820</v>
      </c>
      <c r="E519" s="4" t="s">
        <v>11</v>
      </c>
      <c r="F519" s="44">
        <v>19037.259999999998</v>
      </c>
      <c r="G519" s="31">
        <v>621448.86667862954</v>
      </c>
      <c r="I519" s="48">
        <v>58987</v>
      </c>
      <c r="J519" s="51">
        <v>8.8485197000000002E-2</v>
      </c>
    </row>
    <row r="520" spans="1:10" x14ac:dyDescent="0.25">
      <c r="A520">
        <v>518</v>
      </c>
      <c r="B520" t="s">
        <v>1022</v>
      </c>
      <c r="C520" t="s">
        <v>1023</v>
      </c>
      <c r="D520" s="1">
        <v>8224</v>
      </c>
      <c r="E520" s="4" t="s">
        <v>8</v>
      </c>
      <c r="F520" s="44">
        <v>20872.09</v>
      </c>
      <c r="G520" s="31">
        <v>753144.35836599104</v>
      </c>
      <c r="I520" s="48">
        <v>59018</v>
      </c>
      <c r="J520" s="51">
        <v>8.8448786000000001E-2</v>
      </c>
    </row>
    <row r="521" spans="1:10" x14ac:dyDescent="0.25">
      <c r="A521">
        <v>519</v>
      </c>
      <c r="B521" t="s">
        <v>1024</v>
      </c>
      <c r="C521" t="s">
        <v>1025</v>
      </c>
      <c r="D521" s="1">
        <v>14524</v>
      </c>
      <c r="E521" s="4" t="s">
        <v>8</v>
      </c>
      <c r="F521" s="44">
        <v>17846.18</v>
      </c>
      <c r="G521" s="31">
        <v>1665987.2511998799</v>
      </c>
      <c r="I521" s="48">
        <v>59049</v>
      </c>
      <c r="J521" s="51">
        <v>8.8412517999999995E-2</v>
      </c>
    </row>
    <row r="522" spans="1:10" x14ac:dyDescent="0.25">
      <c r="A522">
        <v>520</v>
      </c>
      <c r="B522" t="s">
        <v>1026</v>
      </c>
      <c r="C522" t="s">
        <v>1027</v>
      </c>
      <c r="D522" s="1">
        <v>13609</v>
      </c>
      <c r="E522" s="4" t="s">
        <v>8</v>
      </c>
      <c r="F522" s="44">
        <v>19686</v>
      </c>
      <c r="G522" s="31">
        <v>1683335.5379459728</v>
      </c>
      <c r="I522" s="48">
        <v>59079</v>
      </c>
      <c r="J522" s="51">
        <v>8.8377554999999997E-2</v>
      </c>
    </row>
    <row r="523" spans="1:10" x14ac:dyDescent="0.25">
      <c r="A523">
        <v>521</v>
      </c>
      <c r="B523" t="s">
        <v>1028</v>
      </c>
      <c r="C523" t="s">
        <v>1029</v>
      </c>
      <c r="D523" s="1">
        <v>11736</v>
      </c>
      <c r="E523" s="4" t="s">
        <v>11</v>
      </c>
      <c r="F523" s="44">
        <v>20910.39</v>
      </c>
      <c r="G523" s="31">
        <v>1060692.3355284669</v>
      </c>
      <c r="I523" s="48">
        <v>59110</v>
      </c>
      <c r="J523" s="51">
        <v>8.8341565999999996E-2</v>
      </c>
    </row>
    <row r="524" spans="1:10" x14ac:dyDescent="0.25">
      <c r="A524">
        <v>522</v>
      </c>
      <c r="B524" t="s">
        <v>1030</v>
      </c>
      <c r="C524" t="s">
        <v>1031</v>
      </c>
      <c r="D524" s="1">
        <v>18208</v>
      </c>
      <c r="E524" s="4" t="s">
        <v>11</v>
      </c>
      <c r="F524" s="44">
        <v>22909.07</v>
      </c>
      <c r="G524" s="31">
        <v>2766087.2348539582</v>
      </c>
      <c r="I524" s="48">
        <v>59140</v>
      </c>
      <c r="J524" s="51">
        <v>8.8306871999999995E-2</v>
      </c>
    </row>
    <row r="525" spans="1:10" x14ac:dyDescent="0.25">
      <c r="A525">
        <v>523</v>
      </c>
      <c r="B525" t="s">
        <v>1032</v>
      </c>
      <c r="C525" t="s">
        <v>1033</v>
      </c>
      <c r="D525" s="1">
        <v>16424</v>
      </c>
      <c r="E525" s="4" t="s">
        <v>8</v>
      </c>
      <c r="F525" s="44">
        <v>17697.599999999999</v>
      </c>
      <c r="G525" s="31">
        <v>2051599.3728647884</v>
      </c>
      <c r="I525" s="48">
        <v>59171</v>
      </c>
      <c r="J525" s="51">
        <v>8.8271159000000002E-2</v>
      </c>
    </row>
    <row r="526" spans="1:10" x14ac:dyDescent="0.25">
      <c r="A526">
        <v>524</v>
      </c>
      <c r="B526" t="s">
        <v>1034</v>
      </c>
      <c r="C526" t="s">
        <v>1035</v>
      </c>
      <c r="D526" s="1">
        <v>20184</v>
      </c>
      <c r="E526" s="4" t="s">
        <v>11</v>
      </c>
      <c r="F526" s="44">
        <v>18506.240000000002</v>
      </c>
      <c r="G526" s="31">
        <v>2702380.7622594633</v>
      </c>
      <c r="I526" s="48">
        <v>59202</v>
      </c>
      <c r="J526" s="51">
        <v>8.8235585000000005E-2</v>
      </c>
    </row>
    <row r="527" spans="1:10" x14ac:dyDescent="0.25">
      <c r="A527">
        <v>525</v>
      </c>
      <c r="B527" t="s">
        <v>1036</v>
      </c>
      <c r="C527" t="s">
        <v>1037</v>
      </c>
      <c r="D527" s="1">
        <v>16044</v>
      </c>
      <c r="E527" s="4" t="s">
        <v>8</v>
      </c>
      <c r="F527" s="44">
        <v>19415.34</v>
      </c>
      <c r="G527" s="31">
        <v>2162418.0373815475</v>
      </c>
      <c r="I527" s="48">
        <v>59230</v>
      </c>
      <c r="J527" s="51">
        <v>8.8203572999999993E-2</v>
      </c>
    </row>
    <row r="528" spans="1:10" x14ac:dyDescent="0.25">
      <c r="A528">
        <v>526</v>
      </c>
      <c r="B528" t="s">
        <v>431</v>
      </c>
      <c r="C528" t="s">
        <v>1038</v>
      </c>
      <c r="D528" s="1">
        <v>12967</v>
      </c>
      <c r="E528" s="4" t="s">
        <v>8</v>
      </c>
      <c r="F528" s="44">
        <v>23281.9</v>
      </c>
      <c r="G528" s="31">
        <v>1751699.2895395595</v>
      </c>
      <c r="I528" s="48">
        <v>59261</v>
      </c>
      <c r="J528" s="51">
        <v>8.8168261999999997E-2</v>
      </c>
    </row>
    <row r="529" spans="1:10" x14ac:dyDescent="0.25">
      <c r="A529">
        <v>527</v>
      </c>
      <c r="B529" t="s">
        <v>1039</v>
      </c>
      <c r="C529" t="s">
        <v>1040</v>
      </c>
      <c r="D529" s="1">
        <v>13733</v>
      </c>
      <c r="E529" s="4" t="s">
        <v>8</v>
      </c>
      <c r="F529" s="44">
        <v>20020.349999999999</v>
      </c>
      <c r="G529" s="31">
        <v>1679310.6983749231</v>
      </c>
      <c r="I529" s="48">
        <v>59291</v>
      </c>
      <c r="J529" s="51">
        <v>8.8134219999999999E-2</v>
      </c>
    </row>
    <row r="530" spans="1:10" x14ac:dyDescent="0.25">
      <c r="A530">
        <v>528</v>
      </c>
      <c r="B530" t="s">
        <v>1041</v>
      </c>
      <c r="C530" t="s">
        <v>1042</v>
      </c>
      <c r="D530" s="1">
        <v>17263</v>
      </c>
      <c r="E530" s="4" t="s">
        <v>11</v>
      </c>
      <c r="F530" s="44">
        <v>16157.74</v>
      </c>
      <c r="G530" s="31">
        <v>1773943.6803105567</v>
      </c>
      <c r="I530" s="48">
        <v>59322</v>
      </c>
      <c r="J530" s="51">
        <v>8.8099176000000001E-2</v>
      </c>
    </row>
    <row r="531" spans="1:10" x14ac:dyDescent="0.25">
      <c r="A531">
        <v>529</v>
      </c>
      <c r="B531" t="s">
        <v>1043</v>
      </c>
      <c r="C531" t="s">
        <v>1044</v>
      </c>
      <c r="D531" s="1">
        <v>16302</v>
      </c>
      <c r="E531" s="4" t="s">
        <v>8</v>
      </c>
      <c r="F531" s="44">
        <v>19719.2</v>
      </c>
      <c r="G531" s="31">
        <v>2239186.7042407077</v>
      </c>
      <c r="I531" s="48">
        <v>59352</v>
      </c>
      <c r="J531" s="51">
        <v>8.8065393000000006E-2</v>
      </c>
    </row>
    <row r="532" spans="1:10" x14ac:dyDescent="0.25">
      <c r="A532">
        <v>530</v>
      </c>
      <c r="B532" t="s">
        <v>1045</v>
      </c>
      <c r="C532" t="s">
        <v>1046</v>
      </c>
      <c r="D532" s="1">
        <v>6818</v>
      </c>
      <c r="E532" s="4" t="s">
        <v>8</v>
      </c>
      <c r="F532" s="44">
        <v>17311.84</v>
      </c>
      <c r="G532" s="31">
        <v>514004.78845528531</v>
      </c>
      <c r="I532" s="48">
        <v>59383</v>
      </c>
      <c r="J532" s="51">
        <v>8.8030615000000006E-2</v>
      </c>
    </row>
    <row r="533" spans="1:10" x14ac:dyDescent="0.25">
      <c r="A533">
        <v>531</v>
      </c>
      <c r="B533" t="s">
        <v>1047</v>
      </c>
      <c r="C533" t="s">
        <v>1048</v>
      </c>
      <c r="D533" s="1">
        <v>10258</v>
      </c>
      <c r="E533" s="4" t="s">
        <v>11</v>
      </c>
      <c r="F533" s="44">
        <v>19840.79</v>
      </c>
      <c r="G533" s="31">
        <v>791993.43983678485</v>
      </c>
      <c r="I533" s="48">
        <v>59414</v>
      </c>
      <c r="J533" s="51">
        <v>8.7995971000000006E-2</v>
      </c>
    </row>
    <row r="534" spans="1:10" x14ac:dyDescent="0.25">
      <c r="A534">
        <v>532</v>
      </c>
      <c r="B534" t="s">
        <v>1049</v>
      </c>
      <c r="C534" t="s">
        <v>1050</v>
      </c>
      <c r="D534" s="1">
        <v>13081</v>
      </c>
      <c r="E534" s="4" t="s">
        <v>8</v>
      </c>
      <c r="F534" s="44">
        <v>16242.32</v>
      </c>
      <c r="G534" s="31">
        <v>1266436.0177428727</v>
      </c>
      <c r="I534" s="48">
        <v>59444</v>
      </c>
      <c r="J534" s="51">
        <v>8.7962570000000004E-2</v>
      </c>
    </row>
    <row r="535" spans="1:10" x14ac:dyDescent="0.25">
      <c r="A535">
        <v>533</v>
      </c>
      <c r="B535" t="s">
        <v>1051</v>
      </c>
      <c r="C535" t="s">
        <v>1052</v>
      </c>
      <c r="D535" s="1">
        <v>8603</v>
      </c>
      <c r="E535" s="4" t="s">
        <v>8</v>
      </c>
      <c r="F535" s="44">
        <v>19574.09</v>
      </c>
      <c r="G535" s="31">
        <v>756892.88076008717</v>
      </c>
      <c r="I535" s="48">
        <v>59475</v>
      </c>
      <c r="J535" s="51">
        <v>8.7928187000000005E-2</v>
      </c>
    </row>
    <row r="536" spans="1:10" x14ac:dyDescent="0.25">
      <c r="A536">
        <v>534</v>
      </c>
      <c r="B536" t="s">
        <v>1053</v>
      </c>
      <c r="C536" t="s">
        <v>1054</v>
      </c>
      <c r="D536" s="1">
        <v>13744</v>
      </c>
      <c r="E536" s="4" t="s">
        <v>11</v>
      </c>
      <c r="F536" s="44">
        <v>15925.63</v>
      </c>
      <c r="G536" s="31">
        <v>1052461.5438511479</v>
      </c>
      <c r="I536" s="48">
        <v>59505</v>
      </c>
      <c r="J536" s="51">
        <v>8.7895037999999995E-2</v>
      </c>
    </row>
    <row r="537" spans="1:10" x14ac:dyDescent="0.25">
      <c r="A537">
        <v>535</v>
      </c>
      <c r="B537" t="s">
        <v>1055</v>
      </c>
      <c r="C537" t="s">
        <v>1056</v>
      </c>
      <c r="D537" s="1">
        <v>18597</v>
      </c>
      <c r="E537" s="4" t="s">
        <v>8</v>
      </c>
      <c r="F537" s="44">
        <v>16742.259999999998</v>
      </c>
      <c r="G537" s="31">
        <v>2363594.3798653097</v>
      </c>
      <c r="I537" s="48">
        <v>59536</v>
      </c>
      <c r="J537" s="51">
        <v>8.7860911999999999E-2</v>
      </c>
    </row>
    <row r="538" spans="1:10" x14ac:dyDescent="0.25">
      <c r="A538">
        <v>536</v>
      </c>
      <c r="B538" t="s">
        <v>1057</v>
      </c>
      <c r="C538" t="s">
        <v>1058</v>
      </c>
      <c r="D538" s="1">
        <v>7213</v>
      </c>
      <c r="E538" s="4" t="s">
        <v>8</v>
      </c>
      <c r="F538" s="44">
        <v>26546.9</v>
      </c>
      <c r="G538" s="31">
        <v>857982.73624635476</v>
      </c>
      <c r="I538" s="48">
        <v>59567</v>
      </c>
      <c r="J538" s="51">
        <v>8.7826916000000005E-2</v>
      </c>
    </row>
    <row r="539" spans="1:10" x14ac:dyDescent="0.25">
      <c r="A539">
        <v>537</v>
      </c>
      <c r="B539" t="s">
        <v>1059</v>
      </c>
      <c r="C539" t="s">
        <v>1060</v>
      </c>
      <c r="D539" s="1">
        <v>9349</v>
      </c>
      <c r="E539" s="4" t="s">
        <v>8</v>
      </c>
      <c r="F539" s="44">
        <v>19538.41</v>
      </c>
      <c r="G539" s="31">
        <v>860903.67136914842</v>
      </c>
      <c r="I539" s="48">
        <v>59595</v>
      </c>
      <c r="J539" s="51">
        <v>8.7796321999999996E-2</v>
      </c>
    </row>
    <row r="540" spans="1:10" x14ac:dyDescent="0.25">
      <c r="A540">
        <v>538</v>
      </c>
      <c r="B540" t="s">
        <v>1061</v>
      </c>
      <c r="C540" t="s">
        <v>1062</v>
      </c>
      <c r="D540" s="1">
        <v>7621</v>
      </c>
      <c r="E540" s="4" t="s">
        <v>11</v>
      </c>
      <c r="F540" s="44">
        <v>20450.490000000002</v>
      </c>
      <c r="G540" s="31">
        <v>518701.97338113666</v>
      </c>
      <c r="I540" s="48">
        <v>59626</v>
      </c>
      <c r="J540" s="51">
        <v>8.7762570999999998E-2</v>
      </c>
    </row>
    <row r="541" spans="1:10" x14ac:dyDescent="0.25">
      <c r="A541">
        <v>539</v>
      </c>
      <c r="B541" t="s">
        <v>1063</v>
      </c>
      <c r="C541" t="s">
        <v>1064</v>
      </c>
      <c r="D541" s="1">
        <v>20912</v>
      </c>
      <c r="E541" s="4" t="s">
        <v>11</v>
      </c>
      <c r="F541" s="44">
        <v>17990.21</v>
      </c>
      <c r="G541" s="31">
        <v>2781577.6713965265</v>
      </c>
      <c r="I541" s="48">
        <v>59656</v>
      </c>
      <c r="J541" s="51">
        <v>8.7730031E-2</v>
      </c>
    </row>
    <row r="542" spans="1:10" x14ac:dyDescent="0.25">
      <c r="A542">
        <v>540</v>
      </c>
      <c r="B542" t="s">
        <v>1065</v>
      </c>
      <c r="C542" t="s">
        <v>1066</v>
      </c>
      <c r="D542" s="1">
        <v>10844</v>
      </c>
      <c r="E542" s="4" t="s">
        <v>11</v>
      </c>
      <c r="F542" s="44">
        <v>22817.7</v>
      </c>
      <c r="G542" s="31">
        <v>936380.10672427109</v>
      </c>
      <c r="I542" s="48">
        <v>59687</v>
      </c>
      <c r="J542" s="51">
        <v>8.7696530999999994E-2</v>
      </c>
    </row>
    <row r="543" spans="1:10" x14ac:dyDescent="0.25">
      <c r="A543">
        <v>541</v>
      </c>
      <c r="B543" t="s">
        <v>1067</v>
      </c>
      <c r="C543" t="s">
        <v>1068</v>
      </c>
      <c r="D543" s="1">
        <v>16856</v>
      </c>
      <c r="E543" s="4" t="s">
        <v>11</v>
      </c>
      <c r="F543" s="44">
        <v>20717.77</v>
      </c>
      <c r="G543" s="31">
        <v>2163065.5598284402</v>
      </c>
      <c r="I543" s="48">
        <v>59717</v>
      </c>
      <c r="J543" s="51">
        <v>8.7664231999999995E-2</v>
      </c>
    </row>
    <row r="544" spans="1:10" x14ac:dyDescent="0.25">
      <c r="A544">
        <v>542</v>
      </c>
      <c r="B544" t="s">
        <v>630</v>
      </c>
      <c r="C544" t="s">
        <v>1069</v>
      </c>
      <c r="D544" s="1">
        <v>20846</v>
      </c>
      <c r="E544" s="4" t="s">
        <v>8</v>
      </c>
      <c r="F544" s="44">
        <v>16617.88</v>
      </c>
      <c r="G544" s="31">
        <v>2760735.1084808293</v>
      </c>
      <c r="I544" s="48">
        <v>59748</v>
      </c>
      <c r="J544" s="51">
        <v>8.7630980999999997E-2</v>
      </c>
    </row>
    <row r="545" spans="1:10" x14ac:dyDescent="0.25">
      <c r="A545">
        <v>543</v>
      </c>
      <c r="B545" t="s">
        <v>1070</v>
      </c>
      <c r="C545" t="s">
        <v>1071</v>
      </c>
      <c r="D545" s="1">
        <v>11313</v>
      </c>
      <c r="E545" s="4" t="s">
        <v>8</v>
      </c>
      <c r="F545" s="44">
        <v>23137.58</v>
      </c>
      <c r="G545" s="31">
        <v>1435179.5398545074</v>
      </c>
      <c r="I545" s="48">
        <v>59779</v>
      </c>
      <c r="J545" s="51">
        <v>8.7597854000000003E-2</v>
      </c>
    </row>
    <row r="546" spans="1:10" x14ac:dyDescent="0.25">
      <c r="A546">
        <v>544</v>
      </c>
      <c r="B546" t="s">
        <v>1072</v>
      </c>
      <c r="C546" t="s">
        <v>1073</v>
      </c>
      <c r="D546" s="1">
        <v>19078</v>
      </c>
      <c r="E546" s="4" t="s">
        <v>11</v>
      </c>
      <c r="F546" s="44">
        <v>18134.61</v>
      </c>
      <c r="G546" s="31">
        <v>2401827.4426898668</v>
      </c>
      <c r="I546" s="48">
        <v>59809</v>
      </c>
      <c r="J546" s="51">
        <v>8.7565913999999995E-2</v>
      </c>
    </row>
    <row r="547" spans="1:10" x14ac:dyDescent="0.25">
      <c r="A547">
        <v>545</v>
      </c>
      <c r="B547" t="s">
        <v>1074</v>
      </c>
      <c r="C547" t="s">
        <v>1075</v>
      </c>
      <c r="D547" s="1">
        <v>8634</v>
      </c>
      <c r="E547" s="4" t="s">
        <v>8</v>
      </c>
      <c r="F547" s="44">
        <v>21379.64</v>
      </c>
      <c r="G547" s="31">
        <v>845655.85828973586</v>
      </c>
      <c r="I547" s="48">
        <v>59840</v>
      </c>
      <c r="J547" s="51">
        <v>8.7533030999999997E-2</v>
      </c>
    </row>
    <row r="548" spans="1:10" x14ac:dyDescent="0.25">
      <c r="A548">
        <v>546</v>
      </c>
      <c r="B548" t="s">
        <v>1076</v>
      </c>
      <c r="C548" t="s">
        <v>1077</v>
      </c>
      <c r="D548" s="1">
        <v>14345</v>
      </c>
      <c r="E548" s="4" t="s">
        <v>8</v>
      </c>
      <c r="F548" s="44">
        <v>20637.12</v>
      </c>
      <c r="G548" s="31">
        <v>1926976.832080438</v>
      </c>
      <c r="I548" s="48">
        <v>59870</v>
      </c>
      <c r="J548" s="51">
        <v>8.7501325000000005E-2</v>
      </c>
    </row>
    <row r="549" spans="1:10" x14ac:dyDescent="0.25">
      <c r="A549">
        <v>547</v>
      </c>
      <c r="B549" t="s">
        <v>1078</v>
      </c>
      <c r="C549" t="s">
        <v>1079</v>
      </c>
      <c r="D549" s="1">
        <v>8048</v>
      </c>
      <c r="E549" s="4" t="s">
        <v>11</v>
      </c>
      <c r="F549" s="44">
        <v>21394.82</v>
      </c>
      <c r="G549" s="31">
        <v>607799.30949750112</v>
      </c>
      <c r="I549" s="48">
        <v>59901</v>
      </c>
      <c r="J549" s="51">
        <v>8.7468684000000005E-2</v>
      </c>
    </row>
    <row r="550" spans="1:10" x14ac:dyDescent="0.25">
      <c r="A550">
        <v>548</v>
      </c>
      <c r="B550" t="s">
        <v>1080</v>
      </c>
      <c r="C550" t="s">
        <v>1081</v>
      </c>
      <c r="D550" s="1">
        <v>11837</v>
      </c>
      <c r="E550" s="4" t="s">
        <v>11</v>
      </c>
      <c r="F550" s="44">
        <v>16148.75</v>
      </c>
      <c r="G550" s="31">
        <v>859031.99871404551</v>
      </c>
      <c r="I550" s="48">
        <v>59932</v>
      </c>
      <c r="J550" s="51">
        <v>8.7436162999999997E-2</v>
      </c>
    </row>
    <row r="551" spans="1:10" x14ac:dyDescent="0.25">
      <c r="A551">
        <v>549</v>
      </c>
      <c r="B551" t="s">
        <v>1082</v>
      </c>
      <c r="C551" t="s">
        <v>1083</v>
      </c>
      <c r="D551" s="1">
        <v>7349</v>
      </c>
      <c r="E551" s="4" t="s">
        <v>11</v>
      </c>
      <c r="F551" s="44">
        <v>22771.03</v>
      </c>
      <c r="G551" s="31">
        <v>601677.25821469433</v>
      </c>
      <c r="I551" s="48">
        <v>59961</v>
      </c>
      <c r="J551" s="51">
        <v>8.7405849999999993E-2</v>
      </c>
    </row>
    <row r="552" spans="1:10" x14ac:dyDescent="0.25">
      <c r="A552">
        <v>550</v>
      </c>
      <c r="B552" t="s">
        <v>1084</v>
      </c>
      <c r="C552" t="s">
        <v>1085</v>
      </c>
      <c r="D552" s="1">
        <v>12736</v>
      </c>
      <c r="E552" s="4" t="s">
        <v>11</v>
      </c>
      <c r="F552" s="44">
        <v>21537.01</v>
      </c>
      <c r="G552" s="31">
        <v>1240399.1292358765</v>
      </c>
      <c r="I552" s="48">
        <v>59992</v>
      </c>
      <c r="J552" s="51">
        <v>8.7373563000000001E-2</v>
      </c>
    </row>
    <row r="553" spans="1:10" x14ac:dyDescent="0.25">
      <c r="A553">
        <v>551</v>
      </c>
      <c r="B553" t="s">
        <v>1086</v>
      </c>
      <c r="C553" t="s">
        <v>1087</v>
      </c>
      <c r="D553" s="1">
        <v>11797</v>
      </c>
      <c r="E553" s="4" t="s">
        <v>8</v>
      </c>
      <c r="F553" s="44">
        <v>18293.12</v>
      </c>
      <c r="G553" s="31">
        <v>1246409.8422060085</v>
      </c>
      <c r="I553" s="48">
        <v>60022</v>
      </c>
      <c r="J553" s="51">
        <v>8.7342431999999998E-2</v>
      </c>
    </row>
    <row r="554" spans="1:10" x14ac:dyDescent="0.25">
      <c r="A554">
        <v>552</v>
      </c>
      <c r="B554" t="s">
        <v>1088</v>
      </c>
      <c r="C554" t="s">
        <v>1089</v>
      </c>
      <c r="D554" s="1">
        <v>20146</v>
      </c>
      <c r="E554" s="4" t="s">
        <v>8</v>
      </c>
      <c r="F554" s="44">
        <v>18541.560000000001</v>
      </c>
      <c r="G554" s="31">
        <v>2944099.6311698919</v>
      </c>
      <c r="I554" s="48">
        <v>60053</v>
      </c>
      <c r="J554" s="51">
        <v>8.7310378999999994E-2</v>
      </c>
    </row>
    <row r="555" spans="1:10" x14ac:dyDescent="0.25">
      <c r="A555">
        <v>553</v>
      </c>
      <c r="B555" t="s">
        <v>1090</v>
      </c>
      <c r="C555" t="s">
        <v>1091</v>
      </c>
      <c r="D555" s="1">
        <v>17590</v>
      </c>
      <c r="E555" s="4" t="s">
        <v>11</v>
      </c>
      <c r="F555" s="44">
        <v>16948.43</v>
      </c>
      <c r="G555" s="31">
        <v>1925478.3953306731</v>
      </c>
      <c r="I555" s="48">
        <v>60083</v>
      </c>
      <c r="J555" s="51">
        <v>8.7279472999999996E-2</v>
      </c>
    </row>
    <row r="556" spans="1:10" x14ac:dyDescent="0.25">
      <c r="A556">
        <v>554</v>
      </c>
      <c r="B556" t="s">
        <v>1092</v>
      </c>
      <c r="C556" t="s">
        <v>1093</v>
      </c>
      <c r="D556" s="1">
        <v>17199</v>
      </c>
      <c r="E556" s="4" t="s">
        <v>11</v>
      </c>
      <c r="F556" s="44">
        <v>25285.69</v>
      </c>
      <c r="G556" s="31">
        <v>2744013.588555749</v>
      </c>
      <c r="I556" s="48">
        <v>60114</v>
      </c>
      <c r="J556" s="51">
        <v>8.7247652999999994E-2</v>
      </c>
    </row>
    <row r="557" spans="1:10" x14ac:dyDescent="0.25">
      <c r="A557">
        <v>555</v>
      </c>
      <c r="B557" t="s">
        <v>1094</v>
      </c>
      <c r="C557" t="s">
        <v>1095</v>
      </c>
      <c r="D557" s="1">
        <v>18282</v>
      </c>
      <c r="E557" s="4" t="s">
        <v>8</v>
      </c>
      <c r="F557" s="44">
        <v>18657.87</v>
      </c>
      <c r="G557" s="31">
        <v>2570923.8350251303</v>
      </c>
      <c r="I557" s="48">
        <v>60145</v>
      </c>
      <c r="J557" s="51">
        <v>8.721595E-2</v>
      </c>
    </row>
    <row r="558" spans="1:10" x14ac:dyDescent="0.25">
      <c r="A558">
        <v>556</v>
      </c>
      <c r="B558" t="s">
        <v>1096</v>
      </c>
      <c r="C558" t="s">
        <v>1097</v>
      </c>
      <c r="D558" s="1">
        <v>17355</v>
      </c>
      <c r="E558" s="4" t="s">
        <v>11</v>
      </c>
      <c r="F558" s="44">
        <v>22444.71</v>
      </c>
      <c r="G558" s="31">
        <v>2445165.8177790847</v>
      </c>
      <c r="I558" s="48">
        <v>60175</v>
      </c>
      <c r="J558" s="51">
        <v>8.7185380000000007E-2</v>
      </c>
    </row>
    <row r="559" spans="1:10" x14ac:dyDescent="0.25">
      <c r="A559">
        <v>557</v>
      </c>
      <c r="B559" t="s">
        <v>1098</v>
      </c>
      <c r="C559" t="s">
        <v>1099</v>
      </c>
      <c r="D559" s="1">
        <v>18286</v>
      </c>
      <c r="E559" s="4" t="s">
        <v>11</v>
      </c>
      <c r="F559" s="44">
        <v>24907.83</v>
      </c>
      <c r="G559" s="31">
        <v>3043293.2816552613</v>
      </c>
      <c r="I559" s="48">
        <v>60206</v>
      </c>
      <c r="J559" s="51">
        <v>8.7153905000000004E-2</v>
      </c>
    </row>
    <row r="560" spans="1:10" x14ac:dyDescent="0.25">
      <c r="A560">
        <v>558</v>
      </c>
      <c r="B560" t="s">
        <v>1100</v>
      </c>
      <c r="C560" t="s">
        <v>1101</v>
      </c>
      <c r="D560" s="1">
        <v>10397</v>
      </c>
      <c r="E560" s="4" t="s">
        <v>11</v>
      </c>
      <c r="F560" s="44">
        <v>20594.62</v>
      </c>
      <c r="G560" s="31">
        <v>894566.03689160873</v>
      </c>
      <c r="I560" s="48">
        <v>60236</v>
      </c>
      <c r="J560" s="51">
        <v>8.7123554000000006E-2</v>
      </c>
    </row>
    <row r="561" spans="1:10" x14ac:dyDescent="0.25">
      <c r="A561">
        <v>559</v>
      </c>
      <c r="B561" t="s">
        <v>1102</v>
      </c>
      <c r="C561" t="s">
        <v>1103</v>
      </c>
      <c r="D561" s="1">
        <v>11464</v>
      </c>
      <c r="E561" s="4" t="s">
        <v>8</v>
      </c>
      <c r="F561" s="44">
        <v>20454.080000000002</v>
      </c>
      <c r="G561" s="31">
        <v>1343596.5491891331</v>
      </c>
      <c r="I561" s="48">
        <v>60267</v>
      </c>
      <c r="J561" s="51">
        <v>8.7092304999999995E-2</v>
      </c>
    </row>
    <row r="562" spans="1:10" x14ac:dyDescent="0.25">
      <c r="A562">
        <v>560</v>
      </c>
      <c r="B562" t="s">
        <v>399</v>
      </c>
      <c r="C562" t="s">
        <v>1104</v>
      </c>
      <c r="D562" s="1">
        <v>13546</v>
      </c>
      <c r="E562" s="4" t="s">
        <v>11</v>
      </c>
      <c r="F562" s="44">
        <v>18843</v>
      </c>
      <c r="G562" s="31">
        <v>1252814.4042385756</v>
      </c>
      <c r="I562" s="48">
        <v>60298</v>
      </c>
      <c r="J562" s="51">
        <v>8.7061169999999993E-2</v>
      </c>
    </row>
    <row r="563" spans="1:10" x14ac:dyDescent="0.25">
      <c r="A563">
        <v>561</v>
      </c>
      <c r="B563" t="s">
        <v>429</v>
      </c>
      <c r="C563" t="s">
        <v>1105</v>
      </c>
      <c r="D563" s="1">
        <v>8400</v>
      </c>
      <c r="E563" s="4" t="s">
        <v>8</v>
      </c>
      <c r="F563" s="44">
        <v>15573.12</v>
      </c>
      <c r="G563" s="31">
        <v>636411.48999867041</v>
      </c>
      <c r="I563" s="48">
        <v>60326</v>
      </c>
      <c r="J563" s="51">
        <v>8.7033145000000006E-2</v>
      </c>
    </row>
    <row r="564" spans="1:10" x14ac:dyDescent="0.25">
      <c r="A564">
        <v>562</v>
      </c>
      <c r="B564" t="s">
        <v>922</v>
      </c>
      <c r="C564" t="s">
        <v>1106</v>
      </c>
      <c r="D564" s="1">
        <v>14330</v>
      </c>
      <c r="E564" s="4" t="s">
        <v>8</v>
      </c>
      <c r="F564" s="44">
        <v>20932.849999999999</v>
      </c>
      <c r="G564" s="31">
        <v>1947746.520756179</v>
      </c>
      <c r="I564" s="48">
        <v>60357</v>
      </c>
      <c r="J564" s="51">
        <v>8.7002225000000002E-2</v>
      </c>
    </row>
    <row r="565" spans="1:10" x14ac:dyDescent="0.25">
      <c r="A565">
        <v>563</v>
      </c>
      <c r="B565" t="s">
        <v>1107</v>
      </c>
      <c r="C565" t="s">
        <v>1108</v>
      </c>
      <c r="D565" s="1">
        <v>17297</v>
      </c>
      <c r="E565" s="4" t="s">
        <v>11</v>
      </c>
      <c r="F565" s="44">
        <v>24323.91</v>
      </c>
      <c r="G565" s="31">
        <v>2686692.0384829324</v>
      </c>
      <c r="I565" s="48">
        <v>60387</v>
      </c>
      <c r="J565" s="51">
        <v>8.6972408000000001E-2</v>
      </c>
    </row>
    <row r="566" spans="1:10" x14ac:dyDescent="0.25">
      <c r="A566">
        <v>564</v>
      </c>
      <c r="B566" t="s">
        <v>1109</v>
      </c>
      <c r="C566" t="s">
        <v>1110</v>
      </c>
      <c r="D566" s="1">
        <v>12375</v>
      </c>
      <c r="E566" s="4" t="s">
        <v>11</v>
      </c>
      <c r="F566" s="44">
        <v>21389.71</v>
      </c>
      <c r="G566" s="31">
        <v>1164182.8106649506</v>
      </c>
      <c r="I566" s="48">
        <v>60418</v>
      </c>
      <c r="J566" s="51">
        <v>8.6941708000000006E-2</v>
      </c>
    </row>
    <row r="567" spans="1:10" x14ac:dyDescent="0.25">
      <c r="A567">
        <v>565</v>
      </c>
      <c r="B567" t="s">
        <v>1111</v>
      </c>
      <c r="C567" t="s">
        <v>1112</v>
      </c>
      <c r="D567" s="1">
        <v>7495</v>
      </c>
      <c r="E567" s="4" t="s">
        <v>8</v>
      </c>
      <c r="F567" s="44">
        <v>12923.47</v>
      </c>
      <c r="G567" s="31">
        <v>413203.16509146005</v>
      </c>
      <c r="I567" s="48">
        <v>60448</v>
      </c>
      <c r="J567" s="51">
        <v>8.6912103000000004E-2</v>
      </c>
    </row>
    <row r="568" spans="1:10" x14ac:dyDescent="0.25">
      <c r="A568">
        <v>566</v>
      </c>
      <c r="B568" t="s">
        <v>1113</v>
      </c>
      <c r="C568" t="s">
        <v>1114</v>
      </c>
      <c r="D568" s="1">
        <v>14355</v>
      </c>
      <c r="E568" s="4" t="s">
        <v>8</v>
      </c>
      <c r="F568" s="44">
        <v>17231.419999999998</v>
      </c>
      <c r="G568" s="31">
        <v>1612596.2263380219</v>
      </c>
      <c r="I568" s="48">
        <v>60479</v>
      </c>
      <c r="J568" s="51">
        <v>8.6881620000000007E-2</v>
      </c>
    </row>
    <row r="569" spans="1:10" x14ac:dyDescent="0.25">
      <c r="A569">
        <v>567</v>
      </c>
      <c r="B569" t="s">
        <v>1115</v>
      </c>
      <c r="C569" t="s">
        <v>1116</v>
      </c>
      <c r="D569" s="1">
        <v>12418</v>
      </c>
      <c r="E569" s="4" t="s">
        <v>8</v>
      </c>
      <c r="F569" s="44">
        <v>18964.82</v>
      </c>
      <c r="G569" s="31">
        <v>1371123.6767078305</v>
      </c>
      <c r="I569" s="48">
        <v>60510</v>
      </c>
      <c r="J569" s="51">
        <v>8.6851247000000006E-2</v>
      </c>
    </row>
    <row r="570" spans="1:10" x14ac:dyDescent="0.25">
      <c r="A570">
        <v>568</v>
      </c>
      <c r="B570" t="s">
        <v>1117</v>
      </c>
      <c r="C570" t="s">
        <v>1118</v>
      </c>
      <c r="D570" s="1">
        <v>15241</v>
      </c>
      <c r="E570" s="4" t="s">
        <v>8</v>
      </c>
      <c r="F570" s="44">
        <v>19788.53</v>
      </c>
      <c r="G570" s="31">
        <v>2006252.0666181501</v>
      </c>
      <c r="I570" s="48">
        <v>60540</v>
      </c>
      <c r="J570" s="51">
        <v>8.6821958000000005E-2</v>
      </c>
    </row>
    <row r="571" spans="1:10" x14ac:dyDescent="0.25">
      <c r="A571">
        <v>569</v>
      </c>
      <c r="B571" t="s">
        <v>1119</v>
      </c>
      <c r="C571" t="s">
        <v>1120</v>
      </c>
      <c r="D571" s="1">
        <v>15195</v>
      </c>
      <c r="E571" s="4" t="s">
        <v>8</v>
      </c>
      <c r="F571" s="44">
        <v>15279.01</v>
      </c>
      <c r="G571" s="31">
        <v>1534291.7548236125</v>
      </c>
      <c r="I571" s="48">
        <v>60571</v>
      </c>
      <c r="J571" s="51">
        <v>8.6791799000000003E-2</v>
      </c>
    </row>
    <row r="572" spans="1:10" x14ac:dyDescent="0.25">
      <c r="A572">
        <v>570</v>
      </c>
      <c r="B572" t="s">
        <v>1121</v>
      </c>
      <c r="C572" t="s">
        <v>1122</v>
      </c>
      <c r="D572" s="1">
        <v>17939</v>
      </c>
      <c r="E572" s="4" t="s">
        <v>11</v>
      </c>
      <c r="F572" s="44">
        <v>21035.14</v>
      </c>
      <c r="G572" s="31">
        <v>2480170.3138703485</v>
      </c>
      <c r="I572" s="48">
        <v>60601</v>
      </c>
      <c r="J572" s="51">
        <v>8.6762715000000004E-2</v>
      </c>
    </row>
    <row r="573" spans="1:10" x14ac:dyDescent="0.25">
      <c r="A573">
        <v>571</v>
      </c>
      <c r="B573" t="s">
        <v>1123</v>
      </c>
      <c r="C573" t="s">
        <v>1124</v>
      </c>
      <c r="D573" s="1">
        <v>18590</v>
      </c>
      <c r="E573" s="4" t="s">
        <v>8</v>
      </c>
      <c r="F573" s="44">
        <v>25100.38</v>
      </c>
      <c r="G573" s="31">
        <v>3540907.9689774448</v>
      </c>
      <c r="I573" s="48">
        <v>60632</v>
      </c>
      <c r="J573" s="51">
        <v>8.6732768000000002E-2</v>
      </c>
    </row>
    <row r="574" spans="1:10" x14ac:dyDescent="0.25">
      <c r="A574">
        <v>572</v>
      </c>
      <c r="B574" t="s">
        <v>1125</v>
      </c>
      <c r="C574" t="s">
        <v>1126</v>
      </c>
      <c r="D574" s="1">
        <v>19996</v>
      </c>
      <c r="E574" s="4" t="s">
        <v>8</v>
      </c>
      <c r="F574" s="44">
        <v>20456.599999999999</v>
      </c>
      <c r="G574" s="31">
        <v>3205543.0152493934</v>
      </c>
      <c r="I574" s="48">
        <v>60663</v>
      </c>
      <c r="J574" s="51">
        <v>8.6702927999999999E-2</v>
      </c>
    </row>
    <row r="575" spans="1:10" x14ac:dyDescent="0.25">
      <c r="A575">
        <v>573</v>
      </c>
      <c r="B575" t="s">
        <v>1127</v>
      </c>
      <c r="C575" t="s">
        <v>1128</v>
      </c>
      <c r="D575" s="1">
        <v>13785</v>
      </c>
      <c r="E575" s="4" t="s">
        <v>11</v>
      </c>
      <c r="F575" s="44">
        <v>20914.14</v>
      </c>
      <c r="G575" s="31">
        <v>1403573.4564130828</v>
      </c>
      <c r="I575" s="48">
        <v>60691</v>
      </c>
      <c r="J575" s="51">
        <v>8.6676065999999996E-2</v>
      </c>
    </row>
    <row r="576" spans="1:10" x14ac:dyDescent="0.25">
      <c r="A576">
        <v>574</v>
      </c>
      <c r="B576" t="s">
        <v>1129</v>
      </c>
      <c r="C576" t="s">
        <v>1130</v>
      </c>
      <c r="D576" s="1">
        <v>13540</v>
      </c>
      <c r="E576" s="4" t="s">
        <v>11</v>
      </c>
      <c r="F576" s="44">
        <v>21782.1</v>
      </c>
      <c r="G576" s="31">
        <v>1446280.8491580095</v>
      </c>
      <c r="I576" s="48">
        <v>60722</v>
      </c>
      <c r="J576" s="51">
        <v>8.6646427999999998E-2</v>
      </c>
    </row>
    <row r="577" spans="1:10" x14ac:dyDescent="0.25">
      <c r="A577">
        <v>575</v>
      </c>
      <c r="B577" t="s">
        <v>1131</v>
      </c>
      <c r="C577" t="s">
        <v>1132</v>
      </c>
      <c r="D577" s="1">
        <v>14546</v>
      </c>
      <c r="E577" s="4" t="s">
        <v>8</v>
      </c>
      <c r="F577" s="44">
        <v>15218.24</v>
      </c>
      <c r="G577" s="31">
        <v>1427741.4404812076</v>
      </c>
      <c r="I577" s="48">
        <v>60752</v>
      </c>
      <c r="J577" s="51">
        <v>8.6617844999999999E-2</v>
      </c>
    </row>
    <row r="578" spans="1:10" x14ac:dyDescent="0.25">
      <c r="A578">
        <v>576</v>
      </c>
      <c r="B578" t="s">
        <v>1133</v>
      </c>
      <c r="C578" t="s">
        <v>1134</v>
      </c>
      <c r="D578" s="1">
        <v>16843</v>
      </c>
      <c r="E578" s="4" t="s">
        <v>11</v>
      </c>
      <c r="F578" s="44">
        <v>15316.13</v>
      </c>
      <c r="G578" s="31">
        <v>1595088.9154954429</v>
      </c>
      <c r="I578" s="48">
        <v>60783</v>
      </c>
      <c r="J578" s="51">
        <v>8.6588413000000003E-2</v>
      </c>
    </row>
    <row r="579" spans="1:10" x14ac:dyDescent="0.25">
      <c r="A579">
        <v>577</v>
      </c>
      <c r="B579" t="s">
        <v>1135</v>
      </c>
      <c r="C579" t="s">
        <v>1136</v>
      </c>
      <c r="D579" s="1">
        <v>12952</v>
      </c>
      <c r="E579" s="4" t="s">
        <v>11</v>
      </c>
      <c r="F579" s="44">
        <v>22787.23</v>
      </c>
      <c r="G579" s="31">
        <v>1433236.7402181374</v>
      </c>
      <c r="I579" s="48">
        <v>60813</v>
      </c>
      <c r="J579" s="51">
        <v>8.6560028999999997E-2</v>
      </c>
    </row>
    <row r="580" spans="1:10" x14ac:dyDescent="0.25">
      <c r="A580">
        <v>578</v>
      </c>
      <c r="B580" t="s">
        <v>1137</v>
      </c>
      <c r="C580" t="s">
        <v>1138</v>
      </c>
      <c r="D580" s="1">
        <v>15845</v>
      </c>
      <c r="E580" s="4" t="s">
        <v>8</v>
      </c>
      <c r="F580" s="44">
        <v>17000.09</v>
      </c>
      <c r="G580" s="31">
        <v>1877206.2941252824</v>
      </c>
      <c r="I580" s="48">
        <v>60844</v>
      </c>
      <c r="J580" s="51">
        <v>8.6530801000000004E-2</v>
      </c>
    </row>
    <row r="581" spans="1:10" x14ac:dyDescent="0.25">
      <c r="A581">
        <v>579</v>
      </c>
      <c r="B581" t="s">
        <v>1139</v>
      </c>
      <c r="C581" t="s">
        <v>1140</v>
      </c>
      <c r="D581" s="1">
        <v>7917</v>
      </c>
      <c r="E581" s="4" t="s">
        <v>11</v>
      </c>
      <c r="F581" s="44">
        <v>22918.7</v>
      </c>
      <c r="G581" s="31">
        <v>571070.45347448578</v>
      </c>
      <c r="I581" s="48">
        <v>60875</v>
      </c>
      <c r="J581" s="51">
        <v>8.6501676E-2</v>
      </c>
    </row>
    <row r="582" spans="1:10" x14ac:dyDescent="0.25">
      <c r="A582">
        <v>580</v>
      </c>
      <c r="B582" t="s">
        <v>1141</v>
      </c>
      <c r="C582" t="s">
        <v>1142</v>
      </c>
      <c r="D582" s="1">
        <v>7177</v>
      </c>
      <c r="E582" s="4" t="s">
        <v>8</v>
      </c>
      <c r="F582" s="44">
        <v>20873.79</v>
      </c>
      <c r="G582" s="31">
        <v>654666.05675485695</v>
      </c>
      <c r="I582" s="48">
        <v>60905</v>
      </c>
      <c r="J582" s="51">
        <v>8.6473588000000004E-2</v>
      </c>
    </row>
    <row r="583" spans="1:10" x14ac:dyDescent="0.25">
      <c r="A583">
        <v>581</v>
      </c>
      <c r="B583" t="s">
        <v>1143</v>
      </c>
      <c r="C583" t="s">
        <v>1144</v>
      </c>
      <c r="D583" s="1">
        <v>20555</v>
      </c>
      <c r="E583" s="4" t="s">
        <v>8</v>
      </c>
      <c r="F583" s="44">
        <v>20707.05</v>
      </c>
      <c r="G583" s="31">
        <v>3380716.3179881857</v>
      </c>
      <c r="I583" s="48">
        <v>60936</v>
      </c>
      <c r="J583" s="51">
        <v>8.6444664000000004E-2</v>
      </c>
    </row>
    <row r="584" spans="1:10" x14ac:dyDescent="0.25">
      <c r="A584">
        <v>582</v>
      </c>
      <c r="B584" t="s">
        <v>1145</v>
      </c>
      <c r="C584" t="s">
        <v>1146</v>
      </c>
      <c r="D584" s="1">
        <v>13300</v>
      </c>
      <c r="E584" s="4" t="s">
        <v>11</v>
      </c>
      <c r="F584" s="44">
        <v>21903.56</v>
      </c>
      <c r="G584" s="31">
        <v>1442741.7437460355</v>
      </c>
      <c r="I584" s="48">
        <v>60966</v>
      </c>
      <c r="J584" s="51">
        <v>8.6416770000000004E-2</v>
      </c>
    </row>
    <row r="585" spans="1:10" x14ac:dyDescent="0.25">
      <c r="A585">
        <v>583</v>
      </c>
      <c r="B585" t="s">
        <v>1147</v>
      </c>
      <c r="C585" t="s">
        <v>1148</v>
      </c>
      <c r="D585" s="1">
        <v>18353</v>
      </c>
      <c r="E585" s="4" t="s">
        <v>8</v>
      </c>
      <c r="F585" s="44">
        <v>19880.16</v>
      </c>
      <c r="G585" s="31">
        <v>2762044.4617402717</v>
      </c>
      <c r="I585" s="48">
        <v>60997</v>
      </c>
      <c r="J585" s="51">
        <v>8.6388044999999997E-2</v>
      </c>
    </row>
    <row r="586" spans="1:10" x14ac:dyDescent="0.25">
      <c r="A586">
        <v>584</v>
      </c>
      <c r="B586" t="s">
        <v>1149</v>
      </c>
      <c r="C586" t="s">
        <v>1150</v>
      </c>
      <c r="D586" s="1">
        <v>20910</v>
      </c>
      <c r="E586" s="4" t="s">
        <v>8</v>
      </c>
      <c r="F586" s="44">
        <v>13400.62</v>
      </c>
      <c r="G586" s="31">
        <v>2237133.6180001046</v>
      </c>
      <c r="I586" s="48">
        <v>61028</v>
      </c>
      <c r="J586" s="51">
        <v>8.6359420000000006E-2</v>
      </c>
    </row>
    <row r="587" spans="1:10" x14ac:dyDescent="0.25">
      <c r="A587">
        <v>585</v>
      </c>
      <c r="B587" t="s">
        <v>1151</v>
      </c>
      <c r="C587" t="s">
        <v>1152</v>
      </c>
      <c r="D587" s="1">
        <v>17410</v>
      </c>
      <c r="E587" s="4" t="s">
        <v>8</v>
      </c>
      <c r="F587" s="44">
        <v>23008.400000000001</v>
      </c>
      <c r="G587" s="31">
        <v>2917742.2600044422</v>
      </c>
      <c r="I587" s="48">
        <v>61056</v>
      </c>
      <c r="J587" s="51">
        <v>8.6333650999999997E-2</v>
      </c>
    </row>
    <row r="588" spans="1:10" x14ac:dyDescent="0.25">
      <c r="A588">
        <v>586</v>
      </c>
      <c r="B588" t="s">
        <v>1153</v>
      </c>
      <c r="C588" t="s">
        <v>1154</v>
      </c>
      <c r="D588" s="1">
        <v>18893</v>
      </c>
      <c r="E588" s="4" t="s">
        <v>8</v>
      </c>
      <c r="F588" s="44">
        <v>20951.259999999998</v>
      </c>
      <c r="G588" s="31">
        <v>3022849.6874289783</v>
      </c>
      <c r="I588" s="48">
        <v>61087</v>
      </c>
      <c r="J588" s="51">
        <v>8.6305216000000004E-2</v>
      </c>
    </row>
    <row r="589" spans="1:10" x14ac:dyDescent="0.25">
      <c r="A589">
        <v>587</v>
      </c>
      <c r="B589" t="s">
        <v>1155</v>
      </c>
      <c r="C589" t="s">
        <v>1156</v>
      </c>
      <c r="D589" s="1">
        <v>20028</v>
      </c>
      <c r="E589" s="4" t="s">
        <v>8</v>
      </c>
      <c r="F589" s="44">
        <v>19193.419999999998</v>
      </c>
      <c r="G589" s="31">
        <v>3016167.5891376869</v>
      </c>
      <c r="I589" s="48">
        <v>61117</v>
      </c>
      <c r="J589" s="51">
        <v>8.6277793000000005E-2</v>
      </c>
    </row>
    <row r="590" spans="1:10" x14ac:dyDescent="0.25">
      <c r="A590">
        <v>588</v>
      </c>
      <c r="B590" t="s">
        <v>1157</v>
      </c>
      <c r="C590" t="s">
        <v>1158</v>
      </c>
      <c r="D590" s="1">
        <v>11930</v>
      </c>
      <c r="E590" s="4" t="s">
        <v>8</v>
      </c>
      <c r="F590" s="44">
        <v>18829.560000000001</v>
      </c>
      <c r="G590" s="31">
        <v>1238188.221278185</v>
      </c>
      <c r="I590" s="48">
        <v>61148</v>
      </c>
      <c r="J590" s="51">
        <v>8.6249551999999993E-2</v>
      </c>
    </row>
    <row r="591" spans="1:10" x14ac:dyDescent="0.25">
      <c r="A591">
        <v>589</v>
      </c>
      <c r="B591" t="s">
        <v>1159</v>
      </c>
      <c r="C591" t="s">
        <v>1160</v>
      </c>
      <c r="D591" s="1">
        <v>13557</v>
      </c>
      <c r="E591" s="4" t="s">
        <v>8</v>
      </c>
      <c r="F591" s="44">
        <v>21329.1</v>
      </c>
      <c r="G591" s="31">
        <v>1798934.7737554205</v>
      </c>
      <c r="I591" s="48">
        <v>61178</v>
      </c>
      <c r="J591" s="51">
        <v>8.6222314999999994E-2</v>
      </c>
    </row>
    <row r="592" spans="1:10" x14ac:dyDescent="0.25">
      <c r="A592">
        <v>590</v>
      </c>
      <c r="B592" t="s">
        <v>1161</v>
      </c>
      <c r="C592" t="s">
        <v>1162</v>
      </c>
      <c r="D592" s="1">
        <v>12056</v>
      </c>
      <c r="E592" s="4" t="s">
        <v>8</v>
      </c>
      <c r="F592" s="44">
        <v>21219.96</v>
      </c>
      <c r="G592" s="31">
        <v>1463012.9775827415</v>
      </c>
      <c r="I592" s="48">
        <v>61209</v>
      </c>
      <c r="J592" s="51">
        <v>8.6194266000000005E-2</v>
      </c>
    </row>
    <row r="593" spans="1:10" x14ac:dyDescent="0.25">
      <c r="A593">
        <v>591</v>
      </c>
      <c r="B593" t="s">
        <v>1163</v>
      </c>
      <c r="C593" t="s">
        <v>1164</v>
      </c>
      <c r="D593" s="1">
        <v>7934</v>
      </c>
      <c r="E593" s="4" t="s">
        <v>8</v>
      </c>
      <c r="F593" s="44">
        <v>24186.45</v>
      </c>
      <c r="G593" s="31">
        <v>871707.47975574818</v>
      </c>
      <c r="I593" s="48">
        <v>61240</v>
      </c>
      <c r="J593" s="51">
        <v>8.6166312999999994E-2</v>
      </c>
    </row>
    <row r="594" spans="1:10" x14ac:dyDescent="0.25">
      <c r="A594">
        <v>592</v>
      </c>
      <c r="B594" t="s">
        <v>1165</v>
      </c>
      <c r="C594" t="s">
        <v>1166</v>
      </c>
      <c r="D594" s="1">
        <v>8494</v>
      </c>
      <c r="E594" s="4" t="s">
        <v>8</v>
      </c>
      <c r="F594" s="44">
        <v>17111.259999999998</v>
      </c>
      <c r="G594" s="31">
        <v>740926.73933813092</v>
      </c>
      <c r="I594" s="48">
        <v>61270</v>
      </c>
      <c r="J594" s="51">
        <v>8.6139355000000001E-2</v>
      </c>
    </row>
    <row r="595" spans="1:10" x14ac:dyDescent="0.25">
      <c r="A595">
        <v>593</v>
      </c>
      <c r="B595" t="s">
        <v>1167</v>
      </c>
      <c r="C595" t="s">
        <v>1168</v>
      </c>
      <c r="D595" s="1">
        <v>16178</v>
      </c>
      <c r="E595" s="4" t="s">
        <v>11</v>
      </c>
      <c r="F595" s="44">
        <v>19058.419999999998</v>
      </c>
      <c r="G595" s="31">
        <v>1840690.4924335585</v>
      </c>
      <c r="I595" s="48">
        <v>61301</v>
      </c>
      <c r="J595" s="51">
        <v>8.6111591000000001E-2</v>
      </c>
    </row>
    <row r="596" spans="1:10" x14ac:dyDescent="0.25">
      <c r="A596">
        <v>594</v>
      </c>
      <c r="B596" t="s">
        <v>1169</v>
      </c>
      <c r="C596" t="s">
        <v>1170</v>
      </c>
      <c r="D596" s="1">
        <v>11033</v>
      </c>
      <c r="E596" s="4" t="s">
        <v>11</v>
      </c>
      <c r="F596" s="44">
        <v>20635.419999999998</v>
      </c>
      <c r="G596" s="31">
        <v>949183.94884923613</v>
      </c>
      <c r="I596" s="48">
        <v>61331</v>
      </c>
      <c r="J596" s="51">
        <v>8.6084814999999995E-2</v>
      </c>
    </row>
    <row r="597" spans="1:10" x14ac:dyDescent="0.25">
      <c r="A597">
        <v>595</v>
      </c>
      <c r="B597" t="s">
        <v>1171</v>
      </c>
      <c r="C597" t="s">
        <v>1172</v>
      </c>
      <c r="D597" s="1">
        <v>12837</v>
      </c>
      <c r="E597" s="4" t="s">
        <v>8</v>
      </c>
      <c r="F597" s="44">
        <v>17572.05</v>
      </c>
      <c r="G597" s="31">
        <v>1355651.961555402</v>
      </c>
      <c r="I597" s="48">
        <v>61362</v>
      </c>
      <c r="J597" s="51">
        <v>8.6057238999999994E-2</v>
      </c>
    </row>
    <row r="598" spans="1:10" x14ac:dyDescent="0.25">
      <c r="A598">
        <v>596</v>
      </c>
      <c r="B598" t="s">
        <v>1173</v>
      </c>
      <c r="C598" t="s">
        <v>1174</v>
      </c>
      <c r="D598" s="1">
        <v>8446</v>
      </c>
      <c r="E598" s="4" t="s">
        <v>8</v>
      </c>
      <c r="F598" s="44">
        <v>26931.3</v>
      </c>
      <c r="G598" s="31">
        <v>1133547.5763192326</v>
      </c>
      <c r="I598" s="48">
        <v>61393</v>
      </c>
      <c r="J598" s="51">
        <v>8.6029756999999998E-2</v>
      </c>
    </row>
    <row r="599" spans="1:10" x14ac:dyDescent="0.25">
      <c r="A599">
        <v>597</v>
      </c>
      <c r="B599" t="s">
        <v>1175</v>
      </c>
      <c r="C599" t="s">
        <v>1176</v>
      </c>
      <c r="D599" s="1">
        <v>16603</v>
      </c>
      <c r="E599" s="4" t="s">
        <v>8</v>
      </c>
      <c r="F599" s="44">
        <v>22358.78</v>
      </c>
      <c r="G599" s="31">
        <v>2667019.0103402841</v>
      </c>
      <c r="I599" s="48">
        <v>61422</v>
      </c>
      <c r="J599" s="51">
        <v>8.6004132999999997E-2</v>
      </c>
    </row>
    <row r="600" spans="1:10" x14ac:dyDescent="0.25">
      <c r="A600">
        <v>598</v>
      </c>
      <c r="B600" t="s">
        <v>1177</v>
      </c>
      <c r="C600" t="s">
        <v>1178</v>
      </c>
      <c r="D600" s="1">
        <v>14836</v>
      </c>
      <c r="E600" s="4" t="s">
        <v>11</v>
      </c>
      <c r="F600" s="44">
        <v>17612.259999999998</v>
      </c>
      <c r="G600" s="31">
        <v>1375154.5609292451</v>
      </c>
      <c r="I600" s="48">
        <v>61453</v>
      </c>
      <c r="J600" s="51">
        <v>8.5976833000000003E-2</v>
      </c>
    </row>
    <row r="601" spans="1:10" x14ac:dyDescent="0.25">
      <c r="A601">
        <v>599</v>
      </c>
      <c r="B601" t="s">
        <v>1179</v>
      </c>
      <c r="C601" t="s">
        <v>1180</v>
      </c>
      <c r="D601" s="1">
        <v>19518</v>
      </c>
      <c r="E601" s="4" t="s">
        <v>8</v>
      </c>
      <c r="F601" s="44">
        <v>17703.32</v>
      </c>
      <c r="G601" s="31">
        <v>2695872.0604781392</v>
      </c>
      <c r="I601" s="48">
        <v>61483</v>
      </c>
      <c r="J601" s="51">
        <v>8.5950501999999998E-2</v>
      </c>
    </row>
    <row r="602" spans="1:10" x14ac:dyDescent="0.25">
      <c r="A602">
        <v>600</v>
      </c>
      <c r="B602" t="s">
        <v>1181</v>
      </c>
      <c r="C602" t="s">
        <v>1182</v>
      </c>
      <c r="D602" s="1">
        <v>13419</v>
      </c>
      <c r="E602" s="4" t="s">
        <v>8</v>
      </c>
      <c r="F602" s="44">
        <v>21724.7</v>
      </c>
      <c r="G602" s="31">
        <v>1762619.3973748719</v>
      </c>
      <c r="I602" s="48">
        <v>61514</v>
      </c>
      <c r="J602" s="51">
        <v>8.5923384000000005E-2</v>
      </c>
    </row>
    <row r="603" spans="1:10" x14ac:dyDescent="0.25">
      <c r="A603">
        <v>601</v>
      </c>
      <c r="B603" t="s">
        <v>1183</v>
      </c>
      <c r="C603" t="s">
        <v>1184</v>
      </c>
      <c r="D603" s="1">
        <v>12702</v>
      </c>
      <c r="E603" s="4" t="s">
        <v>8</v>
      </c>
      <c r="F603" s="44">
        <v>17077.37</v>
      </c>
      <c r="G603" s="31">
        <v>1262843.8974972651</v>
      </c>
      <c r="I603" s="48">
        <v>61544</v>
      </c>
      <c r="J603" s="51">
        <v>8.5897229000000005E-2</v>
      </c>
    </row>
    <row r="604" spans="1:10" x14ac:dyDescent="0.25">
      <c r="A604">
        <v>602</v>
      </c>
      <c r="B604" t="s">
        <v>1185</v>
      </c>
      <c r="C604" t="s">
        <v>1186</v>
      </c>
      <c r="D604" s="1">
        <v>13600</v>
      </c>
      <c r="E604" s="4" t="s">
        <v>8</v>
      </c>
      <c r="F604" s="44">
        <v>20659.89</v>
      </c>
      <c r="G604" s="31">
        <v>1762283.0751946697</v>
      </c>
      <c r="I604" s="48">
        <v>61575</v>
      </c>
      <c r="J604" s="51">
        <v>8.5870292000000001E-2</v>
      </c>
    </row>
    <row r="605" spans="1:10" x14ac:dyDescent="0.25">
      <c r="A605">
        <v>603</v>
      </c>
      <c r="B605" t="s">
        <v>1187</v>
      </c>
      <c r="C605" t="s">
        <v>1188</v>
      </c>
      <c r="D605" s="1">
        <v>8436</v>
      </c>
      <c r="E605" s="4" t="s">
        <v>8</v>
      </c>
      <c r="F605" s="44">
        <v>18258.39</v>
      </c>
      <c r="G605" s="31">
        <v>764262.65567173203</v>
      </c>
      <c r="I605" s="48">
        <v>61606</v>
      </c>
      <c r="J605" s="51">
        <v>8.5843446000000004E-2</v>
      </c>
    </row>
    <row r="606" spans="1:10" x14ac:dyDescent="0.25">
      <c r="A606">
        <v>604</v>
      </c>
      <c r="B606" t="s">
        <v>1189</v>
      </c>
      <c r="C606" t="s">
        <v>1190</v>
      </c>
      <c r="D606" s="1">
        <v>9005</v>
      </c>
      <c r="E606" s="4" t="s">
        <v>11</v>
      </c>
      <c r="F606" s="44">
        <v>19643.349999999999</v>
      </c>
      <c r="G606" s="31">
        <v>580336.75524576602</v>
      </c>
      <c r="I606" s="48">
        <v>61636</v>
      </c>
      <c r="J606" s="51">
        <v>8.5817552000000005E-2</v>
      </c>
    </row>
    <row r="607" spans="1:10" x14ac:dyDescent="0.25">
      <c r="A607">
        <v>605</v>
      </c>
      <c r="B607" t="s">
        <v>1191</v>
      </c>
      <c r="C607" t="s">
        <v>1192</v>
      </c>
      <c r="D607" s="1">
        <v>10024</v>
      </c>
      <c r="E607" s="4" t="s">
        <v>8</v>
      </c>
      <c r="F607" s="44">
        <v>20874.060000000001</v>
      </c>
      <c r="G607" s="31">
        <v>1139497.8847080697</v>
      </c>
      <c r="I607" s="48">
        <v>61667</v>
      </c>
      <c r="J607" s="51">
        <v>8.5790883999999998E-2</v>
      </c>
    </row>
    <row r="608" spans="1:10" x14ac:dyDescent="0.25">
      <c r="A608">
        <v>606</v>
      </c>
      <c r="B608" t="s">
        <v>1193</v>
      </c>
      <c r="C608" t="s">
        <v>1194</v>
      </c>
      <c r="D608" s="1">
        <v>19558</v>
      </c>
      <c r="E608" s="4" t="s">
        <v>8</v>
      </c>
      <c r="F608" s="44">
        <v>18099.810000000001</v>
      </c>
      <c r="G608" s="31">
        <v>2743781.0573688415</v>
      </c>
      <c r="I608" s="48">
        <v>61697</v>
      </c>
      <c r="J608" s="51">
        <v>8.5765162000000006E-2</v>
      </c>
    </row>
    <row r="609" spans="1:10" x14ac:dyDescent="0.25">
      <c r="A609">
        <v>607</v>
      </c>
      <c r="B609" t="s">
        <v>1195</v>
      </c>
      <c r="C609" t="s">
        <v>1196</v>
      </c>
      <c r="D609" s="1">
        <v>7845</v>
      </c>
      <c r="E609" s="4" t="s">
        <v>8</v>
      </c>
      <c r="F609" s="44">
        <v>21586.82</v>
      </c>
      <c r="G609" s="31">
        <v>886841.04108655022</v>
      </c>
      <c r="I609" s="48">
        <v>61728</v>
      </c>
      <c r="J609" s="51">
        <v>8.5738670000000003E-2</v>
      </c>
    </row>
    <row r="610" spans="1:10" x14ac:dyDescent="0.25">
      <c r="A610">
        <v>608</v>
      </c>
      <c r="B610" t="s">
        <v>1197</v>
      </c>
      <c r="C610" t="s">
        <v>1198</v>
      </c>
      <c r="D610" s="1">
        <v>17466</v>
      </c>
      <c r="E610" s="4" t="s">
        <v>11</v>
      </c>
      <c r="F610" s="44">
        <v>17587.18</v>
      </c>
      <c r="G610" s="31">
        <v>1955153.9378273399</v>
      </c>
      <c r="I610" s="48">
        <v>61759</v>
      </c>
      <c r="J610" s="51">
        <v>8.5712266999999995E-2</v>
      </c>
    </row>
    <row r="611" spans="1:10" x14ac:dyDescent="0.25">
      <c r="A611">
        <v>609</v>
      </c>
      <c r="B611" t="s">
        <v>1199</v>
      </c>
      <c r="C611" t="s">
        <v>1200</v>
      </c>
      <c r="D611" s="1">
        <v>18709</v>
      </c>
      <c r="E611" s="4" t="s">
        <v>11</v>
      </c>
      <c r="F611" s="44">
        <v>15922.16</v>
      </c>
      <c r="G611" s="31">
        <v>2035178.8016135476</v>
      </c>
      <c r="I611" s="48">
        <v>61787</v>
      </c>
      <c r="J611" s="51">
        <v>8.5688496000000003E-2</v>
      </c>
    </row>
    <row r="612" spans="1:10" x14ac:dyDescent="0.25">
      <c r="A612">
        <v>610</v>
      </c>
      <c r="B612" t="s">
        <v>1201</v>
      </c>
      <c r="C612" t="s">
        <v>1202</v>
      </c>
      <c r="D612" s="1">
        <v>13661</v>
      </c>
      <c r="E612" s="4" t="s">
        <v>11</v>
      </c>
      <c r="F612" s="44">
        <v>21027.32</v>
      </c>
      <c r="G612" s="31">
        <v>1457010.111059027</v>
      </c>
      <c r="I612" s="48">
        <v>61818</v>
      </c>
      <c r="J612" s="51">
        <v>8.5662261000000003E-2</v>
      </c>
    </row>
    <row r="613" spans="1:10" x14ac:dyDescent="0.25">
      <c r="A613">
        <v>611</v>
      </c>
      <c r="B613" t="s">
        <v>1203</v>
      </c>
      <c r="C613" t="s">
        <v>1204</v>
      </c>
      <c r="D613" s="1">
        <v>15776</v>
      </c>
      <c r="E613" s="4" t="s">
        <v>8</v>
      </c>
      <c r="F613" s="44">
        <v>23409.759999999998</v>
      </c>
      <c r="G613" s="31">
        <v>2553389.9183761948</v>
      </c>
      <c r="I613" s="48">
        <v>61848</v>
      </c>
      <c r="J613" s="51">
        <v>8.5636955000000001E-2</v>
      </c>
    </row>
    <row r="614" spans="1:10" x14ac:dyDescent="0.25">
      <c r="A614">
        <v>612</v>
      </c>
      <c r="B614" t="s">
        <v>1205</v>
      </c>
      <c r="C614" t="s">
        <v>1206</v>
      </c>
      <c r="D614" s="1">
        <v>13957</v>
      </c>
      <c r="E614" s="4" t="s">
        <v>8</v>
      </c>
      <c r="F614" s="44">
        <v>23211.55</v>
      </c>
      <c r="G614" s="31">
        <v>2064911.4938189662</v>
      </c>
      <c r="I614" s="48">
        <v>61879</v>
      </c>
      <c r="J614" s="51">
        <v>8.5610891999999994E-2</v>
      </c>
    </row>
    <row r="615" spans="1:10" x14ac:dyDescent="0.25">
      <c r="A615">
        <v>613</v>
      </c>
      <c r="B615" t="s">
        <v>1207</v>
      </c>
      <c r="C615" t="s">
        <v>269</v>
      </c>
      <c r="D615" s="1">
        <v>10306</v>
      </c>
      <c r="E615" s="4" t="s">
        <v>8</v>
      </c>
      <c r="F615" s="44">
        <v>20985.48</v>
      </c>
      <c r="G615" s="31">
        <v>1160644.5338273523</v>
      </c>
      <c r="I615" s="48">
        <v>61909</v>
      </c>
      <c r="J615" s="51">
        <v>8.5585753000000001E-2</v>
      </c>
    </row>
    <row r="616" spans="1:10" x14ac:dyDescent="0.25">
      <c r="A616">
        <v>614</v>
      </c>
      <c r="B616" t="s">
        <v>1208</v>
      </c>
      <c r="C616" t="s">
        <v>1209</v>
      </c>
      <c r="D616" s="1">
        <v>10763</v>
      </c>
      <c r="E616" s="4" t="s">
        <v>11</v>
      </c>
      <c r="F616" s="44">
        <v>19438.689999999999</v>
      </c>
      <c r="G616" s="31">
        <v>890328.09060894907</v>
      </c>
      <c r="I616" s="48">
        <v>61940</v>
      </c>
      <c r="J616" s="51">
        <v>8.5559860000000001E-2</v>
      </c>
    </row>
    <row r="617" spans="1:10" x14ac:dyDescent="0.25">
      <c r="A617">
        <v>615</v>
      </c>
      <c r="B617" t="s">
        <v>1210</v>
      </c>
      <c r="C617" t="s">
        <v>1211</v>
      </c>
      <c r="D617" s="1">
        <v>14162</v>
      </c>
      <c r="E617" s="4" t="s">
        <v>8</v>
      </c>
      <c r="F617" s="44">
        <v>19207.59</v>
      </c>
      <c r="G617" s="31">
        <v>1716243.274511382</v>
      </c>
      <c r="I617" s="48">
        <v>61971</v>
      </c>
      <c r="J617" s="51">
        <v>8.5534052999999999E-2</v>
      </c>
    </row>
    <row r="618" spans="1:10" x14ac:dyDescent="0.25">
      <c r="A618">
        <v>616</v>
      </c>
      <c r="B618" t="s">
        <v>1212</v>
      </c>
      <c r="C618" t="s">
        <v>1213</v>
      </c>
      <c r="D618" s="1">
        <v>7771</v>
      </c>
      <c r="E618" s="4" t="s">
        <v>8</v>
      </c>
      <c r="F618" s="44">
        <v>17917.400000000001</v>
      </c>
      <c r="G618" s="31">
        <v>705133.33688693983</v>
      </c>
      <c r="I618" s="48">
        <v>62001</v>
      </c>
      <c r="J618" s="51">
        <v>8.5509160000000001E-2</v>
      </c>
    </row>
    <row r="619" spans="1:10" x14ac:dyDescent="0.25">
      <c r="A619">
        <v>617</v>
      </c>
      <c r="B619" t="s">
        <v>1214</v>
      </c>
      <c r="C619" t="s">
        <v>1215</v>
      </c>
      <c r="D619" s="1">
        <v>7851</v>
      </c>
      <c r="E619" s="4" t="s">
        <v>8</v>
      </c>
      <c r="F619" s="44">
        <v>20269.939999999999</v>
      </c>
      <c r="G619" s="31">
        <v>835522.73172964307</v>
      </c>
      <c r="I619" s="48">
        <v>62032</v>
      </c>
      <c r="J619" s="51">
        <v>8.5483521000000007E-2</v>
      </c>
    </row>
    <row r="620" spans="1:10" x14ac:dyDescent="0.25">
      <c r="A620">
        <v>618</v>
      </c>
      <c r="B620" t="s">
        <v>845</v>
      </c>
      <c r="C620" t="s">
        <v>1216</v>
      </c>
      <c r="D620" s="1">
        <v>14310</v>
      </c>
      <c r="E620" s="4" t="s">
        <v>8</v>
      </c>
      <c r="F620" s="44">
        <v>15606.01</v>
      </c>
      <c r="G620" s="31">
        <v>1445506.6568930601</v>
      </c>
      <c r="I620" s="48">
        <v>62062</v>
      </c>
      <c r="J620" s="51">
        <v>8.5458790000000007E-2</v>
      </c>
    </row>
    <row r="621" spans="1:10" x14ac:dyDescent="0.25">
      <c r="A621">
        <v>619</v>
      </c>
      <c r="B621" t="s">
        <v>1217</v>
      </c>
      <c r="C621" t="s">
        <v>1218</v>
      </c>
      <c r="D621" s="1">
        <v>11937</v>
      </c>
      <c r="E621" s="4" t="s">
        <v>8</v>
      </c>
      <c r="F621" s="44">
        <v>16819.89</v>
      </c>
      <c r="G621" s="31">
        <v>1109885.0899643225</v>
      </c>
      <c r="I621" s="48">
        <v>62093</v>
      </c>
      <c r="J621" s="51">
        <v>8.5433316999999995E-2</v>
      </c>
    </row>
    <row r="622" spans="1:10" x14ac:dyDescent="0.25">
      <c r="A622">
        <v>620</v>
      </c>
      <c r="B622" t="s">
        <v>1219</v>
      </c>
      <c r="C622" t="s">
        <v>1220</v>
      </c>
      <c r="D622" s="1">
        <v>21159</v>
      </c>
      <c r="E622" s="4" t="s">
        <v>8</v>
      </c>
      <c r="F622" s="44">
        <v>14719.02</v>
      </c>
      <c r="G622" s="31">
        <v>2491317.4505666667</v>
      </c>
      <c r="I622" s="48">
        <v>62124</v>
      </c>
      <c r="J622" s="51">
        <v>8.5407927999999994E-2</v>
      </c>
    </row>
    <row r="623" spans="1:10" x14ac:dyDescent="0.25">
      <c r="A623">
        <v>621</v>
      </c>
      <c r="B623" t="s">
        <v>810</v>
      </c>
      <c r="C623" t="s">
        <v>1221</v>
      </c>
      <c r="D623" s="1">
        <v>17837</v>
      </c>
      <c r="E623" s="4" t="s">
        <v>8</v>
      </c>
      <c r="F623" s="44">
        <v>19185.43</v>
      </c>
      <c r="G623" s="31">
        <v>2536350.4134254358</v>
      </c>
      <c r="I623" s="48">
        <v>62152</v>
      </c>
      <c r="J623" s="51">
        <v>8.5385066999999995E-2</v>
      </c>
    </row>
    <row r="624" spans="1:10" x14ac:dyDescent="0.25">
      <c r="A624">
        <v>622</v>
      </c>
      <c r="B624" t="s">
        <v>1222</v>
      </c>
      <c r="C624" t="s">
        <v>1223</v>
      </c>
      <c r="D624" s="1">
        <v>20592</v>
      </c>
      <c r="E624" s="4" t="s">
        <v>8</v>
      </c>
      <c r="F624" s="44">
        <v>17304.400000000001</v>
      </c>
      <c r="G624" s="31">
        <v>2833556.0498006172</v>
      </c>
      <c r="I624" s="48">
        <v>62183</v>
      </c>
      <c r="J624" s="51">
        <v>8.5359835999999994E-2</v>
      </c>
    </row>
    <row r="625" spans="1:10" x14ac:dyDescent="0.25">
      <c r="A625">
        <v>623</v>
      </c>
      <c r="B625" t="s">
        <v>1224</v>
      </c>
      <c r="C625" t="s">
        <v>1225</v>
      </c>
      <c r="D625" s="1">
        <v>16136</v>
      </c>
      <c r="E625" s="4" t="s">
        <v>11</v>
      </c>
      <c r="F625" s="44">
        <v>22905.99</v>
      </c>
      <c r="G625" s="31">
        <v>2191950.3268137136</v>
      </c>
      <c r="I625" s="48">
        <v>62213</v>
      </c>
      <c r="J625" s="51">
        <v>8.5335497999999996E-2</v>
      </c>
    </row>
    <row r="626" spans="1:10" x14ac:dyDescent="0.25">
      <c r="A626">
        <v>624</v>
      </c>
      <c r="B626" t="s">
        <v>1226</v>
      </c>
      <c r="C626" t="s">
        <v>1227</v>
      </c>
      <c r="D626" s="1">
        <v>11536</v>
      </c>
      <c r="E626" s="4" t="s">
        <v>11</v>
      </c>
      <c r="F626" s="44">
        <v>22446.880000000001</v>
      </c>
      <c r="G626" s="31">
        <v>1020631.0568524495</v>
      </c>
      <c r="I626" s="48">
        <v>62244</v>
      </c>
      <c r="J626" s="51">
        <v>8.5310430000000007E-2</v>
      </c>
    </row>
    <row r="627" spans="1:10" x14ac:dyDescent="0.25">
      <c r="A627">
        <v>625</v>
      </c>
      <c r="B627" t="s">
        <v>1228</v>
      </c>
      <c r="C627" t="s">
        <v>1229</v>
      </c>
      <c r="D627" s="1">
        <v>16083</v>
      </c>
      <c r="E627" s="4" t="s">
        <v>8</v>
      </c>
      <c r="F627" s="44">
        <v>20980.45</v>
      </c>
      <c r="G627" s="31">
        <v>2352734.3774334663</v>
      </c>
      <c r="I627" s="48">
        <v>62274</v>
      </c>
      <c r="J627" s="51">
        <v>8.5286247999999995E-2</v>
      </c>
    </row>
    <row r="628" spans="1:10" x14ac:dyDescent="0.25">
      <c r="A628">
        <v>626</v>
      </c>
      <c r="B628" t="s">
        <v>1230</v>
      </c>
      <c r="C628" t="s">
        <v>1231</v>
      </c>
      <c r="D628" s="1">
        <v>17580</v>
      </c>
      <c r="E628" s="4" t="s">
        <v>11</v>
      </c>
      <c r="F628" s="44">
        <v>21578.9</v>
      </c>
      <c r="G628" s="31">
        <v>2447401.0517978999</v>
      </c>
      <c r="I628" s="48">
        <v>62305</v>
      </c>
      <c r="J628" s="51">
        <v>8.5261340000000005E-2</v>
      </c>
    </row>
    <row r="629" spans="1:10" x14ac:dyDescent="0.25">
      <c r="A629">
        <v>627</v>
      </c>
      <c r="B629" t="s">
        <v>1232</v>
      </c>
      <c r="C629" t="s">
        <v>1233</v>
      </c>
      <c r="D629" s="1">
        <v>16784</v>
      </c>
      <c r="E629" s="4" t="s">
        <v>11</v>
      </c>
      <c r="F629" s="44">
        <v>17548.490000000002</v>
      </c>
      <c r="G629" s="31">
        <v>1806140.8593185847</v>
      </c>
      <c r="I629" s="48">
        <v>62336</v>
      </c>
      <c r="J629" s="51">
        <v>8.5236513E-2</v>
      </c>
    </row>
    <row r="630" spans="1:10" x14ac:dyDescent="0.25">
      <c r="A630">
        <v>628</v>
      </c>
      <c r="B630" t="s">
        <v>1234</v>
      </c>
      <c r="C630" t="s">
        <v>1235</v>
      </c>
      <c r="D630" s="1">
        <v>14879</v>
      </c>
      <c r="E630" s="4" t="s">
        <v>8</v>
      </c>
      <c r="F630" s="44">
        <v>20862.5</v>
      </c>
      <c r="G630" s="31">
        <v>2028867.0662996797</v>
      </c>
      <c r="I630" s="48">
        <v>62366</v>
      </c>
      <c r="J630" s="51">
        <v>8.5212564000000005E-2</v>
      </c>
    </row>
    <row r="631" spans="1:10" x14ac:dyDescent="0.25">
      <c r="A631">
        <v>629</v>
      </c>
      <c r="B631" t="s">
        <v>1236</v>
      </c>
      <c r="C631" t="s">
        <v>1237</v>
      </c>
      <c r="D631" s="1">
        <v>12347</v>
      </c>
      <c r="E631" s="4" t="s">
        <v>8</v>
      </c>
      <c r="F631" s="44">
        <v>25607.99</v>
      </c>
      <c r="G631" s="31">
        <v>1807382.2001000398</v>
      </c>
      <c r="I631" s="48">
        <v>62397</v>
      </c>
      <c r="J631" s="51">
        <v>8.5187895E-2</v>
      </c>
    </row>
    <row r="632" spans="1:10" x14ac:dyDescent="0.25">
      <c r="A632">
        <v>630</v>
      </c>
      <c r="B632" t="s">
        <v>1238</v>
      </c>
      <c r="C632" t="s">
        <v>1239</v>
      </c>
      <c r="D632" s="1">
        <v>9977</v>
      </c>
      <c r="E632" s="4" t="s">
        <v>11</v>
      </c>
      <c r="F632" s="44">
        <v>16173.6</v>
      </c>
      <c r="G632" s="31">
        <v>645891.92474966589</v>
      </c>
      <c r="I632" s="48">
        <v>62427</v>
      </c>
      <c r="J632" s="51">
        <v>8.5164097999999994E-2</v>
      </c>
    </row>
    <row r="633" spans="1:10" x14ac:dyDescent="0.25">
      <c r="A633">
        <v>631</v>
      </c>
      <c r="B633" t="s">
        <v>1240</v>
      </c>
      <c r="C633" t="s">
        <v>1241</v>
      </c>
      <c r="D633" s="1">
        <v>17740</v>
      </c>
      <c r="E633" s="4" t="s">
        <v>11</v>
      </c>
      <c r="F633" s="44">
        <v>22379.78</v>
      </c>
      <c r="G633" s="31">
        <v>2552597.1316125276</v>
      </c>
      <c r="I633" s="48">
        <v>62458</v>
      </c>
      <c r="J633" s="51">
        <v>8.5139586000000003E-2</v>
      </c>
    </row>
    <row r="634" spans="1:10" x14ac:dyDescent="0.25">
      <c r="A634">
        <v>632</v>
      </c>
      <c r="B634" t="s">
        <v>1242</v>
      </c>
      <c r="C634" t="s">
        <v>1243</v>
      </c>
      <c r="D634" s="1">
        <v>8599</v>
      </c>
      <c r="E634" s="4" t="s">
        <v>11</v>
      </c>
      <c r="F634" s="44">
        <v>20908.439999999999</v>
      </c>
      <c r="G634" s="31">
        <v>556338.18331332563</v>
      </c>
      <c r="I634" s="48">
        <v>62489</v>
      </c>
      <c r="J634" s="51">
        <v>8.5115153999999998E-2</v>
      </c>
    </row>
    <row r="635" spans="1:10" x14ac:dyDescent="0.25">
      <c r="A635">
        <v>633</v>
      </c>
      <c r="B635" t="s">
        <v>1244</v>
      </c>
      <c r="C635" t="s">
        <v>1245</v>
      </c>
      <c r="D635" s="1">
        <v>17696</v>
      </c>
      <c r="E635" s="4" t="s">
        <v>8</v>
      </c>
      <c r="F635" s="44">
        <v>18674.41</v>
      </c>
      <c r="G635" s="31">
        <v>2461345.9789944291</v>
      </c>
      <c r="I635" s="48">
        <v>62517</v>
      </c>
      <c r="J635" s="51">
        <v>8.5093153000000005E-2</v>
      </c>
    </row>
    <row r="636" spans="1:10" x14ac:dyDescent="0.25">
      <c r="A636">
        <v>634</v>
      </c>
      <c r="B636" t="s">
        <v>1246</v>
      </c>
      <c r="C636" t="s">
        <v>1247</v>
      </c>
      <c r="D636" s="1">
        <v>12613</v>
      </c>
      <c r="E636" s="4" t="s">
        <v>8</v>
      </c>
      <c r="F636" s="44">
        <v>20674.03</v>
      </c>
      <c r="G636" s="31">
        <v>1483190.3726676209</v>
      </c>
      <c r="I636" s="48">
        <v>62548</v>
      </c>
      <c r="J636" s="51">
        <v>8.5068870000000005E-2</v>
      </c>
    </row>
    <row r="637" spans="1:10" x14ac:dyDescent="0.25">
      <c r="A637">
        <v>635</v>
      </c>
      <c r="B637" t="s">
        <v>1248</v>
      </c>
      <c r="C637" t="s">
        <v>1249</v>
      </c>
      <c r="D637" s="1">
        <v>15993</v>
      </c>
      <c r="E637" s="4" t="s">
        <v>11</v>
      </c>
      <c r="F637" s="44">
        <v>12315.06</v>
      </c>
      <c r="G637" s="31">
        <v>1139970.9395484461</v>
      </c>
      <c r="I637" s="48">
        <v>62578</v>
      </c>
      <c r="J637" s="51">
        <v>8.5045444999999997E-2</v>
      </c>
    </row>
    <row r="638" spans="1:10" x14ac:dyDescent="0.25">
      <c r="A638">
        <v>636</v>
      </c>
      <c r="B638" t="s">
        <v>1250</v>
      </c>
      <c r="C638" t="s">
        <v>1251</v>
      </c>
      <c r="D638" s="1">
        <v>6819</v>
      </c>
      <c r="E638" s="4" t="s">
        <v>8</v>
      </c>
      <c r="F638" s="44">
        <v>20449.919999999998</v>
      </c>
      <c r="G638" s="31">
        <v>611979.70747711917</v>
      </c>
      <c r="I638" s="48">
        <v>62609</v>
      </c>
      <c r="J638" s="51">
        <v>8.5021315E-2</v>
      </c>
    </row>
    <row r="639" spans="1:10" x14ac:dyDescent="0.25">
      <c r="A639">
        <v>637</v>
      </c>
      <c r="B639" t="s">
        <v>1252</v>
      </c>
      <c r="C639" t="s">
        <v>1253</v>
      </c>
      <c r="D639" s="1">
        <v>9218</v>
      </c>
      <c r="E639" s="4" t="s">
        <v>8</v>
      </c>
      <c r="F639" s="44">
        <v>18991.71</v>
      </c>
      <c r="G639" s="31">
        <v>905835.21149286802</v>
      </c>
      <c r="I639" s="48">
        <v>62639</v>
      </c>
      <c r="J639" s="51">
        <v>8.4998036999999999E-2</v>
      </c>
    </row>
    <row r="640" spans="1:10" x14ac:dyDescent="0.25">
      <c r="A640">
        <v>638</v>
      </c>
      <c r="B640" t="s">
        <v>1254</v>
      </c>
      <c r="C640" t="s">
        <v>1255</v>
      </c>
      <c r="D640" s="1">
        <v>7606</v>
      </c>
      <c r="E640" s="4" t="s">
        <v>8</v>
      </c>
      <c r="F640" s="44">
        <v>25690.07</v>
      </c>
      <c r="G640" s="31">
        <v>900306.84002916573</v>
      </c>
      <c r="I640" s="48">
        <v>62670</v>
      </c>
      <c r="J640" s="51">
        <v>8.4974058000000005E-2</v>
      </c>
    </row>
    <row r="641" spans="1:10" x14ac:dyDescent="0.25">
      <c r="A641">
        <v>639</v>
      </c>
      <c r="B641" t="s">
        <v>1256</v>
      </c>
      <c r="C641" t="s">
        <v>1257</v>
      </c>
      <c r="D641" s="1">
        <v>15974</v>
      </c>
      <c r="E641" s="4" t="s">
        <v>8</v>
      </c>
      <c r="F641" s="44">
        <v>23619.279999999999</v>
      </c>
      <c r="G641" s="31">
        <v>2597408.2105846303</v>
      </c>
      <c r="I641" s="48">
        <v>62701</v>
      </c>
      <c r="J641" s="51">
        <v>8.4950155999999999E-2</v>
      </c>
    </row>
    <row r="642" spans="1:10" x14ac:dyDescent="0.25">
      <c r="A642">
        <v>640</v>
      </c>
      <c r="B642" t="s">
        <v>1258</v>
      </c>
      <c r="C642" t="s">
        <v>1259</v>
      </c>
      <c r="D642" s="1">
        <v>19537</v>
      </c>
      <c r="E642" s="4" t="s">
        <v>8</v>
      </c>
      <c r="F642" s="44">
        <v>21430.04</v>
      </c>
      <c r="G642" s="31">
        <v>3269234.669098591</v>
      </c>
      <c r="I642" s="48">
        <v>62731</v>
      </c>
      <c r="J642" s="51">
        <v>8.4927098000000006E-2</v>
      </c>
    </row>
    <row r="643" spans="1:10" x14ac:dyDescent="0.25">
      <c r="A643">
        <v>641</v>
      </c>
      <c r="B643" t="s">
        <v>1260</v>
      </c>
      <c r="C643" t="s">
        <v>1261</v>
      </c>
      <c r="D643" s="1">
        <v>17353</v>
      </c>
      <c r="E643" s="4" t="s">
        <v>8</v>
      </c>
      <c r="F643" s="44">
        <v>17390.7</v>
      </c>
      <c r="G643" s="31">
        <v>2187719.5070212572</v>
      </c>
      <c r="I643" s="48">
        <v>62762</v>
      </c>
      <c r="J643" s="51">
        <v>8.4903346000000005E-2</v>
      </c>
    </row>
    <row r="644" spans="1:10" x14ac:dyDescent="0.25">
      <c r="A644">
        <v>642</v>
      </c>
      <c r="B644" t="s">
        <v>1262</v>
      </c>
      <c r="C644" t="s">
        <v>1263</v>
      </c>
      <c r="D644" s="1">
        <v>16631</v>
      </c>
      <c r="E644" s="4" t="s">
        <v>8</v>
      </c>
      <c r="F644" s="44">
        <v>13990.66</v>
      </c>
      <c r="G644" s="31">
        <v>1639812.0882288564</v>
      </c>
      <c r="I644" s="48">
        <v>62792</v>
      </c>
      <c r="J644" s="51">
        <v>8.4880432000000006E-2</v>
      </c>
    </row>
    <row r="645" spans="1:10" x14ac:dyDescent="0.25">
      <c r="A645">
        <v>643</v>
      </c>
      <c r="B645" t="s">
        <v>1264</v>
      </c>
      <c r="C645" t="s">
        <v>1265</v>
      </c>
      <c r="D645" s="1">
        <v>10377</v>
      </c>
      <c r="E645" s="4" t="s">
        <v>11</v>
      </c>
      <c r="F645" s="44">
        <v>18781.02</v>
      </c>
      <c r="G645" s="31">
        <v>806935.97038436041</v>
      </c>
      <c r="I645" s="48">
        <v>62823</v>
      </c>
      <c r="J645" s="51">
        <v>8.4856827999999995E-2</v>
      </c>
    </row>
    <row r="646" spans="1:10" x14ac:dyDescent="0.25">
      <c r="A646">
        <v>644</v>
      </c>
      <c r="B646" t="s">
        <v>1266</v>
      </c>
      <c r="C646" t="s">
        <v>1267</v>
      </c>
      <c r="D646" s="1">
        <v>16533</v>
      </c>
      <c r="E646" s="4" t="s">
        <v>11</v>
      </c>
      <c r="F646" s="44">
        <v>20069.93</v>
      </c>
      <c r="G646" s="31">
        <v>2022829.9591887579</v>
      </c>
      <c r="I646" s="48">
        <v>62854</v>
      </c>
      <c r="J646" s="51">
        <v>8.4833299000000001E-2</v>
      </c>
    </row>
    <row r="647" spans="1:10" x14ac:dyDescent="0.25">
      <c r="A647">
        <v>645</v>
      </c>
      <c r="B647" t="s">
        <v>1268</v>
      </c>
      <c r="C647" t="s">
        <v>1269</v>
      </c>
      <c r="D647" s="1">
        <v>13610</v>
      </c>
      <c r="E647" s="4" t="s">
        <v>11</v>
      </c>
      <c r="F647" s="44">
        <v>22839.61</v>
      </c>
      <c r="G647" s="31">
        <v>1555449.8861514006</v>
      </c>
      <c r="I647" s="48">
        <v>62883</v>
      </c>
      <c r="J647" s="51">
        <v>8.4811355000000005E-2</v>
      </c>
    </row>
    <row r="648" spans="1:10" x14ac:dyDescent="0.25">
      <c r="A648">
        <v>646</v>
      </c>
      <c r="B648" t="s">
        <v>1270</v>
      </c>
      <c r="C648" t="s">
        <v>1271</v>
      </c>
      <c r="D648" s="1">
        <v>16369</v>
      </c>
      <c r="E648" s="4" t="s">
        <v>11</v>
      </c>
      <c r="F648" s="44">
        <v>18287.75</v>
      </c>
      <c r="G648" s="31">
        <v>1779461.4366409765</v>
      </c>
      <c r="I648" s="48">
        <v>62914</v>
      </c>
      <c r="J648" s="51">
        <v>8.4787969000000005E-2</v>
      </c>
    </row>
    <row r="649" spans="1:10" x14ac:dyDescent="0.25">
      <c r="A649">
        <v>647</v>
      </c>
      <c r="B649" t="s">
        <v>1272</v>
      </c>
      <c r="C649" t="s">
        <v>1273</v>
      </c>
      <c r="D649" s="1">
        <v>11006</v>
      </c>
      <c r="E649" s="4" t="s">
        <v>11</v>
      </c>
      <c r="F649" s="44">
        <v>15203.91</v>
      </c>
      <c r="G649" s="31">
        <v>688962.66913837718</v>
      </c>
      <c r="I649" s="48">
        <v>62944</v>
      </c>
      <c r="J649" s="51">
        <v>8.4765408E-2</v>
      </c>
    </row>
    <row r="650" spans="1:10" x14ac:dyDescent="0.25">
      <c r="A650">
        <v>648</v>
      </c>
      <c r="B650" t="s">
        <v>1274</v>
      </c>
      <c r="C650" t="s">
        <v>1275</v>
      </c>
      <c r="D650" s="1">
        <v>12342</v>
      </c>
      <c r="E650" s="4" t="s">
        <v>11</v>
      </c>
      <c r="F650" s="44">
        <v>18321.310000000001</v>
      </c>
      <c r="G650" s="31">
        <v>981431.81489140855</v>
      </c>
      <c r="I650" s="48">
        <v>62975</v>
      </c>
      <c r="J650" s="51">
        <v>8.4742168000000007E-2</v>
      </c>
    </row>
    <row r="651" spans="1:10" x14ac:dyDescent="0.25">
      <c r="A651">
        <v>649</v>
      </c>
      <c r="B651" t="s">
        <v>1276</v>
      </c>
      <c r="C651" t="s">
        <v>1277</v>
      </c>
      <c r="D651" s="1">
        <v>20533</v>
      </c>
      <c r="E651" s="4" t="s">
        <v>8</v>
      </c>
      <c r="F651" s="44">
        <v>18789.099999999999</v>
      </c>
      <c r="G651" s="31">
        <v>3062140.261660967</v>
      </c>
      <c r="I651" s="48">
        <v>63005</v>
      </c>
      <c r="J651" s="51">
        <v>8.4719745999999999E-2</v>
      </c>
    </row>
    <row r="652" spans="1:10" x14ac:dyDescent="0.25">
      <c r="A652">
        <v>650</v>
      </c>
      <c r="B652" t="s">
        <v>1278</v>
      </c>
      <c r="C652" t="s">
        <v>1279</v>
      </c>
      <c r="D652" s="1">
        <v>12407</v>
      </c>
      <c r="E652" s="4" t="s">
        <v>8</v>
      </c>
      <c r="F652" s="44">
        <v>18870.310000000001</v>
      </c>
      <c r="G652" s="31">
        <v>1359517.7061712954</v>
      </c>
      <c r="I652" s="48">
        <v>63036</v>
      </c>
      <c r="J652" s="51">
        <v>8.4696648999999999E-2</v>
      </c>
    </row>
    <row r="653" spans="1:10" x14ac:dyDescent="0.25">
      <c r="A653">
        <v>651</v>
      </c>
      <c r="B653" t="s">
        <v>1280</v>
      </c>
      <c r="C653" t="s">
        <v>1281</v>
      </c>
      <c r="D653" s="1">
        <v>10369</v>
      </c>
      <c r="E653" s="4" t="s">
        <v>11</v>
      </c>
      <c r="F653" s="44">
        <v>21109.06</v>
      </c>
      <c r="G653" s="31">
        <v>903040.50303121284</v>
      </c>
      <c r="I653" s="48">
        <v>63067</v>
      </c>
      <c r="J653" s="51">
        <v>8.4673624000000003E-2</v>
      </c>
    </row>
    <row r="654" spans="1:10" x14ac:dyDescent="0.25">
      <c r="A654">
        <v>652</v>
      </c>
      <c r="B654" t="s">
        <v>1282</v>
      </c>
      <c r="C654" t="s">
        <v>1283</v>
      </c>
      <c r="D654" s="1">
        <v>20810</v>
      </c>
      <c r="E654" s="4" t="s">
        <v>8</v>
      </c>
      <c r="F654" s="44">
        <v>19520.599999999999</v>
      </c>
      <c r="G654" s="31">
        <v>3233923.0662338105</v>
      </c>
      <c r="I654" s="48">
        <v>63097</v>
      </c>
      <c r="J654" s="51">
        <v>8.4651409999999996E-2</v>
      </c>
    </row>
    <row r="655" spans="1:10" x14ac:dyDescent="0.25">
      <c r="A655">
        <v>653</v>
      </c>
      <c r="B655" t="s">
        <v>1284</v>
      </c>
      <c r="C655" t="s">
        <v>1285</v>
      </c>
      <c r="D655" s="1">
        <v>18074</v>
      </c>
      <c r="E655" s="4" t="s">
        <v>8</v>
      </c>
      <c r="F655" s="44">
        <v>23442.6</v>
      </c>
      <c r="G655" s="31">
        <v>3192497.5129315848</v>
      </c>
      <c r="I655" s="48">
        <v>63128</v>
      </c>
      <c r="J655" s="51">
        <v>8.4628525999999996E-2</v>
      </c>
    </row>
    <row r="656" spans="1:10" x14ac:dyDescent="0.25">
      <c r="A656">
        <v>654</v>
      </c>
      <c r="B656" t="s">
        <v>1286</v>
      </c>
      <c r="C656" t="s">
        <v>1287</v>
      </c>
      <c r="D656" s="1">
        <v>19707</v>
      </c>
      <c r="E656" s="4" t="s">
        <v>8</v>
      </c>
      <c r="F656" s="44">
        <v>16390.62</v>
      </c>
      <c r="G656" s="31">
        <v>2520273.0696468079</v>
      </c>
      <c r="I656" s="48">
        <v>63158</v>
      </c>
      <c r="J656" s="51">
        <v>8.4606449E-2</v>
      </c>
    </row>
    <row r="657" spans="1:10" x14ac:dyDescent="0.25">
      <c r="A657">
        <v>655</v>
      </c>
      <c r="B657" t="s">
        <v>1288</v>
      </c>
      <c r="C657" t="s">
        <v>1289</v>
      </c>
      <c r="D657" s="1">
        <v>12340</v>
      </c>
      <c r="E657" s="4" t="s">
        <v>8</v>
      </c>
      <c r="F657" s="44">
        <v>13700.09</v>
      </c>
      <c r="G657" s="31">
        <v>964724.11258246901</v>
      </c>
      <c r="I657" s="48">
        <v>63189</v>
      </c>
      <c r="J657" s="51">
        <v>8.4583704999999995E-2</v>
      </c>
    </row>
    <row r="658" spans="1:10" x14ac:dyDescent="0.25">
      <c r="A658">
        <v>656</v>
      </c>
      <c r="B658" t="s">
        <v>1290</v>
      </c>
      <c r="C658" t="s">
        <v>1291</v>
      </c>
      <c r="D658" s="1">
        <v>10422</v>
      </c>
      <c r="E658" s="4" t="s">
        <v>11</v>
      </c>
      <c r="F658" s="44">
        <v>12406.24</v>
      </c>
      <c r="G658" s="31">
        <v>457751.00002641889</v>
      </c>
      <c r="I658" s="48">
        <v>63220</v>
      </c>
      <c r="J658" s="51">
        <v>8.4561032999999994E-2</v>
      </c>
    </row>
    <row r="659" spans="1:10" x14ac:dyDescent="0.25">
      <c r="A659">
        <v>657</v>
      </c>
      <c r="B659" t="s">
        <v>1292</v>
      </c>
      <c r="C659" t="s">
        <v>1293</v>
      </c>
      <c r="D659" s="1">
        <v>20395</v>
      </c>
      <c r="E659" s="4" t="s">
        <v>11</v>
      </c>
      <c r="F659" s="44">
        <v>24003.86</v>
      </c>
      <c r="G659" s="31">
        <v>3554347.9927085489</v>
      </c>
      <c r="I659" s="48">
        <v>63248</v>
      </c>
      <c r="J659" s="51">
        <v>8.4540614E-2</v>
      </c>
    </row>
    <row r="660" spans="1:10" x14ac:dyDescent="0.25">
      <c r="A660">
        <v>658</v>
      </c>
      <c r="B660" t="s">
        <v>251</v>
      </c>
      <c r="C660" t="s">
        <v>1294</v>
      </c>
      <c r="D660" s="1">
        <v>9637</v>
      </c>
      <c r="E660" s="4" t="s">
        <v>8</v>
      </c>
      <c r="F660" s="44">
        <v>22433.75</v>
      </c>
      <c r="G660" s="31">
        <v>1154864.2364916184</v>
      </c>
      <c r="I660" s="48">
        <v>63279</v>
      </c>
      <c r="J660" s="51">
        <v>8.4518074999999998E-2</v>
      </c>
    </row>
    <row r="661" spans="1:10" x14ac:dyDescent="0.25">
      <c r="A661">
        <v>659</v>
      </c>
      <c r="B661" t="s">
        <v>1295</v>
      </c>
      <c r="C661" t="s">
        <v>1296</v>
      </c>
      <c r="D661" s="1">
        <v>14621</v>
      </c>
      <c r="E661" s="4" t="s">
        <v>8</v>
      </c>
      <c r="F661" s="44">
        <v>22150.76</v>
      </c>
      <c r="G661" s="31">
        <v>2114603.7993194587</v>
      </c>
      <c r="I661" s="48">
        <v>63309</v>
      </c>
      <c r="J661" s="51">
        <v>8.4496329999999994E-2</v>
      </c>
    </row>
    <row r="662" spans="1:10" x14ac:dyDescent="0.25">
      <c r="A662">
        <v>660</v>
      </c>
      <c r="B662" t="s">
        <v>475</v>
      </c>
      <c r="C662" t="s">
        <v>1297</v>
      </c>
      <c r="D662" s="1">
        <v>12569</v>
      </c>
      <c r="E662" s="4" t="s">
        <v>8</v>
      </c>
      <c r="F662" s="44">
        <v>24347.22</v>
      </c>
      <c r="G662" s="31">
        <v>1846432.6298456471</v>
      </c>
      <c r="I662" s="48">
        <v>63340</v>
      </c>
      <c r="J662" s="51">
        <v>8.4473928000000004E-2</v>
      </c>
    </row>
    <row r="663" spans="1:10" x14ac:dyDescent="0.25">
      <c r="A663">
        <v>661</v>
      </c>
      <c r="B663" t="s">
        <v>1298</v>
      </c>
      <c r="C663" t="s">
        <v>1299</v>
      </c>
      <c r="D663" s="1">
        <v>11573</v>
      </c>
      <c r="E663" s="4" t="s">
        <v>8</v>
      </c>
      <c r="F663" s="44">
        <v>22997.35</v>
      </c>
      <c r="G663" s="31">
        <v>1440298.706171074</v>
      </c>
      <c r="I663" s="48">
        <v>63370</v>
      </c>
      <c r="J663" s="51">
        <v>8.4452314000000001E-2</v>
      </c>
    </row>
    <row r="664" spans="1:10" x14ac:dyDescent="0.25">
      <c r="A664">
        <v>662</v>
      </c>
      <c r="B664" t="s">
        <v>1300</v>
      </c>
      <c r="C664" t="s">
        <v>1301</v>
      </c>
      <c r="D664" s="1">
        <v>8073</v>
      </c>
      <c r="E664" s="4" t="s">
        <v>8</v>
      </c>
      <c r="F664" s="44">
        <v>18388.34</v>
      </c>
      <c r="G664" s="31">
        <v>731802.7169289873</v>
      </c>
      <c r="I664" s="48">
        <v>63401</v>
      </c>
      <c r="J664" s="51">
        <v>8.4430047999999994E-2</v>
      </c>
    </row>
    <row r="665" spans="1:10" x14ac:dyDescent="0.25">
      <c r="A665">
        <v>663</v>
      </c>
      <c r="B665" t="s">
        <v>1302</v>
      </c>
      <c r="C665" t="s">
        <v>1303</v>
      </c>
      <c r="D665" s="1">
        <v>13714</v>
      </c>
      <c r="E665" s="4" t="s">
        <v>8</v>
      </c>
      <c r="F665" s="44">
        <v>27381.58</v>
      </c>
      <c r="G665" s="31">
        <v>2284008.6329645244</v>
      </c>
      <c r="I665" s="48">
        <v>63432</v>
      </c>
      <c r="J665" s="51">
        <v>8.4407850000000006E-2</v>
      </c>
    </row>
    <row r="666" spans="1:10" x14ac:dyDescent="0.25">
      <c r="A666">
        <v>664</v>
      </c>
      <c r="B666" t="s">
        <v>1304</v>
      </c>
      <c r="C666" t="s">
        <v>1305</v>
      </c>
      <c r="D666" s="1">
        <v>7926</v>
      </c>
      <c r="E666" s="4" t="s">
        <v>11</v>
      </c>
      <c r="F666" s="44">
        <v>23334.01</v>
      </c>
      <c r="G666" s="31">
        <v>586028.57693706604</v>
      </c>
      <c r="I666" s="48">
        <v>63462</v>
      </c>
      <c r="J666" s="51">
        <v>8.4386432999999997E-2</v>
      </c>
    </row>
    <row r="667" spans="1:10" x14ac:dyDescent="0.25">
      <c r="A667">
        <v>665</v>
      </c>
      <c r="B667" t="s">
        <v>1306</v>
      </c>
      <c r="C667" t="s">
        <v>1307</v>
      </c>
      <c r="D667" s="1">
        <v>17083</v>
      </c>
      <c r="E667" s="4" t="s">
        <v>11</v>
      </c>
      <c r="F667" s="44">
        <v>22143.33</v>
      </c>
      <c r="G667" s="31">
        <v>2350792.6326073706</v>
      </c>
      <c r="I667" s="48">
        <v>63493</v>
      </c>
      <c r="J667" s="51">
        <v>8.4364368999999995E-2</v>
      </c>
    </row>
    <row r="668" spans="1:10" x14ac:dyDescent="0.25">
      <c r="A668">
        <v>666</v>
      </c>
      <c r="B668" t="s">
        <v>1308</v>
      </c>
      <c r="C668" t="s">
        <v>1309</v>
      </c>
      <c r="D668" s="1">
        <v>19958</v>
      </c>
      <c r="E668" s="4" t="s">
        <v>11</v>
      </c>
      <c r="F668" s="44">
        <v>19621.21</v>
      </c>
      <c r="G668" s="31">
        <v>2795994.7963117827</v>
      </c>
      <c r="I668" s="48">
        <v>63523</v>
      </c>
      <c r="J668" s="51">
        <v>8.4343081E-2</v>
      </c>
    </row>
    <row r="669" spans="1:10" x14ac:dyDescent="0.25">
      <c r="A669">
        <v>667</v>
      </c>
      <c r="B669" t="s">
        <v>1310</v>
      </c>
      <c r="C669" t="s">
        <v>1311</v>
      </c>
      <c r="D669" s="1">
        <v>15704</v>
      </c>
      <c r="E669" s="4" t="s">
        <v>8</v>
      </c>
      <c r="F669" s="44">
        <v>15645.87</v>
      </c>
      <c r="G669" s="31">
        <v>1683927.9180807462</v>
      </c>
      <c r="I669" s="48">
        <v>63554</v>
      </c>
      <c r="J669" s="51">
        <v>8.4321149999999997E-2</v>
      </c>
    </row>
    <row r="670" spans="1:10" x14ac:dyDescent="0.25">
      <c r="A670">
        <v>668</v>
      </c>
      <c r="B670" t="s">
        <v>1312</v>
      </c>
      <c r="C670" t="s">
        <v>1313</v>
      </c>
      <c r="D670" s="1">
        <v>9518</v>
      </c>
      <c r="E670" s="4" t="s">
        <v>8</v>
      </c>
      <c r="F670" s="44">
        <v>13777.86</v>
      </c>
      <c r="G670" s="31">
        <v>668718.34368282789</v>
      </c>
      <c r="I670" s="48">
        <v>63585</v>
      </c>
      <c r="J670" s="51">
        <v>8.4299285000000002E-2</v>
      </c>
    </row>
    <row r="671" spans="1:10" x14ac:dyDescent="0.25">
      <c r="A671">
        <v>669</v>
      </c>
      <c r="B671" t="s">
        <v>1314</v>
      </c>
      <c r="C671" t="s">
        <v>1225</v>
      </c>
      <c r="D671" s="1">
        <v>6995</v>
      </c>
      <c r="E671" s="4" t="s">
        <v>8</v>
      </c>
      <c r="F671" s="44">
        <v>19638.2</v>
      </c>
      <c r="G671" s="31">
        <v>678262.37465937668</v>
      </c>
      <c r="I671" s="48">
        <v>63613</v>
      </c>
      <c r="J671" s="51">
        <v>8.4279593999999999E-2</v>
      </c>
    </row>
    <row r="672" spans="1:10" x14ac:dyDescent="0.25">
      <c r="A672">
        <v>670</v>
      </c>
      <c r="B672" t="s">
        <v>1315</v>
      </c>
      <c r="C672" t="s">
        <v>1316</v>
      </c>
      <c r="D672" s="1">
        <v>8413</v>
      </c>
      <c r="E672" s="4" t="s">
        <v>11</v>
      </c>
      <c r="F672" s="44">
        <v>20171</v>
      </c>
      <c r="G672" s="31">
        <v>604133.07187974115</v>
      </c>
      <c r="I672" s="48">
        <v>63644</v>
      </c>
      <c r="J672" s="51">
        <v>8.4257856000000006E-2</v>
      </c>
    </row>
    <row r="673" spans="1:10" x14ac:dyDescent="0.25">
      <c r="A673">
        <v>671</v>
      </c>
      <c r="B673" t="s">
        <v>1317</v>
      </c>
      <c r="C673" t="s">
        <v>1318</v>
      </c>
      <c r="D673" s="1">
        <v>15626</v>
      </c>
      <c r="E673" s="4" t="s">
        <v>11</v>
      </c>
      <c r="F673" s="44">
        <v>18831.439999999999</v>
      </c>
      <c r="G673" s="31">
        <v>1658962.7784065481</v>
      </c>
      <c r="I673" s="48">
        <v>63674</v>
      </c>
      <c r="J673" s="51">
        <v>8.4236882999999999E-2</v>
      </c>
    </row>
    <row r="674" spans="1:10" x14ac:dyDescent="0.25">
      <c r="A674">
        <v>672</v>
      </c>
      <c r="B674" t="s">
        <v>1319</v>
      </c>
      <c r="C674" t="s">
        <v>1320</v>
      </c>
      <c r="D674" s="1">
        <v>18160</v>
      </c>
      <c r="E674" s="4" t="s">
        <v>8</v>
      </c>
      <c r="F674" s="44">
        <v>23610.42</v>
      </c>
      <c r="G674" s="31">
        <v>3205626.566482693</v>
      </c>
      <c r="I674" s="48">
        <v>63705</v>
      </c>
      <c r="J674" s="51">
        <v>8.4215275000000006E-2</v>
      </c>
    </row>
    <row r="675" spans="1:10" x14ac:dyDescent="0.25">
      <c r="A675">
        <v>673</v>
      </c>
      <c r="B675" t="s">
        <v>1321</v>
      </c>
      <c r="C675" t="s">
        <v>1322</v>
      </c>
      <c r="D675" s="1">
        <v>17304</v>
      </c>
      <c r="E675" s="4" t="s">
        <v>8</v>
      </c>
      <c r="F675" s="44">
        <v>18353.14</v>
      </c>
      <c r="G675" s="31">
        <v>2333595.0779598285</v>
      </c>
      <c r="I675" s="48">
        <v>63735</v>
      </c>
      <c r="J675" s="51">
        <v>8.4194426000000003E-2</v>
      </c>
    </row>
    <row r="676" spans="1:10" x14ac:dyDescent="0.25">
      <c r="A676">
        <v>674</v>
      </c>
      <c r="B676" t="s">
        <v>536</v>
      </c>
      <c r="C676" t="s">
        <v>1323</v>
      </c>
      <c r="D676" s="1">
        <v>20306</v>
      </c>
      <c r="E676" s="4" t="s">
        <v>11</v>
      </c>
      <c r="F676" s="44">
        <v>19258.73</v>
      </c>
      <c r="G676" s="31">
        <v>2825585.4892038396</v>
      </c>
      <c r="I676" s="48">
        <v>63766</v>
      </c>
      <c r="J676" s="51">
        <v>8.4172946999999998E-2</v>
      </c>
    </row>
    <row r="677" spans="1:10" x14ac:dyDescent="0.25">
      <c r="A677">
        <v>675</v>
      </c>
      <c r="B677" t="s">
        <v>1324</v>
      </c>
      <c r="C677" t="s">
        <v>1325</v>
      </c>
      <c r="D677" s="1">
        <v>7921</v>
      </c>
      <c r="E677" s="4" t="s">
        <v>8</v>
      </c>
      <c r="F677" s="44">
        <v>18012.62</v>
      </c>
      <c r="G677" s="31">
        <v>643694.49074459635</v>
      </c>
      <c r="I677" s="48">
        <v>63797</v>
      </c>
      <c r="J677" s="51">
        <v>8.4151532000000001E-2</v>
      </c>
    </row>
    <row r="678" spans="1:10" x14ac:dyDescent="0.25">
      <c r="A678">
        <v>676</v>
      </c>
      <c r="B678" t="s">
        <v>1326</v>
      </c>
      <c r="C678" t="s">
        <v>1327</v>
      </c>
      <c r="D678" s="1">
        <v>11434</v>
      </c>
      <c r="E678" s="4" t="s">
        <v>8</v>
      </c>
      <c r="F678" s="44">
        <v>17929.400000000001</v>
      </c>
      <c r="G678" s="31">
        <v>1165090.1535138919</v>
      </c>
      <c r="I678" s="48">
        <v>63827</v>
      </c>
      <c r="J678" s="51">
        <v>8.4130869999999996E-2</v>
      </c>
    </row>
    <row r="679" spans="1:10" x14ac:dyDescent="0.25">
      <c r="A679">
        <v>677</v>
      </c>
      <c r="B679" t="s">
        <v>1328</v>
      </c>
      <c r="C679" t="s">
        <v>1329</v>
      </c>
      <c r="D679" s="1">
        <v>16310</v>
      </c>
      <c r="E679" s="4" t="s">
        <v>8</v>
      </c>
      <c r="F679" s="44">
        <v>15892.7</v>
      </c>
      <c r="G679" s="31">
        <v>1807097.948822639</v>
      </c>
      <c r="I679" s="48">
        <v>63858</v>
      </c>
      <c r="J679" s="51">
        <v>8.4109583000000002E-2</v>
      </c>
    </row>
    <row r="680" spans="1:10" x14ac:dyDescent="0.25">
      <c r="A680">
        <v>678</v>
      </c>
      <c r="B680" t="s">
        <v>1330</v>
      </c>
      <c r="C680" t="s">
        <v>1331</v>
      </c>
      <c r="D680" s="1">
        <v>6832</v>
      </c>
      <c r="E680" s="4" t="s">
        <v>11</v>
      </c>
      <c r="F680" s="44">
        <v>20215</v>
      </c>
      <c r="G680" s="31">
        <v>428434.26035869354</v>
      </c>
      <c r="I680" s="48">
        <v>63888</v>
      </c>
      <c r="J680" s="51">
        <v>8.4089043000000002E-2</v>
      </c>
    </row>
    <row r="681" spans="1:10" x14ac:dyDescent="0.25">
      <c r="A681">
        <v>679</v>
      </c>
      <c r="B681" t="s">
        <v>1332</v>
      </c>
      <c r="C681" t="s">
        <v>1333</v>
      </c>
      <c r="D681" s="1">
        <v>15137</v>
      </c>
      <c r="E681" s="4" t="s">
        <v>11</v>
      </c>
      <c r="F681" s="44">
        <v>20552.84</v>
      </c>
      <c r="G681" s="31">
        <v>1747734.1429720321</v>
      </c>
      <c r="I681" s="48">
        <v>63919</v>
      </c>
      <c r="J681" s="51">
        <v>8.4067880999999997E-2</v>
      </c>
    </row>
    <row r="682" spans="1:10" x14ac:dyDescent="0.25">
      <c r="A682">
        <v>680</v>
      </c>
      <c r="B682" t="s">
        <v>1334</v>
      </c>
      <c r="C682" t="s">
        <v>1335</v>
      </c>
      <c r="D682" s="1">
        <v>11108</v>
      </c>
      <c r="E682" s="4" t="s">
        <v>11</v>
      </c>
      <c r="F682" s="44">
        <v>21281.98</v>
      </c>
      <c r="G682" s="31">
        <v>1017526.1369011841</v>
      </c>
      <c r="I682" s="48">
        <v>63950</v>
      </c>
      <c r="J682" s="51">
        <v>8.4046782E-2</v>
      </c>
    </row>
    <row r="683" spans="1:10" x14ac:dyDescent="0.25">
      <c r="A683">
        <v>681</v>
      </c>
      <c r="B683" t="s">
        <v>1336</v>
      </c>
      <c r="C683" t="s">
        <v>1337</v>
      </c>
      <c r="D683" s="1">
        <v>14502</v>
      </c>
      <c r="E683" s="4" t="s">
        <v>8</v>
      </c>
      <c r="F683" s="44">
        <v>20370.48</v>
      </c>
      <c r="G683" s="31">
        <v>1891514.8888487911</v>
      </c>
      <c r="I683" s="48">
        <v>63978</v>
      </c>
      <c r="J683" s="51">
        <v>8.4027779999999996E-2</v>
      </c>
    </row>
    <row r="684" spans="1:10" x14ac:dyDescent="0.25">
      <c r="A684">
        <v>682</v>
      </c>
      <c r="B684" t="s">
        <v>1338</v>
      </c>
      <c r="C684" t="s">
        <v>1339</v>
      </c>
      <c r="D684" s="1">
        <v>10428</v>
      </c>
      <c r="E684" s="4" t="s">
        <v>8</v>
      </c>
      <c r="F684" s="44">
        <v>19385.560000000001</v>
      </c>
      <c r="G684" s="31">
        <v>1004972.9002039632</v>
      </c>
      <c r="I684" s="48">
        <v>64009</v>
      </c>
      <c r="J684" s="51">
        <v>8.4006802000000005E-2</v>
      </c>
    </row>
    <row r="685" spans="1:10" x14ac:dyDescent="0.25">
      <c r="A685">
        <v>683</v>
      </c>
      <c r="B685" t="s">
        <v>1340</v>
      </c>
      <c r="C685" t="s">
        <v>1341</v>
      </c>
      <c r="D685" s="1">
        <v>16150</v>
      </c>
      <c r="E685" s="4" t="s">
        <v>11</v>
      </c>
      <c r="F685" s="44">
        <v>16421.650000000001</v>
      </c>
      <c r="G685" s="31">
        <v>1576256.0780088494</v>
      </c>
      <c r="I685" s="48">
        <v>64039</v>
      </c>
      <c r="J685" s="51">
        <v>8.3986560000000002E-2</v>
      </c>
    </row>
    <row r="686" spans="1:10" x14ac:dyDescent="0.25">
      <c r="A686">
        <v>684</v>
      </c>
      <c r="B686" t="s">
        <v>1342</v>
      </c>
      <c r="C686" t="s">
        <v>1343</v>
      </c>
      <c r="D686" s="1">
        <v>10959</v>
      </c>
      <c r="E686" s="4" t="s">
        <v>11</v>
      </c>
      <c r="F686" s="44">
        <v>20827.86</v>
      </c>
      <c r="G686" s="31">
        <v>919444.84977736045</v>
      </c>
      <c r="I686" s="48">
        <v>64070</v>
      </c>
      <c r="J686" s="51">
        <v>8.3965704000000002E-2</v>
      </c>
    </row>
    <row r="687" spans="1:10" x14ac:dyDescent="0.25">
      <c r="A687">
        <v>685</v>
      </c>
      <c r="B687" t="s">
        <v>1344</v>
      </c>
      <c r="C687" t="s">
        <v>1345</v>
      </c>
      <c r="D687" s="1">
        <v>9710</v>
      </c>
      <c r="E687" s="4" t="s">
        <v>8</v>
      </c>
      <c r="F687" s="44">
        <v>17656.78</v>
      </c>
      <c r="G687" s="31">
        <v>822663.41490213561</v>
      </c>
      <c r="I687" s="48">
        <v>64100</v>
      </c>
      <c r="J687" s="51">
        <v>8.3945581000000005E-2</v>
      </c>
    </row>
    <row r="688" spans="1:10" x14ac:dyDescent="0.25">
      <c r="A688">
        <v>686</v>
      </c>
      <c r="B688" t="s">
        <v>1346</v>
      </c>
      <c r="C688" t="s">
        <v>1347</v>
      </c>
      <c r="D688" s="1">
        <v>10571</v>
      </c>
      <c r="E688" s="4" t="s">
        <v>8</v>
      </c>
      <c r="F688" s="44">
        <v>17274</v>
      </c>
      <c r="G688" s="31">
        <v>961435.17562814336</v>
      </c>
      <c r="I688" s="48">
        <v>64131</v>
      </c>
      <c r="J688" s="51">
        <v>8.3924846999999997E-2</v>
      </c>
    </row>
    <row r="689" spans="1:10" x14ac:dyDescent="0.25">
      <c r="A689">
        <v>687</v>
      </c>
      <c r="B689" t="s">
        <v>1348</v>
      </c>
      <c r="C689" t="s">
        <v>1349</v>
      </c>
      <c r="D689" s="1">
        <v>8170</v>
      </c>
      <c r="E689" s="4" t="s">
        <v>8</v>
      </c>
      <c r="F689" s="44">
        <v>23680.25</v>
      </c>
      <c r="G689" s="31">
        <v>998347.00140426436</v>
      </c>
      <c r="I689" s="48">
        <v>64162</v>
      </c>
      <c r="J689" s="51">
        <v>8.3904174999999998E-2</v>
      </c>
    </row>
    <row r="690" spans="1:10" x14ac:dyDescent="0.25">
      <c r="A690">
        <v>688</v>
      </c>
      <c r="B690" t="s">
        <v>1350</v>
      </c>
      <c r="C690" t="s">
        <v>1351</v>
      </c>
      <c r="D690" s="1">
        <v>15692</v>
      </c>
      <c r="E690" s="4" t="s">
        <v>11</v>
      </c>
      <c r="F690" s="44">
        <v>18913.849999999999</v>
      </c>
      <c r="G690" s="31">
        <v>1694329.7974821085</v>
      </c>
      <c r="I690" s="48">
        <v>64192</v>
      </c>
      <c r="J690" s="51">
        <v>8.3884229000000005E-2</v>
      </c>
    </row>
    <row r="691" spans="1:10" x14ac:dyDescent="0.25">
      <c r="A691">
        <v>689</v>
      </c>
      <c r="B691" t="s">
        <v>1352</v>
      </c>
      <c r="C691" t="s">
        <v>1353</v>
      </c>
      <c r="D691" s="1">
        <v>6815</v>
      </c>
      <c r="E691" s="4" t="s">
        <v>11</v>
      </c>
      <c r="F691" s="44">
        <v>25025.8</v>
      </c>
      <c r="G691" s="31">
        <v>515369.62101190625</v>
      </c>
      <c r="I691" s="48">
        <v>64223</v>
      </c>
      <c r="J691" s="51">
        <v>8.3863676999999998E-2</v>
      </c>
    </row>
    <row r="692" spans="1:10" x14ac:dyDescent="0.25">
      <c r="A692">
        <v>690</v>
      </c>
      <c r="B692" t="s">
        <v>1354</v>
      </c>
      <c r="C692" t="s">
        <v>1355</v>
      </c>
      <c r="D692" s="1">
        <v>13817</v>
      </c>
      <c r="E692" s="4" t="s">
        <v>11</v>
      </c>
      <c r="F692" s="44">
        <v>20155.43</v>
      </c>
      <c r="G692" s="31">
        <v>1368850.4759833503</v>
      </c>
      <c r="I692" s="48">
        <v>64253</v>
      </c>
      <c r="J692" s="51">
        <v>8.3843846E-2</v>
      </c>
    </row>
    <row r="693" spans="1:10" x14ac:dyDescent="0.25">
      <c r="A693">
        <v>691</v>
      </c>
      <c r="B693" t="s">
        <v>1356</v>
      </c>
      <c r="C693" t="s">
        <v>1357</v>
      </c>
      <c r="D693" s="1">
        <v>10084</v>
      </c>
      <c r="E693" s="4" t="s">
        <v>8</v>
      </c>
      <c r="F693" s="44">
        <v>22188.15</v>
      </c>
      <c r="G693" s="31">
        <v>1099683.8866628283</v>
      </c>
      <c r="I693" s="48">
        <v>64284</v>
      </c>
      <c r="J693" s="51">
        <v>8.3823413999999999E-2</v>
      </c>
    </row>
    <row r="694" spans="1:10" x14ac:dyDescent="0.25">
      <c r="A694">
        <v>692</v>
      </c>
      <c r="B694" t="s">
        <v>1226</v>
      </c>
      <c r="C694" t="s">
        <v>1358</v>
      </c>
      <c r="D694" s="1">
        <v>12450</v>
      </c>
      <c r="E694" s="4" t="s">
        <v>11</v>
      </c>
      <c r="F694" s="44">
        <v>15406.14</v>
      </c>
      <c r="G694" s="31">
        <v>866780.94520655728</v>
      </c>
      <c r="I694" s="48">
        <v>64315</v>
      </c>
      <c r="J694" s="51">
        <v>8.3803041999999994E-2</v>
      </c>
    </row>
    <row r="695" spans="1:10" x14ac:dyDescent="0.25">
      <c r="A695">
        <v>693</v>
      </c>
      <c r="B695" t="s">
        <v>1359</v>
      </c>
      <c r="C695" t="s">
        <v>1360</v>
      </c>
      <c r="D695" s="1">
        <v>14348</v>
      </c>
      <c r="E695" s="4" t="s">
        <v>8</v>
      </c>
      <c r="F695" s="44">
        <v>23090.720000000001</v>
      </c>
      <c r="G695" s="31">
        <v>2157535.4505428765</v>
      </c>
      <c r="I695" s="48">
        <v>64344</v>
      </c>
      <c r="J695" s="51">
        <v>8.3784039000000005E-2</v>
      </c>
    </row>
    <row r="696" spans="1:10" x14ac:dyDescent="0.25">
      <c r="A696">
        <v>694</v>
      </c>
      <c r="B696" t="s">
        <v>1361</v>
      </c>
      <c r="C696" t="s">
        <v>1362</v>
      </c>
      <c r="D696" s="1">
        <v>14202</v>
      </c>
      <c r="E696" s="4" t="s">
        <v>8</v>
      </c>
      <c r="F696" s="44">
        <v>22951.1</v>
      </c>
      <c r="G696" s="31">
        <v>2071142.1550945675</v>
      </c>
      <c r="I696" s="48">
        <v>64375</v>
      </c>
      <c r="J696" s="51">
        <v>8.3763781999999995E-2</v>
      </c>
    </row>
    <row r="697" spans="1:10" x14ac:dyDescent="0.25">
      <c r="A697">
        <v>695</v>
      </c>
      <c r="B697" t="s">
        <v>1363</v>
      </c>
      <c r="C697" t="s">
        <v>1364</v>
      </c>
      <c r="D697" s="1">
        <v>18478</v>
      </c>
      <c r="E697" s="4" t="s">
        <v>8</v>
      </c>
      <c r="F697" s="44">
        <v>24186.39</v>
      </c>
      <c r="G697" s="31">
        <v>3368297.9832063969</v>
      </c>
      <c r="I697" s="48">
        <v>64405</v>
      </c>
      <c r="J697" s="51">
        <v>8.3744236E-2</v>
      </c>
    </row>
    <row r="698" spans="1:10" x14ac:dyDescent="0.25">
      <c r="A698">
        <v>696</v>
      </c>
      <c r="B698" t="s">
        <v>1365</v>
      </c>
      <c r="C698" t="s">
        <v>1366</v>
      </c>
      <c r="D698" s="1">
        <v>17410</v>
      </c>
      <c r="E698" s="4" t="s">
        <v>8</v>
      </c>
      <c r="F698" s="44">
        <v>23443.3</v>
      </c>
      <c r="G698" s="31">
        <v>2972892.8184472695</v>
      </c>
      <c r="I698" s="48">
        <v>64436</v>
      </c>
      <c r="J698" s="51">
        <v>8.3724096999999997E-2</v>
      </c>
    </row>
    <row r="699" spans="1:10" x14ac:dyDescent="0.25">
      <c r="A699">
        <v>697</v>
      </c>
      <c r="B699" t="s">
        <v>1367</v>
      </c>
      <c r="C699" t="s">
        <v>1368</v>
      </c>
      <c r="D699" s="1">
        <v>15004</v>
      </c>
      <c r="E699" s="4" t="s">
        <v>11</v>
      </c>
      <c r="F699" s="44">
        <v>17197.73</v>
      </c>
      <c r="G699" s="31">
        <v>1410827.6041154938</v>
      </c>
      <c r="I699" s="48">
        <v>64466</v>
      </c>
      <c r="J699" s="51">
        <v>8.3704662999999999E-2</v>
      </c>
    </row>
    <row r="700" spans="1:10" x14ac:dyDescent="0.25">
      <c r="A700">
        <v>698</v>
      </c>
      <c r="B700" t="s">
        <v>1369</v>
      </c>
      <c r="C700" t="s">
        <v>1370</v>
      </c>
      <c r="D700" s="1">
        <v>18565</v>
      </c>
      <c r="E700" s="4" t="s">
        <v>11</v>
      </c>
      <c r="F700" s="44">
        <v>19247.55</v>
      </c>
      <c r="G700" s="31">
        <v>2410695.1404387355</v>
      </c>
      <c r="I700" s="48">
        <v>64497</v>
      </c>
      <c r="J700" s="51">
        <v>8.3684639000000005E-2</v>
      </c>
    </row>
    <row r="701" spans="1:10" x14ac:dyDescent="0.25">
      <c r="A701">
        <v>699</v>
      </c>
      <c r="B701" t="s">
        <v>1371</v>
      </c>
      <c r="C701" t="s">
        <v>1372</v>
      </c>
      <c r="D701" s="1">
        <v>13155</v>
      </c>
      <c r="E701" s="4" t="s">
        <v>11</v>
      </c>
      <c r="F701" s="44">
        <v>18667.5</v>
      </c>
      <c r="G701" s="31">
        <v>1164507.0611677608</v>
      </c>
      <c r="I701" s="48">
        <v>64528</v>
      </c>
      <c r="J701" s="51">
        <v>8.3664673999999994E-2</v>
      </c>
    </row>
    <row r="702" spans="1:10" x14ac:dyDescent="0.25">
      <c r="A702">
        <v>700</v>
      </c>
      <c r="B702" t="s">
        <v>1373</v>
      </c>
      <c r="C702" t="s">
        <v>1374</v>
      </c>
      <c r="D702" s="1">
        <v>9397</v>
      </c>
      <c r="E702" s="4" t="s">
        <v>8</v>
      </c>
      <c r="F702" s="44">
        <v>27005.96</v>
      </c>
      <c r="G702" s="31">
        <v>1224058.741553219</v>
      </c>
      <c r="I702" s="48">
        <v>64558</v>
      </c>
      <c r="J702" s="51">
        <v>8.3645408000000004E-2</v>
      </c>
    </row>
    <row r="703" spans="1:10" x14ac:dyDescent="0.25">
      <c r="A703">
        <v>701</v>
      </c>
      <c r="B703" t="s">
        <v>1375</v>
      </c>
      <c r="C703" t="s">
        <v>1376</v>
      </c>
      <c r="D703" s="1">
        <v>14368</v>
      </c>
      <c r="E703" s="4" t="s">
        <v>11</v>
      </c>
      <c r="F703" s="44">
        <v>21514.94</v>
      </c>
      <c r="G703" s="31">
        <v>1639806.7864823716</v>
      </c>
      <c r="I703" s="48">
        <v>64589</v>
      </c>
      <c r="J703" s="51">
        <v>8.3625557000000003E-2</v>
      </c>
    </row>
    <row r="704" spans="1:10" x14ac:dyDescent="0.25">
      <c r="A704">
        <v>702</v>
      </c>
      <c r="B704" t="s">
        <v>1377</v>
      </c>
      <c r="C704" t="s">
        <v>1378</v>
      </c>
      <c r="D704" s="1">
        <v>11534</v>
      </c>
      <c r="E704" s="4" t="s">
        <v>11</v>
      </c>
      <c r="F704" s="44">
        <v>21186.97</v>
      </c>
      <c r="G704" s="31">
        <v>959799.45482961601</v>
      </c>
      <c r="I704" s="48">
        <v>64619</v>
      </c>
      <c r="J704" s="51">
        <v>8.3606400999999997E-2</v>
      </c>
    </row>
    <row r="705" spans="1:10" x14ac:dyDescent="0.25">
      <c r="A705">
        <v>703</v>
      </c>
      <c r="B705" t="s">
        <v>1379</v>
      </c>
      <c r="C705" t="s">
        <v>1380</v>
      </c>
      <c r="D705" s="1">
        <v>13153</v>
      </c>
      <c r="E705" s="4" t="s">
        <v>8</v>
      </c>
      <c r="F705" s="44">
        <v>22257.23</v>
      </c>
      <c r="G705" s="31">
        <v>1773684.8743864796</v>
      </c>
      <c r="I705" s="48">
        <v>64650</v>
      </c>
      <c r="J705" s="51">
        <v>8.3586663000000005E-2</v>
      </c>
    </row>
    <row r="706" spans="1:10" x14ac:dyDescent="0.25">
      <c r="A706">
        <v>704</v>
      </c>
      <c r="B706" t="s">
        <v>1381</v>
      </c>
      <c r="C706" t="s">
        <v>1382</v>
      </c>
      <c r="D706" s="1">
        <v>10155</v>
      </c>
      <c r="E706" s="4" t="s">
        <v>11</v>
      </c>
      <c r="F706" s="44">
        <v>15658.8</v>
      </c>
      <c r="G706" s="31">
        <v>584056.7052131393</v>
      </c>
      <c r="I706" s="48">
        <v>64681</v>
      </c>
      <c r="J706" s="51">
        <v>8.3566981999999998E-2</v>
      </c>
    </row>
    <row r="707" spans="1:10" x14ac:dyDescent="0.25">
      <c r="A707">
        <v>705</v>
      </c>
      <c r="B707" t="s">
        <v>1383</v>
      </c>
      <c r="C707" t="s">
        <v>1384</v>
      </c>
      <c r="D707" s="1">
        <v>19311</v>
      </c>
      <c r="E707" s="4" t="s">
        <v>8</v>
      </c>
      <c r="F707" s="44">
        <v>15711.2</v>
      </c>
      <c r="G707" s="31">
        <v>2344729.8353903233</v>
      </c>
      <c r="I707" s="48">
        <v>64709</v>
      </c>
      <c r="J707" s="51">
        <v>8.3549255000000003E-2</v>
      </c>
    </row>
    <row r="708" spans="1:10" x14ac:dyDescent="0.25">
      <c r="A708">
        <v>706</v>
      </c>
      <c r="B708" t="s">
        <v>1385</v>
      </c>
      <c r="C708" t="s">
        <v>1386</v>
      </c>
      <c r="D708" s="1">
        <v>17191</v>
      </c>
      <c r="E708" s="4" t="s">
        <v>8</v>
      </c>
      <c r="F708" s="44">
        <v>19549.72</v>
      </c>
      <c r="G708" s="31">
        <v>2446573.0606136704</v>
      </c>
      <c r="I708" s="48">
        <v>64740</v>
      </c>
      <c r="J708" s="51">
        <v>8.3529682999999993E-2</v>
      </c>
    </row>
    <row r="709" spans="1:10" x14ac:dyDescent="0.25">
      <c r="A709">
        <v>707</v>
      </c>
      <c r="B709" t="s">
        <v>953</v>
      </c>
      <c r="C709" t="s">
        <v>1387</v>
      </c>
      <c r="D709" s="1">
        <v>11153</v>
      </c>
      <c r="E709" s="4" t="s">
        <v>11</v>
      </c>
      <c r="F709" s="44">
        <v>23095.98</v>
      </c>
      <c r="G709" s="31">
        <v>972139.04177979834</v>
      </c>
      <c r="I709" s="48">
        <v>64770</v>
      </c>
      <c r="J709" s="51">
        <v>8.3510794999999999E-2</v>
      </c>
    </row>
    <row r="710" spans="1:10" x14ac:dyDescent="0.25">
      <c r="A710">
        <v>708</v>
      </c>
      <c r="B710" t="s">
        <v>1388</v>
      </c>
      <c r="C710" t="s">
        <v>1389</v>
      </c>
      <c r="D710" s="1">
        <v>10573</v>
      </c>
      <c r="E710" s="4" t="s">
        <v>8</v>
      </c>
      <c r="F710" s="44">
        <v>19615.96</v>
      </c>
      <c r="G710" s="31">
        <v>1092709.766021248</v>
      </c>
      <c r="I710" s="48">
        <v>64801</v>
      </c>
      <c r="J710" s="51">
        <v>8.3491334E-2</v>
      </c>
    </row>
    <row r="711" spans="1:10" x14ac:dyDescent="0.25">
      <c r="A711">
        <v>709</v>
      </c>
      <c r="B711" t="s">
        <v>1390</v>
      </c>
      <c r="C711" t="s">
        <v>1391</v>
      </c>
      <c r="D711" s="1">
        <v>18072</v>
      </c>
      <c r="E711" s="4" t="s">
        <v>11</v>
      </c>
      <c r="F711" s="44">
        <v>23164.91</v>
      </c>
      <c r="G711" s="31">
        <v>2788499.0291874604</v>
      </c>
      <c r="I711" s="48">
        <v>64831</v>
      </c>
      <c r="J711" s="51">
        <v>8.3472553000000005E-2</v>
      </c>
    </row>
    <row r="712" spans="1:10" x14ac:dyDescent="0.25">
      <c r="A712">
        <v>710</v>
      </c>
      <c r="B712" t="s">
        <v>1392</v>
      </c>
      <c r="C712" t="s">
        <v>1393</v>
      </c>
      <c r="D712" s="1">
        <v>7003</v>
      </c>
      <c r="E712" s="4" t="s">
        <v>11</v>
      </c>
      <c r="F712" s="44">
        <v>12813.59</v>
      </c>
      <c r="G712" s="31">
        <v>329068.24105059984</v>
      </c>
      <c r="I712" s="48">
        <v>64862</v>
      </c>
      <c r="J712" s="51">
        <v>8.3453201000000005E-2</v>
      </c>
    </row>
    <row r="713" spans="1:10" x14ac:dyDescent="0.25">
      <c r="A713">
        <v>711</v>
      </c>
      <c r="B713" t="s">
        <v>1394</v>
      </c>
      <c r="C713" t="s">
        <v>1395</v>
      </c>
      <c r="D713" s="1">
        <v>15369</v>
      </c>
      <c r="E713" s="4" t="s">
        <v>11</v>
      </c>
      <c r="F713" s="44">
        <v>17312.71</v>
      </c>
      <c r="G713" s="31">
        <v>1492752.8049204922</v>
      </c>
      <c r="I713" s="48">
        <v>64893</v>
      </c>
      <c r="J713" s="51">
        <v>8.3433905000000003E-2</v>
      </c>
    </row>
    <row r="714" spans="1:10" x14ac:dyDescent="0.25">
      <c r="A714">
        <v>712</v>
      </c>
      <c r="B714" t="s">
        <v>1396</v>
      </c>
      <c r="C714" t="s">
        <v>1397</v>
      </c>
      <c r="D714" s="1">
        <v>9968</v>
      </c>
      <c r="E714" s="4" t="s">
        <v>8</v>
      </c>
      <c r="F714" s="44">
        <v>22907.33</v>
      </c>
      <c r="G714" s="31">
        <v>1219912.1364219147</v>
      </c>
      <c r="I714" s="48">
        <v>64923</v>
      </c>
      <c r="J714" s="51">
        <v>8.3415284000000006E-2</v>
      </c>
    </row>
    <row r="715" spans="1:10" x14ac:dyDescent="0.25">
      <c r="A715">
        <v>713</v>
      </c>
      <c r="B715" t="s">
        <v>1398</v>
      </c>
      <c r="C715" t="s">
        <v>1399</v>
      </c>
      <c r="D715" s="1">
        <v>10221</v>
      </c>
      <c r="E715" s="4" t="s">
        <v>8</v>
      </c>
      <c r="F715" s="44">
        <v>25344.3</v>
      </c>
      <c r="G715" s="31">
        <v>1347272.1737863149</v>
      </c>
      <c r="I715" s="48">
        <v>64954</v>
      </c>
      <c r="J715" s="51">
        <v>8.3396096000000003E-2</v>
      </c>
    </row>
    <row r="716" spans="1:10" x14ac:dyDescent="0.25">
      <c r="A716">
        <v>714</v>
      </c>
      <c r="B716" t="s">
        <v>1400</v>
      </c>
      <c r="C716" t="s">
        <v>1401</v>
      </c>
      <c r="D716" s="1">
        <v>11190</v>
      </c>
      <c r="E716" s="4" t="s">
        <v>8</v>
      </c>
      <c r="F716" s="44">
        <v>17003.48</v>
      </c>
      <c r="G716" s="31">
        <v>1000916.0049786582</v>
      </c>
      <c r="I716" s="48">
        <v>64984</v>
      </c>
      <c r="J716" s="51">
        <v>8.3377580000000007E-2</v>
      </c>
    </row>
    <row r="717" spans="1:10" x14ac:dyDescent="0.25">
      <c r="A717">
        <v>715</v>
      </c>
      <c r="B717" t="s">
        <v>1402</v>
      </c>
      <c r="C717" t="s">
        <v>1403</v>
      </c>
      <c r="D717" s="1">
        <v>13137</v>
      </c>
      <c r="E717" s="4" t="s">
        <v>11</v>
      </c>
      <c r="F717" s="44">
        <v>24254.560000000001</v>
      </c>
      <c r="G717" s="31">
        <v>1501638.5979054978</v>
      </c>
      <c r="I717" s="48">
        <v>65015</v>
      </c>
      <c r="J717" s="51">
        <v>8.3358500000000002E-2</v>
      </c>
    </row>
    <row r="718" spans="1:10" x14ac:dyDescent="0.25">
      <c r="A718">
        <v>716</v>
      </c>
      <c r="B718" t="s">
        <v>144</v>
      </c>
      <c r="C718" t="s">
        <v>1404</v>
      </c>
      <c r="D718" s="1">
        <v>9442</v>
      </c>
      <c r="E718" s="4" t="s">
        <v>8</v>
      </c>
      <c r="F718" s="44">
        <v>19631.68</v>
      </c>
      <c r="G718" s="31">
        <v>914624.14171272644</v>
      </c>
      <c r="I718" s="48">
        <v>65046</v>
      </c>
      <c r="J718" s="51">
        <v>8.3339473999999997E-2</v>
      </c>
    </row>
    <row r="719" spans="1:10" x14ac:dyDescent="0.25">
      <c r="A719">
        <v>717</v>
      </c>
      <c r="B719" t="s">
        <v>1100</v>
      </c>
      <c r="C719" t="s">
        <v>1405</v>
      </c>
      <c r="D719" s="1">
        <v>10601</v>
      </c>
      <c r="E719" s="4" t="s">
        <v>11</v>
      </c>
      <c r="F719" s="44">
        <v>22933.49</v>
      </c>
      <c r="G719" s="31">
        <v>959301.16631637246</v>
      </c>
      <c r="I719" s="48">
        <v>65074</v>
      </c>
      <c r="J719" s="51">
        <v>8.3322335999999997E-2</v>
      </c>
    </row>
    <row r="720" spans="1:10" x14ac:dyDescent="0.25">
      <c r="A720">
        <v>718</v>
      </c>
      <c r="B720" t="s">
        <v>1406</v>
      </c>
      <c r="C720" t="s">
        <v>1407</v>
      </c>
      <c r="D720" s="1">
        <v>20527</v>
      </c>
      <c r="E720" s="4" t="s">
        <v>8</v>
      </c>
      <c r="F720" s="44">
        <v>22298.95</v>
      </c>
      <c r="G720" s="31">
        <v>3632399.8835172388</v>
      </c>
      <c r="I720" s="48">
        <v>65105</v>
      </c>
      <c r="J720" s="51">
        <v>8.3303413000000007E-2</v>
      </c>
    </row>
    <row r="721" spans="1:10" x14ac:dyDescent="0.25">
      <c r="A721">
        <v>719</v>
      </c>
      <c r="B721" t="s">
        <v>473</v>
      </c>
      <c r="C721" t="s">
        <v>1408</v>
      </c>
      <c r="D721" s="1">
        <v>14899</v>
      </c>
      <c r="E721" s="4" t="s">
        <v>8</v>
      </c>
      <c r="F721" s="44">
        <v>21814.32</v>
      </c>
      <c r="G721" s="31">
        <v>2131072.074797241</v>
      </c>
      <c r="I721" s="48">
        <v>65135</v>
      </c>
      <c r="J721" s="51">
        <v>8.3285152000000001E-2</v>
      </c>
    </row>
    <row r="722" spans="1:10" x14ac:dyDescent="0.25">
      <c r="A722">
        <v>720</v>
      </c>
      <c r="B722" t="s">
        <v>1409</v>
      </c>
      <c r="C722" t="s">
        <v>1410</v>
      </c>
      <c r="D722" s="1">
        <v>19407</v>
      </c>
      <c r="E722" s="4" t="s">
        <v>8</v>
      </c>
      <c r="F722" s="44">
        <v>13648.73</v>
      </c>
      <c r="G722" s="31">
        <v>2056376.3350450671</v>
      </c>
      <c r="I722" s="48">
        <v>65166</v>
      </c>
      <c r="J722" s="51">
        <v>8.3266333999999997E-2</v>
      </c>
    </row>
    <row r="723" spans="1:10" x14ac:dyDescent="0.25">
      <c r="A723">
        <v>721</v>
      </c>
      <c r="B723" t="s">
        <v>1411</v>
      </c>
      <c r="C723" t="s">
        <v>1412</v>
      </c>
      <c r="D723" s="1">
        <v>11732</v>
      </c>
      <c r="E723" s="4" t="s">
        <v>11</v>
      </c>
      <c r="F723" s="44">
        <v>16783.2</v>
      </c>
      <c r="G723" s="31">
        <v>849748.0999475749</v>
      </c>
      <c r="I723" s="48">
        <v>65196</v>
      </c>
      <c r="J723" s="51">
        <v>8.3248173999999994E-2</v>
      </c>
    </row>
    <row r="724" spans="1:10" x14ac:dyDescent="0.25">
      <c r="A724">
        <v>722</v>
      </c>
      <c r="B724" t="s">
        <v>1413</v>
      </c>
      <c r="C724" t="s">
        <v>1414</v>
      </c>
      <c r="D724" s="1">
        <v>12171</v>
      </c>
      <c r="E724" s="4" t="s">
        <v>8</v>
      </c>
      <c r="F724" s="44">
        <v>17012.52</v>
      </c>
      <c r="G724" s="31">
        <v>1219066.7409472531</v>
      </c>
      <c r="I724" s="48">
        <v>65227</v>
      </c>
      <c r="J724" s="51">
        <v>8.3229461000000005E-2</v>
      </c>
    </row>
    <row r="725" spans="1:10" x14ac:dyDescent="0.25">
      <c r="A725">
        <v>723</v>
      </c>
      <c r="B725" t="s">
        <v>1415</v>
      </c>
      <c r="C725" t="s">
        <v>1416</v>
      </c>
      <c r="D725" s="1">
        <v>20539</v>
      </c>
      <c r="E725" s="4" t="s">
        <v>8</v>
      </c>
      <c r="F725" s="44">
        <v>15918.88</v>
      </c>
      <c r="G725" s="31">
        <v>2595623.0227565756</v>
      </c>
      <c r="I725" s="48">
        <v>65258</v>
      </c>
      <c r="J725" s="51">
        <v>8.3210801000000001E-2</v>
      </c>
    </row>
    <row r="726" spans="1:10" x14ac:dyDescent="0.25">
      <c r="A726">
        <v>724</v>
      </c>
      <c r="B726" t="s">
        <v>1417</v>
      </c>
      <c r="C726" t="s">
        <v>1418</v>
      </c>
      <c r="D726" s="1">
        <v>14014</v>
      </c>
      <c r="E726" s="4" t="s">
        <v>8</v>
      </c>
      <c r="F726" s="44">
        <v>19699.310000000001</v>
      </c>
      <c r="G726" s="31">
        <v>1776885.728298642</v>
      </c>
      <c r="I726" s="48">
        <v>65288</v>
      </c>
      <c r="J726" s="51">
        <v>8.3192793000000001E-2</v>
      </c>
    </row>
    <row r="727" spans="1:10" x14ac:dyDescent="0.25">
      <c r="A727">
        <v>725</v>
      </c>
      <c r="B727" t="s">
        <v>1419</v>
      </c>
      <c r="C727" t="s">
        <v>1420</v>
      </c>
      <c r="D727" s="1">
        <v>7794</v>
      </c>
      <c r="E727" s="4" t="s">
        <v>8</v>
      </c>
      <c r="F727" s="44">
        <v>22684.31</v>
      </c>
      <c r="G727" s="31">
        <v>905331.93647220172</v>
      </c>
      <c r="I727" s="48">
        <v>65319</v>
      </c>
      <c r="J727" s="51">
        <v>8.3174235999999999E-2</v>
      </c>
    </row>
    <row r="728" spans="1:10" x14ac:dyDescent="0.25">
      <c r="A728">
        <v>726</v>
      </c>
      <c r="B728" t="s">
        <v>1421</v>
      </c>
      <c r="C728" t="s">
        <v>464</v>
      </c>
      <c r="D728" s="1">
        <v>17806</v>
      </c>
      <c r="E728" s="4" t="s">
        <v>8</v>
      </c>
      <c r="F728" s="44">
        <v>12712.08</v>
      </c>
      <c r="G728" s="31">
        <v>1673784.2677457547</v>
      </c>
      <c r="I728" s="48">
        <v>65349</v>
      </c>
      <c r="J728" s="51">
        <v>8.3156327000000002E-2</v>
      </c>
    </row>
    <row r="729" spans="1:10" x14ac:dyDescent="0.25">
      <c r="A729">
        <v>727</v>
      </c>
      <c r="B729" t="s">
        <v>1422</v>
      </c>
      <c r="C729" t="s">
        <v>1423</v>
      </c>
      <c r="D729" s="1">
        <v>16861</v>
      </c>
      <c r="E729" s="4" t="s">
        <v>11</v>
      </c>
      <c r="F729" s="44">
        <v>19696.650000000001</v>
      </c>
      <c r="G729" s="31">
        <v>2058000.5042501469</v>
      </c>
      <c r="I729" s="48">
        <v>65380</v>
      </c>
      <c r="J729" s="51">
        <v>8.3137873000000001E-2</v>
      </c>
    </row>
    <row r="730" spans="1:10" x14ac:dyDescent="0.25">
      <c r="A730">
        <v>728</v>
      </c>
      <c r="B730" t="s">
        <v>1424</v>
      </c>
      <c r="C730" t="s">
        <v>1425</v>
      </c>
      <c r="D730" s="1">
        <v>9555</v>
      </c>
      <c r="E730" s="4" t="s">
        <v>11</v>
      </c>
      <c r="F730" s="44">
        <v>20211.189999999999</v>
      </c>
      <c r="G730" s="31">
        <v>737066.4348367257</v>
      </c>
      <c r="I730" s="48">
        <v>65411</v>
      </c>
      <c r="J730" s="51">
        <v>8.3119470000000001E-2</v>
      </c>
    </row>
    <row r="731" spans="1:10" x14ac:dyDescent="0.25">
      <c r="A731">
        <v>729</v>
      </c>
      <c r="B731" t="s">
        <v>1426</v>
      </c>
      <c r="C731" t="s">
        <v>1427</v>
      </c>
      <c r="D731" s="1">
        <v>12559</v>
      </c>
      <c r="E731" s="4" t="s">
        <v>11</v>
      </c>
      <c r="F731" s="44">
        <v>23689.18</v>
      </c>
      <c r="G731" s="31">
        <v>1397932.6818605722</v>
      </c>
      <c r="I731" s="48">
        <v>65439</v>
      </c>
      <c r="J731" s="51">
        <v>8.3102891999999998E-2</v>
      </c>
    </row>
    <row r="732" spans="1:10" x14ac:dyDescent="0.25">
      <c r="A732">
        <v>730</v>
      </c>
      <c r="B732" t="s">
        <v>1428</v>
      </c>
      <c r="C732" t="s">
        <v>1429</v>
      </c>
      <c r="D732" s="1">
        <v>14130</v>
      </c>
      <c r="E732" s="4" t="s">
        <v>11</v>
      </c>
      <c r="F732" s="44">
        <v>21610.95</v>
      </c>
      <c r="G732" s="31">
        <v>1523993.2002911519</v>
      </c>
      <c r="I732" s="48">
        <v>65470</v>
      </c>
      <c r="J732" s="51">
        <v>8.3084587000000001E-2</v>
      </c>
    </row>
    <row r="733" spans="1:10" x14ac:dyDescent="0.25">
      <c r="A733">
        <v>731</v>
      </c>
      <c r="B733" t="s">
        <v>1430</v>
      </c>
      <c r="C733" t="s">
        <v>1431</v>
      </c>
      <c r="D733" s="1">
        <v>21011</v>
      </c>
      <c r="E733" s="4" t="s">
        <v>11</v>
      </c>
      <c r="F733" s="44">
        <v>22771.06</v>
      </c>
      <c r="G733" s="31">
        <v>3531630.0771593517</v>
      </c>
      <c r="I733" s="48">
        <v>65500</v>
      </c>
      <c r="J733" s="51">
        <v>8.3066921000000002E-2</v>
      </c>
    </row>
    <row r="734" spans="1:10" x14ac:dyDescent="0.25">
      <c r="A734">
        <v>732</v>
      </c>
      <c r="B734" t="s">
        <v>1432</v>
      </c>
      <c r="C734" t="s">
        <v>1433</v>
      </c>
      <c r="D734" s="1">
        <v>7712</v>
      </c>
      <c r="E734" s="4" t="s">
        <v>11</v>
      </c>
      <c r="F734" s="44">
        <v>22353.38</v>
      </c>
      <c r="G734" s="31">
        <v>619379.91221355507</v>
      </c>
      <c r="I734" s="48">
        <v>65531</v>
      </c>
      <c r="J734" s="51">
        <v>8.3048715999999995E-2</v>
      </c>
    </row>
    <row r="735" spans="1:10" x14ac:dyDescent="0.25">
      <c r="A735">
        <v>733</v>
      </c>
      <c r="B735" t="s">
        <v>487</v>
      </c>
      <c r="C735" t="s">
        <v>1434</v>
      </c>
      <c r="D735" s="1">
        <v>21110</v>
      </c>
      <c r="E735" s="4" t="s">
        <v>11</v>
      </c>
      <c r="F735" s="44">
        <v>22717.11</v>
      </c>
      <c r="G735" s="31">
        <v>3555083.8526608278</v>
      </c>
      <c r="I735" s="48">
        <v>65561</v>
      </c>
      <c r="J735" s="51">
        <v>8.3031147E-2</v>
      </c>
    </row>
    <row r="736" spans="1:10" x14ac:dyDescent="0.25">
      <c r="A736">
        <v>734</v>
      </c>
      <c r="B736" t="s">
        <v>1435</v>
      </c>
      <c r="C736" t="s">
        <v>1436</v>
      </c>
      <c r="D736" s="1">
        <v>18262</v>
      </c>
      <c r="E736" s="4" t="s">
        <v>8</v>
      </c>
      <c r="F736" s="44">
        <v>22073.35</v>
      </c>
      <c r="G736" s="31">
        <v>3034266.6649537375</v>
      </c>
      <c r="I736" s="48">
        <v>65592</v>
      </c>
      <c r="J736" s="51">
        <v>8.3013041999999995E-2</v>
      </c>
    </row>
    <row r="737" spans="1:10" x14ac:dyDescent="0.25">
      <c r="A737">
        <v>735</v>
      </c>
      <c r="B737" t="s">
        <v>1437</v>
      </c>
      <c r="C737" t="s">
        <v>1438</v>
      </c>
      <c r="D737" s="1">
        <v>8875</v>
      </c>
      <c r="E737" s="4" t="s">
        <v>8</v>
      </c>
      <c r="F737" s="44">
        <v>17336.8</v>
      </c>
      <c r="G737" s="31">
        <v>795711.20840048604</v>
      </c>
      <c r="I737" s="48">
        <v>65623</v>
      </c>
      <c r="J737" s="51">
        <v>8.2994987000000006E-2</v>
      </c>
    </row>
    <row r="738" spans="1:10" x14ac:dyDescent="0.25">
      <c r="A738">
        <v>736</v>
      </c>
      <c r="B738" t="s">
        <v>1439</v>
      </c>
      <c r="C738" t="s">
        <v>1440</v>
      </c>
      <c r="D738" s="1">
        <v>13149</v>
      </c>
      <c r="E738" s="4" t="s">
        <v>11</v>
      </c>
      <c r="F738" s="44">
        <v>19761.52</v>
      </c>
      <c r="G738" s="31">
        <v>1228158.1450551241</v>
      </c>
      <c r="I738" s="48">
        <v>65653</v>
      </c>
      <c r="J738" s="51">
        <v>8.2977562000000005E-2</v>
      </c>
    </row>
    <row r="739" spans="1:10" x14ac:dyDescent="0.25">
      <c r="A739">
        <v>737</v>
      </c>
      <c r="B739" t="s">
        <v>1441</v>
      </c>
      <c r="C739" t="s">
        <v>1442</v>
      </c>
      <c r="D739" s="1">
        <v>18338</v>
      </c>
      <c r="E739" s="4" t="s">
        <v>8</v>
      </c>
      <c r="F739" s="44">
        <v>15646.02</v>
      </c>
      <c r="G739" s="31">
        <v>2170179.8033769373</v>
      </c>
      <c r="I739" s="48">
        <v>65684</v>
      </c>
      <c r="J739" s="51">
        <v>8.2959605000000006E-2</v>
      </c>
    </row>
    <row r="740" spans="1:10" x14ac:dyDescent="0.25">
      <c r="A740">
        <v>738</v>
      </c>
      <c r="B740" t="s">
        <v>1443</v>
      </c>
      <c r="C740" t="s">
        <v>1444</v>
      </c>
      <c r="D740" s="1">
        <v>13528</v>
      </c>
      <c r="E740" s="4" t="s">
        <v>8</v>
      </c>
      <c r="F740" s="44">
        <v>18991.73</v>
      </c>
      <c r="G740" s="31">
        <v>1589268.6884248443</v>
      </c>
      <c r="I740" s="48">
        <v>65714</v>
      </c>
      <c r="J740" s="51">
        <v>8.2942274999999996E-2</v>
      </c>
    </row>
    <row r="741" spans="1:10" x14ac:dyDescent="0.25">
      <c r="A741">
        <v>739</v>
      </c>
      <c r="B741" t="s">
        <v>1445</v>
      </c>
      <c r="C741" t="s">
        <v>1446</v>
      </c>
      <c r="D741" s="1">
        <v>11877</v>
      </c>
      <c r="E741" s="4" t="s">
        <v>8</v>
      </c>
      <c r="F741" s="44">
        <v>23380.95</v>
      </c>
      <c r="G741" s="31">
        <v>1506685.454845468</v>
      </c>
      <c r="I741" s="48">
        <v>65745</v>
      </c>
      <c r="J741" s="51">
        <v>8.2924415000000001E-2</v>
      </c>
    </row>
    <row r="742" spans="1:10" x14ac:dyDescent="0.25">
      <c r="A742">
        <v>740</v>
      </c>
      <c r="B742" t="s">
        <v>1447</v>
      </c>
      <c r="C742" t="s">
        <v>1448</v>
      </c>
      <c r="D742" s="1">
        <v>16653</v>
      </c>
      <c r="E742" s="4" t="s">
        <v>11</v>
      </c>
      <c r="F742" s="44">
        <v>19680.060000000001</v>
      </c>
      <c r="G742" s="31">
        <v>1971120.2335595654</v>
      </c>
      <c r="I742" s="48">
        <v>65776</v>
      </c>
      <c r="J742" s="51">
        <v>8.2906604999999994E-2</v>
      </c>
    </row>
    <row r="743" spans="1:10" x14ac:dyDescent="0.25">
      <c r="A743">
        <v>741</v>
      </c>
      <c r="B743" t="s">
        <v>943</v>
      </c>
      <c r="C743" t="s">
        <v>1449</v>
      </c>
      <c r="D743" s="1">
        <v>15874</v>
      </c>
      <c r="E743" s="4" t="s">
        <v>11</v>
      </c>
      <c r="F743" s="44">
        <v>20566.45</v>
      </c>
      <c r="G743" s="31">
        <v>1923938.754482839</v>
      </c>
      <c r="I743" s="48">
        <v>65805</v>
      </c>
      <c r="J743" s="51">
        <v>8.2889987999999998E-2</v>
      </c>
    </row>
    <row r="744" spans="1:10" x14ac:dyDescent="0.25">
      <c r="A744">
        <v>742</v>
      </c>
      <c r="B744" t="s">
        <v>1450</v>
      </c>
      <c r="C744" t="s">
        <v>1451</v>
      </c>
      <c r="D744" s="1">
        <v>8790</v>
      </c>
      <c r="E744" s="4" t="s">
        <v>11</v>
      </c>
      <c r="F744" s="44">
        <v>25500.43</v>
      </c>
      <c r="G744" s="31">
        <v>812984.88308457658</v>
      </c>
      <c r="I744" s="48">
        <v>65836</v>
      </c>
      <c r="J744" s="51">
        <v>8.2872272999999996E-2</v>
      </c>
    </row>
    <row r="745" spans="1:10" x14ac:dyDescent="0.25">
      <c r="A745">
        <v>743</v>
      </c>
      <c r="B745" t="s">
        <v>1452</v>
      </c>
      <c r="C745" t="s">
        <v>1453</v>
      </c>
      <c r="D745" s="1">
        <v>16440</v>
      </c>
      <c r="E745" s="4" t="s">
        <v>11</v>
      </c>
      <c r="F745" s="44">
        <v>17241.89</v>
      </c>
      <c r="G745" s="31">
        <v>1704195.7652705892</v>
      </c>
      <c r="I745" s="48">
        <v>65866</v>
      </c>
      <c r="J745" s="51">
        <v>8.2855175000000003E-2</v>
      </c>
    </row>
    <row r="746" spans="1:10" x14ac:dyDescent="0.25">
      <c r="A746">
        <v>744</v>
      </c>
      <c r="B746" t="s">
        <v>1454</v>
      </c>
      <c r="C746" t="s">
        <v>1455</v>
      </c>
      <c r="D746" s="1">
        <v>9573</v>
      </c>
      <c r="E746" s="4" t="s">
        <v>8</v>
      </c>
      <c r="F746" s="44">
        <v>20395.009999999998</v>
      </c>
      <c r="G746" s="31">
        <v>1018315.5978692414</v>
      </c>
      <c r="I746" s="48">
        <v>65897</v>
      </c>
      <c r="J746" s="51">
        <v>8.2837554999999993E-2</v>
      </c>
    </row>
    <row r="747" spans="1:10" x14ac:dyDescent="0.25">
      <c r="A747">
        <v>745</v>
      </c>
      <c r="B747" t="s">
        <v>1456</v>
      </c>
      <c r="C747" t="s">
        <v>1457</v>
      </c>
      <c r="D747" s="1">
        <v>8780</v>
      </c>
      <c r="E747" s="4" t="s">
        <v>11</v>
      </c>
      <c r="F747" s="44">
        <v>25085.73</v>
      </c>
      <c r="G747" s="31">
        <v>794103.42198354437</v>
      </c>
      <c r="I747" s="48">
        <v>65927</v>
      </c>
      <c r="J747" s="51">
        <v>8.2820550000000007E-2</v>
      </c>
    </row>
    <row r="748" spans="1:10" x14ac:dyDescent="0.25">
      <c r="A748">
        <v>746</v>
      </c>
      <c r="B748" t="s">
        <v>1458</v>
      </c>
      <c r="C748" t="s">
        <v>1459</v>
      </c>
      <c r="D748" s="1">
        <v>7331</v>
      </c>
      <c r="E748" s="4" t="s">
        <v>8</v>
      </c>
      <c r="F748" s="44">
        <v>21332.77</v>
      </c>
      <c r="G748" s="31">
        <v>758811.15788885124</v>
      </c>
      <c r="I748" s="48">
        <v>65958</v>
      </c>
      <c r="J748" s="51">
        <v>8.2803024000000003E-2</v>
      </c>
    </row>
    <row r="749" spans="1:10" x14ac:dyDescent="0.25">
      <c r="A749">
        <v>747</v>
      </c>
      <c r="B749" t="s">
        <v>1460</v>
      </c>
      <c r="C749" t="s">
        <v>1461</v>
      </c>
      <c r="D749" s="1">
        <v>17762</v>
      </c>
      <c r="E749" s="4" t="s">
        <v>11</v>
      </c>
      <c r="F749" s="44">
        <v>21141.78</v>
      </c>
      <c r="G749" s="31">
        <v>2420652.8758031158</v>
      </c>
      <c r="I749" s="48">
        <v>65989</v>
      </c>
      <c r="J749" s="51">
        <v>8.2785547000000001E-2</v>
      </c>
    </row>
    <row r="750" spans="1:10" x14ac:dyDescent="0.25">
      <c r="A750">
        <v>748</v>
      </c>
      <c r="B750" t="s">
        <v>1462</v>
      </c>
      <c r="C750" t="s">
        <v>1463</v>
      </c>
      <c r="D750" s="1">
        <v>8093</v>
      </c>
      <c r="E750" s="4" t="s">
        <v>8</v>
      </c>
      <c r="F750" s="44">
        <v>20846.54</v>
      </c>
      <c r="G750" s="31">
        <v>839304.76864355407</v>
      </c>
      <c r="I750" s="48">
        <v>66019</v>
      </c>
      <c r="J750" s="51">
        <v>8.2768678999999998E-2</v>
      </c>
    </row>
    <row r="751" spans="1:10" x14ac:dyDescent="0.25">
      <c r="A751">
        <v>749</v>
      </c>
      <c r="B751" t="s">
        <v>1464</v>
      </c>
      <c r="C751" t="s">
        <v>1465</v>
      </c>
      <c r="D751" s="1">
        <v>16162</v>
      </c>
      <c r="E751" s="4" t="s">
        <v>11</v>
      </c>
      <c r="F751" s="44">
        <v>18402.189999999999</v>
      </c>
      <c r="G751" s="31">
        <v>1770409.3746298112</v>
      </c>
      <c r="I751" s="48">
        <v>66050</v>
      </c>
      <c r="J751" s="51">
        <v>8.2751295000000002E-2</v>
      </c>
    </row>
    <row r="752" spans="1:10" x14ac:dyDescent="0.25">
      <c r="A752">
        <v>750</v>
      </c>
      <c r="B752" t="s">
        <v>1466</v>
      </c>
      <c r="C752" t="s">
        <v>1467</v>
      </c>
      <c r="D752" s="1">
        <v>7948</v>
      </c>
      <c r="E752" s="4" t="s">
        <v>8</v>
      </c>
      <c r="F752" s="44">
        <v>23122.09</v>
      </c>
      <c r="G752" s="31">
        <v>844032.38008513825</v>
      </c>
      <c r="I752" s="48">
        <v>66080</v>
      </c>
      <c r="J752" s="51">
        <v>8.2734516999999994E-2</v>
      </c>
    </row>
    <row r="753" spans="1:10" x14ac:dyDescent="0.25">
      <c r="A753">
        <v>751</v>
      </c>
      <c r="B753" t="s">
        <v>1468</v>
      </c>
      <c r="C753" t="s">
        <v>1469</v>
      </c>
      <c r="D753" s="1">
        <v>12646</v>
      </c>
      <c r="E753" s="4" t="s">
        <v>11</v>
      </c>
      <c r="F753" s="44">
        <v>18991.78</v>
      </c>
      <c r="G753" s="31">
        <v>1048768.9048239761</v>
      </c>
      <c r="I753" s="48">
        <v>66111</v>
      </c>
      <c r="J753" s="51">
        <v>8.2717226000000005E-2</v>
      </c>
    </row>
    <row r="754" spans="1:10" x14ac:dyDescent="0.25">
      <c r="A754">
        <v>752</v>
      </c>
      <c r="B754" t="s">
        <v>1470</v>
      </c>
      <c r="C754" t="s">
        <v>1471</v>
      </c>
      <c r="D754" s="1">
        <v>20871</v>
      </c>
      <c r="E754" s="4" t="s">
        <v>11</v>
      </c>
      <c r="F754" s="44">
        <v>19554.7</v>
      </c>
      <c r="G754" s="31">
        <v>3012029.5917862593</v>
      </c>
      <c r="I754" s="48">
        <v>66142</v>
      </c>
      <c r="J754" s="51">
        <v>8.2699982000000005E-2</v>
      </c>
    </row>
    <row r="755" spans="1:10" x14ac:dyDescent="0.25">
      <c r="A755">
        <v>753</v>
      </c>
      <c r="B755" t="s">
        <v>1472</v>
      </c>
      <c r="C755" t="s">
        <v>1473</v>
      </c>
      <c r="D755" s="1">
        <v>16830</v>
      </c>
      <c r="E755" s="4" t="s">
        <v>11</v>
      </c>
      <c r="F755" s="44">
        <v>20173.72</v>
      </c>
      <c r="G755" s="31">
        <v>2095447.1475876104</v>
      </c>
      <c r="I755" s="48">
        <v>66170</v>
      </c>
      <c r="J755" s="51">
        <v>8.2684446999999994E-2</v>
      </c>
    </row>
    <row r="756" spans="1:10" x14ac:dyDescent="0.25">
      <c r="A756">
        <v>754</v>
      </c>
      <c r="B756" t="s">
        <v>1474</v>
      </c>
      <c r="C756" t="s">
        <v>1475</v>
      </c>
      <c r="D756" s="1">
        <v>7735</v>
      </c>
      <c r="E756" s="4" t="s">
        <v>11</v>
      </c>
      <c r="F756" s="44">
        <v>16254.44</v>
      </c>
      <c r="G756" s="31">
        <v>459767.96697340469</v>
      </c>
      <c r="I756" s="48">
        <v>66201</v>
      </c>
      <c r="J756" s="51">
        <v>8.2667292000000003E-2</v>
      </c>
    </row>
    <row r="757" spans="1:10" x14ac:dyDescent="0.25">
      <c r="A757">
        <v>755</v>
      </c>
      <c r="B757" t="s">
        <v>943</v>
      </c>
      <c r="C757" t="s">
        <v>1476</v>
      </c>
      <c r="D757" s="1">
        <v>21221</v>
      </c>
      <c r="E757" s="4" t="s">
        <v>8</v>
      </c>
      <c r="F757" s="44">
        <v>19404.169999999998</v>
      </c>
      <c r="G757" s="31">
        <v>3299257.0188052054</v>
      </c>
      <c r="I757" s="48">
        <v>66231</v>
      </c>
      <c r="J757" s="51">
        <v>8.2650734000000003E-2</v>
      </c>
    </row>
    <row r="758" spans="1:10" x14ac:dyDescent="0.25">
      <c r="A758">
        <v>756</v>
      </c>
      <c r="B758" t="s">
        <v>1477</v>
      </c>
      <c r="C758" t="s">
        <v>1478</v>
      </c>
      <c r="D758" s="1">
        <v>9457</v>
      </c>
      <c r="E758" s="4" t="s">
        <v>8</v>
      </c>
      <c r="F758" s="44">
        <v>16510.349999999999</v>
      </c>
      <c r="G758" s="31">
        <v>775087.7659336091</v>
      </c>
      <c r="I758" s="48">
        <v>66262</v>
      </c>
      <c r="J758" s="51">
        <v>8.2633669000000007E-2</v>
      </c>
    </row>
    <row r="759" spans="1:10" x14ac:dyDescent="0.25">
      <c r="A759">
        <v>757</v>
      </c>
      <c r="B759" t="s">
        <v>1479</v>
      </c>
      <c r="C759" t="s">
        <v>1480</v>
      </c>
      <c r="D759" s="1">
        <v>9970</v>
      </c>
      <c r="E759" s="4" t="s">
        <v>11</v>
      </c>
      <c r="F759" s="44">
        <v>21822.21</v>
      </c>
      <c r="G759" s="31">
        <v>867946.79312064569</v>
      </c>
      <c r="I759" s="48">
        <v>66292</v>
      </c>
      <c r="J759" s="51">
        <v>8.2617199000000002E-2</v>
      </c>
    </row>
    <row r="760" spans="1:10" x14ac:dyDescent="0.25">
      <c r="A760">
        <v>758</v>
      </c>
      <c r="B760" t="s">
        <v>1481</v>
      </c>
      <c r="C760" t="s">
        <v>1482</v>
      </c>
      <c r="D760" s="1">
        <v>19146</v>
      </c>
      <c r="E760" s="4" t="s">
        <v>11</v>
      </c>
      <c r="F760" s="44">
        <v>26758.63</v>
      </c>
      <c r="G760" s="31">
        <v>3574771.6633021142</v>
      </c>
      <c r="I760" s="48">
        <v>66323</v>
      </c>
      <c r="J760" s="51">
        <v>8.2600224999999999E-2</v>
      </c>
    </row>
    <row r="761" spans="1:10" x14ac:dyDescent="0.25">
      <c r="A761">
        <v>759</v>
      </c>
      <c r="B761" t="s">
        <v>1483</v>
      </c>
      <c r="C761" t="s">
        <v>1484</v>
      </c>
      <c r="D761" s="1">
        <v>11942</v>
      </c>
      <c r="E761" s="4" t="s">
        <v>8</v>
      </c>
      <c r="F761" s="44">
        <v>18054.93</v>
      </c>
      <c r="G761" s="31">
        <v>1193482.6408624421</v>
      </c>
      <c r="I761" s="48">
        <v>66354</v>
      </c>
      <c r="J761" s="51">
        <v>8.2583297E-2</v>
      </c>
    </row>
    <row r="762" spans="1:10" x14ac:dyDescent="0.25">
      <c r="A762">
        <v>760</v>
      </c>
      <c r="B762" t="s">
        <v>1485</v>
      </c>
      <c r="C762" t="s">
        <v>1486</v>
      </c>
      <c r="D762" s="1">
        <v>11382</v>
      </c>
      <c r="E762" s="4" t="s">
        <v>8</v>
      </c>
      <c r="F762" s="44">
        <v>19060.36</v>
      </c>
      <c r="G762" s="31">
        <v>1213428.572494807</v>
      </c>
      <c r="I762" s="48">
        <v>66384</v>
      </c>
      <c r="J762" s="51">
        <v>8.2566957999999996E-2</v>
      </c>
    </row>
    <row r="763" spans="1:10" x14ac:dyDescent="0.25">
      <c r="A763">
        <v>761</v>
      </c>
      <c r="B763" t="s">
        <v>1487</v>
      </c>
      <c r="C763" t="s">
        <v>1488</v>
      </c>
      <c r="D763" s="1">
        <v>15124</v>
      </c>
      <c r="E763" s="4" t="s">
        <v>11</v>
      </c>
      <c r="F763" s="44">
        <v>23850.34</v>
      </c>
      <c r="G763" s="31">
        <v>2021264.5744427459</v>
      </c>
      <c r="I763" s="48">
        <v>66415</v>
      </c>
      <c r="J763" s="51">
        <v>8.2550118000000006E-2</v>
      </c>
    </row>
    <row r="764" spans="1:10" x14ac:dyDescent="0.25">
      <c r="A764">
        <v>762</v>
      </c>
      <c r="B764" t="s">
        <v>1489</v>
      </c>
      <c r="C764" t="s">
        <v>1490</v>
      </c>
      <c r="D764" s="1">
        <v>10141</v>
      </c>
      <c r="E764" s="4" t="s">
        <v>11</v>
      </c>
      <c r="F764" s="44">
        <v>23873.02</v>
      </c>
      <c r="G764" s="31">
        <v>882569.84225962439</v>
      </c>
      <c r="I764" s="48">
        <v>66445</v>
      </c>
      <c r="J764" s="51">
        <v>8.2533864999999998E-2</v>
      </c>
    </row>
    <row r="765" spans="1:10" x14ac:dyDescent="0.25">
      <c r="A765">
        <v>763</v>
      </c>
      <c r="B765" t="s">
        <v>1491</v>
      </c>
      <c r="C765" t="s">
        <v>1492</v>
      </c>
      <c r="D765" s="1">
        <v>19280</v>
      </c>
      <c r="E765" s="4" t="s">
        <v>11</v>
      </c>
      <c r="F765" s="44">
        <v>15674.45</v>
      </c>
      <c r="G765" s="31">
        <v>2104203.5420984235</v>
      </c>
      <c r="I765" s="48">
        <v>66476</v>
      </c>
      <c r="J765" s="51">
        <v>8.2517115000000002E-2</v>
      </c>
    </row>
    <row r="766" spans="1:10" x14ac:dyDescent="0.25">
      <c r="A766">
        <v>764</v>
      </c>
      <c r="B766" t="s">
        <v>1493</v>
      </c>
      <c r="C766" t="s">
        <v>1494</v>
      </c>
      <c r="D766" s="1">
        <v>13766</v>
      </c>
      <c r="E766" s="4" t="s">
        <v>11</v>
      </c>
      <c r="F766" s="44">
        <v>23360.71</v>
      </c>
      <c r="G766" s="31">
        <v>1557341.1585940183</v>
      </c>
      <c r="I766" s="48">
        <v>66507</v>
      </c>
      <c r="J766" s="51">
        <v>8.2500408999999997E-2</v>
      </c>
    </row>
    <row r="767" spans="1:10" x14ac:dyDescent="0.25">
      <c r="A767">
        <v>765</v>
      </c>
      <c r="B767" t="s">
        <v>1495</v>
      </c>
      <c r="C767" t="s">
        <v>1496</v>
      </c>
      <c r="D767" s="1">
        <v>8374</v>
      </c>
      <c r="E767" s="4" t="s">
        <v>11</v>
      </c>
      <c r="F767" s="44">
        <v>17829.27</v>
      </c>
      <c r="G767" s="31">
        <v>516477.43262488756</v>
      </c>
      <c r="I767" s="48">
        <v>66535</v>
      </c>
      <c r="J767" s="51">
        <v>8.2485357999999995E-2</v>
      </c>
    </row>
    <row r="768" spans="1:10" x14ac:dyDescent="0.25">
      <c r="A768">
        <v>766</v>
      </c>
      <c r="B768" t="s">
        <v>1497</v>
      </c>
      <c r="C768" t="s">
        <v>1498</v>
      </c>
      <c r="D768" s="1">
        <v>7783</v>
      </c>
      <c r="E768" s="4" t="s">
        <v>8</v>
      </c>
      <c r="F768" s="44">
        <v>20847.38</v>
      </c>
      <c r="G768" s="31">
        <v>826157.95734873461</v>
      </c>
      <c r="I768" s="48">
        <v>66566</v>
      </c>
      <c r="J768" s="51">
        <v>8.2468736000000001E-2</v>
      </c>
    </row>
    <row r="769" spans="1:10" x14ac:dyDescent="0.25">
      <c r="A769">
        <v>767</v>
      </c>
      <c r="B769" t="s">
        <v>1499</v>
      </c>
      <c r="C769" t="s">
        <v>1500</v>
      </c>
      <c r="D769" s="1">
        <v>19793</v>
      </c>
      <c r="E769" s="4" t="s">
        <v>8</v>
      </c>
      <c r="F769" s="44">
        <v>16661.09</v>
      </c>
      <c r="G769" s="31">
        <v>2582320.5481549157</v>
      </c>
      <c r="I769" s="48">
        <v>66596</v>
      </c>
      <c r="J769" s="51">
        <v>8.2452692999999994E-2</v>
      </c>
    </row>
    <row r="770" spans="1:10" x14ac:dyDescent="0.25">
      <c r="A770">
        <v>768</v>
      </c>
      <c r="B770" t="s">
        <v>1028</v>
      </c>
      <c r="C770" t="s">
        <v>1501</v>
      </c>
      <c r="D770" s="1">
        <v>12713</v>
      </c>
      <c r="E770" s="4" t="s">
        <v>11</v>
      </c>
      <c r="F770" s="44">
        <v>19832.88</v>
      </c>
      <c r="G770" s="31">
        <v>1130109.7975030907</v>
      </c>
      <c r="I770" s="48">
        <v>66627</v>
      </c>
      <c r="J770" s="51">
        <v>8.2436157999999995E-2</v>
      </c>
    </row>
    <row r="771" spans="1:10" x14ac:dyDescent="0.25">
      <c r="A771">
        <v>769</v>
      </c>
      <c r="B771" t="s">
        <v>1502</v>
      </c>
      <c r="C771" t="s">
        <v>1503</v>
      </c>
      <c r="D771" s="1">
        <v>15726</v>
      </c>
      <c r="E771" s="4" t="s">
        <v>11</v>
      </c>
      <c r="F771" s="44">
        <v>21094.3</v>
      </c>
      <c r="G771" s="31">
        <v>1905605.0312548829</v>
      </c>
      <c r="I771" s="48">
        <v>66657</v>
      </c>
      <c r="J771" s="51">
        <v>8.2420199E-2</v>
      </c>
    </row>
    <row r="772" spans="1:10" x14ac:dyDescent="0.25">
      <c r="A772">
        <v>770</v>
      </c>
      <c r="B772" t="s">
        <v>1504</v>
      </c>
      <c r="C772" t="s">
        <v>1505</v>
      </c>
      <c r="D772" s="1">
        <v>14770</v>
      </c>
      <c r="E772" s="4" t="s">
        <v>11</v>
      </c>
      <c r="F772" s="44">
        <v>21603.9</v>
      </c>
      <c r="G772" s="31">
        <v>1749171.5612228811</v>
      </c>
      <c r="I772" s="48">
        <v>66688</v>
      </c>
      <c r="J772" s="51">
        <v>8.2403749999999998E-2</v>
      </c>
    </row>
    <row r="773" spans="1:10" x14ac:dyDescent="0.25">
      <c r="A773">
        <v>771</v>
      </c>
      <c r="B773" t="s">
        <v>1506</v>
      </c>
      <c r="C773" t="s">
        <v>1507</v>
      </c>
      <c r="D773" s="1">
        <v>18055</v>
      </c>
      <c r="E773" s="4" t="s">
        <v>11</v>
      </c>
      <c r="F773" s="44">
        <v>19556.689999999999</v>
      </c>
      <c r="G773" s="31">
        <v>2348073.0244155005</v>
      </c>
      <c r="I773" s="48">
        <v>66719</v>
      </c>
      <c r="J773" s="51">
        <v>8.2387345000000001E-2</v>
      </c>
    </row>
    <row r="774" spans="1:10" x14ac:dyDescent="0.25">
      <c r="A774">
        <v>772</v>
      </c>
      <c r="B774" t="s">
        <v>1508</v>
      </c>
      <c r="C774" t="s">
        <v>1509</v>
      </c>
      <c r="D774" s="1">
        <v>17762</v>
      </c>
      <c r="E774" s="4" t="s">
        <v>11</v>
      </c>
      <c r="F774" s="44">
        <v>19176.45</v>
      </c>
      <c r="G774" s="31">
        <v>2195630.1144082802</v>
      </c>
      <c r="I774" s="48">
        <v>66749</v>
      </c>
      <c r="J774" s="51">
        <v>8.2371510999999994E-2</v>
      </c>
    </row>
    <row r="775" spans="1:10" x14ac:dyDescent="0.25">
      <c r="A775">
        <v>773</v>
      </c>
      <c r="B775" t="s">
        <v>1510</v>
      </c>
      <c r="C775" t="s">
        <v>1511</v>
      </c>
      <c r="D775" s="1">
        <v>11546</v>
      </c>
      <c r="E775" s="4" t="s">
        <v>11</v>
      </c>
      <c r="F775" s="44">
        <v>18447.099999999999</v>
      </c>
      <c r="G775" s="31">
        <v>843191.74898013542</v>
      </c>
      <c r="I775" s="48">
        <v>66780</v>
      </c>
      <c r="J775" s="51">
        <v>8.2355190999999994E-2</v>
      </c>
    </row>
    <row r="776" spans="1:10" x14ac:dyDescent="0.25">
      <c r="A776">
        <v>774</v>
      </c>
      <c r="B776" t="s">
        <v>1512</v>
      </c>
      <c r="C776" t="s">
        <v>1513</v>
      </c>
      <c r="D776" s="1">
        <v>19567</v>
      </c>
      <c r="E776" s="4" t="s">
        <v>11</v>
      </c>
      <c r="F776" s="44">
        <v>25942.83</v>
      </c>
      <c r="G776" s="31">
        <v>3567763.7083975421</v>
      </c>
      <c r="I776" s="48">
        <v>66810</v>
      </c>
      <c r="J776" s="51">
        <v>8.2339439E-2</v>
      </c>
    </row>
    <row r="777" spans="1:10" x14ac:dyDescent="0.25">
      <c r="A777">
        <v>775</v>
      </c>
      <c r="B777" t="s">
        <v>1514</v>
      </c>
      <c r="C777" t="s">
        <v>1515</v>
      </c>
      <c r="D777" s="1">
        <v>10736</v>
      </c>
      <c r="E777" s="4" t="s">
        <v>8</v>
      </c>
      <c r="F777" s="44">
        <v>21866.71</v>
      </c>
      <c r="G777" s="31">
        <v>1305549.9141436305</v>
      </c>
      <c r="I777" s="48">
        <v>66841</v>
      </c>
      <c r="J777" s="51">
        <v>8.2323202999999998E-2</v>
      </c>
    </row>
    <row r="778" spans="1:10" x14ac:dyDescent="0.25">
      <c r="A778">
        <v>776</v>
      </c>
      <c r="B778" t="s">
        <v>1516</v>
      </c>
      <c r="C778" t="s">
        <v>1517</v>
      </c>
      <c r="D778" s="1">
        <v>8063</v>
      </c>
      <c r="E778" s="4" t="s">
        <v>11</v>
      </c>
      <c r="F778" s="44">
        <v>18646.240000000002</v>
      </c>
      <c r="G778" s="31">
        <v>535867.87669219065</v>
      </c>
      <c r="I778" s="48">
        <v>66872</v>
      </c>
      <c r="J778" s="51">
        <v>8.230701E-2</v>
      </c>
    </row>
    <row r="779" spans="1:10" x14ac:dyDescent="0.25">
      <c r="A779">
        <v>777</v>
      </c>
      <c r="B779" t="s">
        <v>1518</v>
      </c>
      <c r="C779" t="s">
        <v>1519</v>
      </c>
      <c r="D779" s="1">
        <v>15631</v>
      </c>
      <c r="E779" s="4" t="s">
        <v>8</v>
      </c>
      <c r="F779" s="44">
        <v>20408.5</v>
      </c>
      <c r="G779" s="31">
        <v>2166327.263974566</v>
      </c>
      <c r="I779" s="48">
        <v>66900</v>
      </c>
      <c r="J779" s="51">
        <v>8.2292421000000004E-2</v>
      </c>
    </row>
    <row r="780" spans="1:10" x14ac:dyDescent="0.25">
      <c r="A780">
        <v>778</v>
      </c>
      <c r="B780" t="s">
        <v>1520</v>
      </c>
      <c r="C780" t="s">
        <v>1521</v>
      </c>
      <c r="D780" s="1">
        <v>14239</v>
      </c>
      <c r="E780" s="4" t="s">
        <v>11</v>
      </c>
      <c r="F780" s="44">
        <v>19862.48</v>
      </c>
      <c r="G780" s="31">
        <v>1453308.4893259646</v>
      </c>
      <c r="I780" s="48">
        <v>66931</v>
      </c>
      <c r="J780" s="51">
        <v>8.2276309000000006E-2</v>
      </c>
    </row>
    <row r="781" spans="1:10" x14ac:dyDescent="0.25">
      <c r="A781">
        <v>779</v>
      </c>
      <c r="B781" t="s">
        <v>1522</v>
      </c>
      <c r="C781" t="s">
        <v>1523</v>
      </c>
      <c r="D781" s="1">
        <v>9261</v>
      </c>
      <c r="E781" s="4" t="s">
        <v>8</v>
      </c>
      <c r="F781" s="44">
        <v>20621.580000000002</v>
      </c>
      <c r="G781" s="31">
        <v>1005426.1720341024</v>
      </c>
      <c r="I781" s="48">
        <v>66961</v>
      </c>
      <c r="J781" s="51">
        <v>8.2260757000000004E-2</v>
      </c>
    </row>
    <row r="782" spans="1:10" x14ac:dyDescent="0.25">
      <c r="A782">
        <v>780</v>
      </c>
      <c r="B782" t="s">
        <v>1159</v>
      </c>
      <c r="C782" t="s">
        <v>1524</v>
      </c>
      <c r="D782" s="1">
        <v>21109</v>
      </c>
      <c r="E782" s="4" t="s">
        <v>8</v>
      </c>
      <c r="F782" s="44">
        <v>21897.55</v>
      </c>
      <c r="G782" s="31">
        <v>3692602.9563706592</v>
      </c>
      <c r="I782" s="48">
        <v>66992</v>
      </c>
      <c r="J782" s="51">
        <v>8.2244728000000003E-2</v>
      </c>
    </row>
    <row r="783" spans="1:10" x14ac:dyDescent="0.25">
      <c r="A783">
        <v>781</v>
      </c>
      <c r="B783" t="s">
        <v>1525</v>
      </c>
      <c r="C783" t="s">
        <v>1526</v>
      </c>
      <c r="D783" s="1">
        <v>17106</v>
      </c>
      <c r="E783" s="4" t="s">
        <v>11</v>
      </c>
      <c r="F783" s="44">
        <v>24360.38</v>
      </c>
      <c r="G783" s="31">
        <v>2597111.9023544872</v>
      </c>
      <c r="I783" s="48">
        <v>67022</v>
      </c>
      <c r="J783" s="51">
        <v>8.2229256000000001E-2</v>
      </c>
    </row>
    <row r="784" spans="1:10" x14ac:dyDescent="0.25">
      <c r="A784">
        <v>782</v>
      </c>
      <c r="B784" t="s">
        <v>1527</v>
      </c>
      <c r="C784" t="s">
        <v>1528</v>
      </c>
      <c r="D784" s="1">
        <v>14865</v>
      </c>
      <c r="E784" s="4" t="s">
        <v>11</v>
      </c>
      <c r="F784" s="44">
        <v>16325.28</v>
      </c>
      <c r="G784" s="31">
        <v>1286130.3580208635</v>
      </c>
      <c r="I784" s="48">
        <v>67053</v>
      </c>
      <c r="J784" s="51">
        <v>8.2213308999999998E-2</v>
      </c>
    </row>
    <row r="785" spans="1:10" x14ac:dyDescent="0.25">
      <c r="A785">
        <v>783</v>
      </c>
      <c r="B785" t="s">
        <v>1529</v>
      </c>
      <c r="C785" t="s">
        <v>1530</v>
      </c>
      <c r="D785" s="1">
        <v>10196</v>
      </c>
      <c r="E785" s="4" t="s">
        <v>11</v>
      </c>
      <c r="F785" s="44">
        <v>19534.2</v>
      </c>
      <c r="G785" s="31">
        <v>748376.04561829974</v>
      </c>
      <c r="I785" s="48">
        <v>67084</v>
      </c>
      <c r="J785" s="51">
        <v>8.2197403000000002E-2</v>
      </c>
    </row>
    <row r="786" spans="1:10" x14ac:dyDescent="0.25">
      <c r="A786">
        <v>784</v>
      </c>
      <c r="B786" t="s">
        <v>1531</v>
      </c>
      <c r="C786" t="s">
        <v>1532</v>
      </c>
      <c r="D786" s="1">
        <v>15844</v>
      </c>
      <c r="E786" s="4" t="s">
        <v>11</v>
      </c>
      <c r="F786" s="44">
        <v>22849.599999999999</v>
      </c>
      <c r="G786" s="31">
        <v>2122932.936069238</v>
      </c>
      <c r="I786" s="48">
        <v>67114</v>
      </c>
      <c r="J786" s="51">
        <v>8.2182050000000006E-2</v>
      </c>
    </row>
    <row r="787" spans="1:10" x14ac:dyDescent="0.25">
      <c r="A787">
        <v>785</v>
      </c>
      <c r="B787" t="s">
        <v>1533</v>
      </c>
      <c r="C787" t="s">
        <v>1534</v>
      </c>
      <c r="D787" s="1">
        <v>20489</v>
      </c>
      <c r="E787" s="4" t="s">
        <v>11</v>
      </c>
      <c r="F787" s="44">
        <v>17589.71</v>
      </c>
      <c r="G787" s="31">
        <v>2629380.1319041457</v>
      </c>
      <c r="I787" s="48">
        <v>67145</v>
      </c>
      <c r="J787" s="51">
        <v>8.2166225999999995E-2</v>
      </c>
    </row>
    <row r="788" spans="1:10" x14ac:dyDescent="0.25">
      <c r="A788">
        <v>786</v>
      </c>
      <c r="B788" t="s">
        <v>1535</v>
      </c>
      <c r="C788" t="s">
        <v>1536</v>
      </c>
      <c r="D788" s="1">
        <v>20881</v>
      </c>
      <c r="E788" s="4" t="s">
        <v>8</v>
      </c>
      <c r="F788" s="44">
        <v>17790.509999999998</v>
      </c>
      <c r="G788" s="31">
        <v>2963543.490878114</v>
      </c>
      <c r="I788" s="48">
        <v>67175</v>
      </c>
      <c r="J788" s="51">
        <v>8.2150951999999999E-2</v>
      </c>
    </row>
    <row r="789" spans="1:10" x14ac:dyDescent="0.25">
      <c r="A789">
        <v>787</v>
      </c>
      <c r="B789" t="s">
        <v>1537</v>
      </c>
      <c r="C789" t="s">
        <v>1538</v>
      </c>
      <c r="D789" s="1">
        <v>10741</v>
      </c>
      <c r="E789" s="4" t="s">
        <v>8</v>
      </c>
      <c r="F789" s="44">
        <v>13260</v>
      </c>
      <c r="G789" s="31">
        <v>793234.64682131924</v>
      </c>
      <c r="I789" s="48">
        <v>67206</v>
      </c>
      <c r="J789" s="51">
        <v>8.2135208000000001E-2</v>
      </c>
    </row>
    <row r="790" spans="1:10" x14ac:dyDescent="0.25">
      <c r="A790">
        <v>788</v>
      </c>
      <c r="B790" t="s">
        <v>1007</v>
      </c>
      <c r="C790" t="s">
        <v>1539</v>
      </c>
      <c r="D790" s="1">
        <v>10582</v>
      </c>
      <c r="E790" s="4" t="s">
        <v>8</v>
      </c>
      <c r="F790" s="44">
        <v>24906.48</v>
      </c>
      <c r="G790" s="31">
        <v>1392724.2046251814</v>
      </c>
      <c r="I790" s="48">
        <v>67237</v>
      </c>
      <c r="J790" s="51">
        <v>8.2119504999999995E-2</v>
      </c>
    </row>
    <row r="791" spans="1:10" x14ac:dyDescent="0.25">
      <c r="A791">
        <v>789</v>
      </c>
      <c r="B791" t="s">
        <v>1540</v>
      </c>
      <c r="C791" t="s">
        <v>1541</v>
      </c>
      <c r="D791" s="1">
        <v>18211</v>
      </c>
      <c r="E791" s="4" t="s">
        <v>8</v>
      </c>
      <c r="F791" s="44">
        <v>20931.23</v>
      </c>
      <c r="G791" s="31">
        <v>2859735.1849964946</v>
      </c>
      <c r="I791" s="48">
        <v>67266</v>
      </c>
      <c r="J791" s="51">
        <v>8.2104852000000006E-2</v>
      </c>
    </row>
    <row r="792" spans="1:10" x14ac:dyDescent="0.25">
      <c r="A792">
        <v>790</v>
      </c>
      <c r="B792" t="s">
        <v>1542</v>
      </c>
      <c r="C792" t="s">
        <v>1543</v>
      </c>
      <c r="D792" s="1">
        <v>8899</v>
      </c>
      <c r="E792" s="4" t="s">
        <v>8</v>
      </c>
      <c r="F792" s="44">
        <v>16042.85</v>
      </c>
      <c r="G792" s="31">
        <v>745648.22208053677</v>
      </c>
      <c r="I792" s="48">
        <v>67297</v>
      </c>
      <c r="J792" s="51">
        <v>8.2089228E-2</v>
      </c>
    </row>
    <row r="793" spans="1:10" x14ac:dyDescent="0.25">
      <c r="A793">
        <v>791</v>
      </c>
      <c r="B793" t="s">
        <v>1544</v>
      </c>
      <c r="C793" t="s">
        <v>1545</v>
      </c>
      <c r="D793" s="1">
        <v>12283</v>
      </c>
      <c r="E793" s="4" t="s">
        <v>8</v>
      </c>
      <c r="F793" s="44">
        <v>16934.849999999999</v>
      </c>
      <c r="G793" s="31">
        <v>1168247.2718059914</v>
      </c>
      <c r="I793" s="48">
        <v>67327</v>
      </c>
      <c r="J793" s="51">
        <v>8.2074146000000001E-2</v>
      </c>
    </row>
    <row r="794" spans="1:10" x14ac:dyDescent="0.25">
      <c r="A794">
        <v>792</v>
      </c>
      <c r="B794" t="s">
        <v>1546</v>
      </c>
      <c r="C794" t="s">
        <v>1547</v>
      </c>
      <c r="D794" s="1">
        <v>10283</v>
      </c>
      <c r="E794" s="4" t="s">
        <v>8</v>
      </c>
      <c r="F794" s="44">
        <v>19159.54</v>
      </c>
      <c r="G794" s="31">
        <v>1048595.89738542</v>
      </c>
      <c r="I794" s="48">
        <v>67358</v>
      </c>
      <c r="J794" s="51">
        <v>8.2058600999999995E-2</v>
      </c>
    </row>
    <row r="795" spans="1:10" x14ac:dyDescent="0.25">
      <c r="A795">
        <v>793</v>
      </c>
      <c r="B795" t="s">
        <v>1548</v>
      </c>
      <c r="C795" t="s">
        <v>1549</v>
      </c>
      <c r="D795" s="1">
        <v>18030</v>
      </c>
      <c r="E795" s="4" t="s">
        <v>8</v>
      </c>
      <c r="F795" s="44">
        <v>19906.79</v>
      </c>
      <c r="G795" s="31">
        <v>2696610.0561742689</v>
      </c>
      <c r="I795" s="48">
        <v>67388</v>
      </c>
      <c r="J795" s="51">
        <v>8.2043594999999997E-2</v>
      </c>
    </row>
    <row r="796" spans="1:10" x14ac:dyDescent="0.25">
      <c r="A796">
        <v>794</v>
      </c>
      <c r="B796" t="s">
        <v>1550</v>
      </c>
      <c r="C796" t="s">
        <v>1551</v>
      </c>
      <c r="D796" s="1">
        <v>17333</v>
      </c>
      <c r="E796" s="4" t="s">
        <v>8</v>
      </c>
      <c r="F796" s="44">
        <v>23891.32</v>
      </c>
      <c r="G796" s="31">
        <v>3049843.520405794</v>
      </c>
      <c r="I796" s="48">
        <v>67419</v>
      </c>
      <c r="J796" s="51">
        <v>8.2028128000000006E-2</v>
      </c>
    </row>
    <row r="797" spans="1:10" x14ac:dyDescent="0.25">
      <c r="A797">
        <v>795</v>
      </c>
      <c r="B797" t="s">
        <v>1552</v>
      </c>
      <c r="C797" t="s">
        <v>1553</v>
      </c>
      <c r="D797" s="1">
        <v>11277</v>
      </c>
      <c r="E797" s="4" t="s">
        <v>11</v>
      </c>
      <c r="F797" s="44">
        <v>22840.48</v>
      </c>
      <c r="G797" s="31">
        <v>1039395.5096350003</v>
      </c>
      <c r="I797" s="48">
        <v>67450</v>
      </c>
      <c r="J797" s="51">
        <v>8.2012700999999993E-2</v>
      </c>
    </row>
    <row r="798" spans="1:10" x14ac:dyDescent="0.25">
      <c r="A798">
        <v>796</v>
      </c>
      <c r="B798" t="s">
        <v>1554</v>
      </c>
      <c r="C798" t="s">
        <v>1555</v>
      </c>
      <c r="D798" s="1">
        <v>7684</v>
      </c>
      <c r="E798" s="4" t="s">
        <v>8</v>
      </c>
      <c r="F798" s="44">
        <v>18479.11</v>
      </c>
      <c r="G798" s="31">
        <v>686947.32487297733</v>
      </c>
      <c r="I798" s="48">
        <v>67480</v>
      </c>
      <c r="J798" s="51">
        <v>8.1997809000000005E-2</v>
      </c>
    </row>
    <row r="799" spans="1:10" x14ac:dyDescent="0.25">
      <c r="A799">
        <v>797</v>
      </c>
      <c r="B799" t="s">
        <v>1556</v>
      </c>
      <c r="C799" t="s">
        <v>1557</v>
      </c>
      <c r="D799" s="1">
        <v>7386</v>
      </c>
      <c r="E799" s="4" t="s">
        <v>11</v>
      </c>
      <c r="F799" s="44">
        <v>21571.61</v>
      </c>
      <c r="G799" s="31">
        <v>588689.31550547585</v>
      </c>
      <c r="I799" s="48">
        <v>67511</v>
      </c>
      <c r="J799" s="51">
        <v>8.1982459999999993E-2</v>
      </c>
    </row>
    <row r="800" spans="1:10" x14ac:dyDescent="0.25">
      <c r="A800">
        <v>798</v>
      </c>
      <c r="B800" t="s">
        <v>1558</v>
      </c>
      <c r="C800" t="s">
        <v>1559</v>
      </c>
      <c r="D800" s="1">
        <v>6806</v>
      </c>
      <c r="E800" s="4" t="s">
        <v>11</v>
      </c>
      <c r="F800" s="44">
        <v>21879.759999999998</v>
      </c>
      <c r="G800" s="31">
        <v>446382.10932399804</v>
      </c>
      <c r="I800" s="48">
        <v>67541</v>
      </c>
      <c r="J800" s="51">
        <v>8.1967643000000007E-2</v>
      </c>
    </row>
    <row r="801" spans="1:10" x14ac:dyDescent="0.25">
      <c r="A801">
        <v>799</v>
      </c>
      <c r="B801" t="s">
        <v>1560</v>
      </c>
      <c r="C801" t="s">
        <v>1561</v>
      </c>
      <c r="D801" s="1">
        <v>17340</v>
      </c>
      <c r="E801" s="4" t="s">
        <v>11</v>
      </c>
      <c r="F801" s="44">
        <v>17933.14</v>
      </c>
      <c r="G801" s="31">
        <v>1995770.2164514973</v>
      </c>
      <c r="I801" s="48">
        <v>67572</v>
      </c>
      <c r="J801" s="51">
        <v>8.1952370999999996E-2</v>
      </c>
    </row>
    <row r="802" spans="1:10" x14ac:dyDescent="0.25">
      <c r="A802">
        <v>800</v>
      </c>
      <c r="B802" t="s">
        <v>1562</v>
      </c>
      <c r="C802" t="s">
        <v>1563</v>
      </c>
      <c r="D802" s="1">
        <v>9527</v>
      </c>
      <c r="E802" s="4" t="s">
        <v>11</v>
      </c>
      <c r="F802" s="44">
        <v>14727.82</v>
      </c>
      <c r="G802" s="31">
        <v>526479.06509136839</v>
      </c>
      <c r="I802" s="48">
        <v>67603</v>
      </c>
      <c r="J802" s="51">
        <v>8.1937136999999993E-2</v>
      </c>
    </row>
    <row r="803" spans="1:10" x14ac:dyDescent="0.25">
      <c r="A803">
        <v>801</v>
      </c>
      <c r="B803" t="s">
        <v>1564</v>
      </c>
      <c r="C803" t="s">
        <v>1565</v>
      </c>
      <c r="D803" s="1">
        <v>16268</v>
      </c>
      <c r="E803" s="4" t="s">
        <v>11</v>
      </c>
      <c r="F803" s="44">
        <v>14242.98</v>
      </c>
      <c r="G803" s="31">
        <v>1354430.1747492249</v>
      </c>
      <c r="I803" s="48">
        <v>67631</v>
      </c>
      <c r="J803" s="51">
        <v>8.1923411000000002E-2</v>
      </c>
    </row>
    <row r="804" spans="1:10" x14ac:dyDescent="0.25">
      <c r="A804">
        <v>802</v>
      </c>
      <c r="B804" t="s">
        <v>1566</v>
      </c>
      <c r="C804" t="s">
        <v>1567</v>
      </c>
      <c r="D804" s="1">
        <v>6799</v>
      </c>
      <c r="E804" s="4" t="s">
        <v>8</v>
      </c>
      <c r="F804" s="44">
        <v>16370.64</v>
      </c>
      <c r="G804" s="31">
        <v>479431.26274269086</v>
      </c>
      <c r="I804" s="48">
        <v>67662</v>
      </c>
      <c r="J804" s="51">
        <v>8.1908252000000001E-2</v>
      </c>
    </row>
    <row r="805" spans="1:10" x14ac:dyDescent="0.25">
      <c r="A805">
        <v>803</v>
      </c>
      <c r="B805" t="s">
        <v>1568</v>
      </c>
      <c r="C805" t="s">
        <v>1393</v>
      </c>
      <c r="D805" s="1">
        <v>13594</v>
      </c>
      <c r="E805" s="4" t="s">
        <v>11</v>
      </c>
      <c r="F805" s="44">
        <v>15198.36</v>
      </c>
      <c r="G805" s="31">
        <v>1029120.0847514943</v>
      </c>
      <c r="I805" s="48">
        <v>67692</v>
      </c>
      <c r="J805" s="51">
        <v>8.1893617000000002E-2</v>
      </c>
    </row>
    <row r="806" spans="1:10" x14ac:dyDescent="0.25">
      <c r="A806">
        <v>804</v>
      </c>
      <c r="B806" t="s">
        <v>1569</v>
      </c>
      <c r="C806" t="s">
        <v>1570</v>
      </c>
      <c r="D806" s="1">
        <v>13911</v>
      </c>
      <c r="E806" s="4" t="s">
        <v>8</v>
      </c>
      <c r="F806" s="44">
        <v>22497.65</v>
      </c>
      <c r="G806" s="31">
        <v>1977578.0526546158</v>
      </c>
      <c r="I806" s="48">
        <v>67723</v>
      </c>
      <c r="J806" s="51">
        <v>8.1878533000000003E-2</v>
      </c>
    </row>
    <row r="807" spans="1:10" x14ac:dyDescent="0.25">
      <c r="A807">
        <v>805</v>
      </c>
      <c r="B807" t="s">
        <v>1571</v>
      </c>
      <c r="C807" t="s">
        <v>1572</v>
      </c>
      <c r="D807" s="1">
        <v>19153</v>
      </c>
      <c r="E807" s="4" t="s">
        <v>8</v>
      </c>
      <c r="F807" s="44">
        <v>18921.18</v>
      </c>
      <c r="G807" s="31">
        <v>2805139.5046341131</v>
      </c>
      <c r="I807" s="48">
        <v>67753</v>
      </c>
      <c r="J807" s="51">
        <v>8.1863971999999993E-2</v>
      </c>
    </row>
    <row r="808" spans="1:10" x14ac:dyDescent="0.25">
      <c r="A808">
        <v>806</v>
      </c>
      <c r="B808" t="s">
        <v>1573</v>
      </c>
      <c r="C808" t="s">
        <v>1574</v>
      </c>
      <c r="D808" s="1">
        <v>9244</v>
      </c>
      <c r="E808" s="4" t="s">
        <v>11</v>
      </c>
      <c r="F808" s="44">
        <v>19419.27</v>
      </c>
      <c r="G808" s="31">
        <v>696788.59437556006</v>
      </c>
      <c r="I808" s="48">
        <v>67784</v>
      </c>
      <c r="J808" s="51">
        <v>8.1848962999999997E-2</v>
      </c>
    </row>
    <row r="809" spans="1:10" x14ac:dyDescent="0.25">
      <c r="A809">
        <v>807</v>
      </c>
      <c r="B809" t="s">
        <v>1575</v>
      </c>
      <c r="C809" t="s">
        <v>1576</v>
      </c>
      <c r="D809" s="1">
        <v>7926</v>
      </c>
      <c r="E809" s="4" t="s">
        <v>8</v>
      </c>
      <c r="F809" s="44">
        <v>19087.47</v>
      </c>
      <c r="G809" s="31">
        <v>684340.51964351919</v>
      </c>
      <c r="I809" s="48">
        <v>67815</v>
      </c>
      <c r="J809" s="51">
        <v>8.1833991999999994E-2</v>
      </c>
    </row>
    <row r="810" spans="1:10" x14ac:dyDescent="0.25">
      <c r="A810">
        <v>808</v>
      </c>
      <c r="B810" t="s">
        <v>1041</v>
      </c>
      <c r="C810" t="s">
        <v>1577</v>
      </c>
      <c r="D810" s="1">
        <v>7461</v>
      </c>
      <c r="E810" s="4" t="s">
        <v>11</v>
      </c>
      <c r="F810" s="44">
        <v>22166.62</v>
      </c>
      <c r="G810" s="31">
        <v>642568.26642612391</v>
      </c>
      <c r="I810" s="48">
        <v>67845</v>
      </c>
      <c r="J810" s="51">
        <v>8.1819539999999996E-2</v>
      </c>
    </row>
    <row r="811" spans="1:10" x14ac:dyDescent="0.25">
      <c r="A811">
        <v>809</v>
      </c>
      <c r="B811" t="s">
        <v>1578</v>
      </c>
      <c r="C811" t="s">
        <v>1579</v>
      </c>
      <c r="D811" s="1">
        <v>18091</v>
      </c>
      <c r="E811" s="4" t="s">
        <v>8</v>
      </c>
      <c r="F811" s="44">
        <v>18685.38</v>
      </c>
      <c r="G811" s="31">
        <v>2515244.5907318811</v>
      </c>
      <c r="I811" s="48">
        <v>67876</v>
      </c>
      <c r="J811" s="51">
        <v>8.1804642999999996E-2</v>
      </c>
    </row>
    <row r="812" spans="1:10" x14ac:dyDescent="0.25">
      <c r="A812">
        <v>810</v>
      </c>
      <c r="B812" t="s">
        <v>1580</v>
      </c>
      <c r="C812" t="s">
        <v>1581</v>
      </c>
      <c r="D812" s="1">
        <v>19906</v>
      </c>
      <c r="E812" s="4" t="s">
        <v>8</v>
      </c>
      <c r="F812" s="44">
        <v>20387.810000000001</v>
      </c>
      <c r="G812" s="31">
        <v>3168893.585417314</v>
      </c>
      <c r="I812" s="48">
        <v>67906</v>
      </c>
      <c r="J812" s="51">
        <v>8.1790262000000002E-2</v>
      </c>
    </row>
    <row r="813" spans="1:10" x14ac:dyDescent="0.25">
      <c r="A813">
        <v>811</v>
      </c>
      <c r="B813" t="s">
        <v>1582</v>
      </c>
      <c r="C813" t="s">
        <v>1583</v>
      </c>
      <c r="D813" s="1">
        <v>13693</v>
      </c>
      <c r="E813" s="4" t="s">
        <v>11</v>
      </c>
      <c r="F813" s="44">
        <v>21638.25</v>
      </c>
      <c r="G813" s="31">
        <v>1515361.589999412</v>
      </c>
      <c r="I813" s="48">
        <v>67937</v>
      </c>
      <c r="J813" s="51">
        <v>8.1775439000000005E-2</v>
      </c>
    </row>
    <row r="814" spans="1:10" x14ac:dyDescent="0.25">
      <c r="A814">
        <v>812</v>
      </c>
      <c r="B814" t="s">
        <v>1584</v>
      </c>
      <c r="C814" t="s">
        <v>1585</v>
      </c>
      <c r="D814" s="1">
        <v>20036</v>
      </c>
      <c r="E814" s="4" t="s">
        <v>8</v>
      </c>
      <c r="F814" s="44">
        <v>18021.93</v>
      </c>
      <c r="G814" s="31">
        <v>2834190.8821751024</v>
      </c>
      <c r="I814" s="48">
        <v>67968</v>
      </c>
      <c r="J814" s="51">
        <v>8.1760653000000003E-2</v>
      </c>
    </row>
    <row r="815" spans="1:10" x14ac:dyDescent="0.25">
      <c r="A815">
        <v>813</v>
      </c>
      <c r="B815" t="s">
        <v>1586</v>
      </c>
      <c r="C815" t="s">
        <v>1587</v>
      </c>
      <c r="D815" s="1">
        <v>20729</v>
      </c>
      <c r="E815" s="4" t="s">
        <v>8</v>
      </c>
      <c r="F815" s="44">
        <v>25198.16</v>
      </c>
      <c r="G815" s="31">
        <v>4148068.8266991046</v>
      </c>
      <c r="I815" s="48">
        <v>67996</v>
      </c>
      <c r="J815" s="51">
        <v>8.1747328999999994E-2</v>
      </c>
    </row>
    <row r="816" spans="1:10" x14ac:dyDescent="0.25">
      <c r="A816">
        <v>814</v>
      </c>
      <c r="B816" t="s">
        <v>1588</v>
      </c>
      <c r="C816" t="s">
        <v>1589</v>
      </c>
      <c r="D816" s="1">
        <v>14758</v>
      </c>
      <c r="E816" s="4" t="s">
        <v>11</v>
      </c>
      <c r="F816" s="44">
        <v>23522.61</v>
      </c>
      <c r="G816" s="31">
        <v>1898148.1068338077</v>
      </c>
      <c r="I816" s="48">
        <v>68027</v>
      </c>
      <c r="J816" s="51">
        <v>8.1732613999999995E-2</v>
      </c>
    </row>
    <row r="817" spans="1:10" x14ac:dyDescent="0.25">
      <c r="A817">
        <v>815</v>
      </c>
      <c r="B817" t="s">
        <v>1590</v>
      </c>
      <c r="C817" t="s">
        <v>1591</v>
      </c>
      <c r="D817" s="1">
        <v>13443</v>
      </c>
      <c r="E817" s="4" t="s">
        <v>11</v>
      </c>
      <c r="F817" s="44">
        <v>24726.400000000001</v>
      </c>
      <c r="G817" s="31">
        <v>1582034.3516702433</v>
      </c>
      <c r="I817" s="48">
        <v>68057</v>
      </c>
      <c r="J817" s="51">
        <v>8.1718408000000006E-2</v>
      </c>
    </row>
    <row r="818" spans="1:10" x14ac:dyDescent="0.25">
      <c r="A818">
        <v>816</v>
      </c>
      <c r="B818" t="s">
        <v>1592</v>
      </c>
      <c r="C818" t="s">
        <v>1593</v>
      </c>
      <c r="D818" s="1">
        <v>15102</v>
      </c>
      <c r="E818" s="4" t="s">
        <v>11</v>
      </c>
      <c r="F818" s="44">
        <v>20723.73</v>
      </c>
      <c r="G818" s="31">
        <v>1746278.8632398695</v>
      </c>
      <c r="I818" s="48">
        <v>68088</v>
      </c>
      <c r="J818" s="51">
        <v>8.1703763999999998E-2</v>
      </c>
    </row>
    <row r="819" spans="1:10" x14ac:dyDescent="0.25">
      <c r="A819">
        <v>817</v>
      </c>
      <c r="B819" t="s">
        <v>1594</v>
      </c>
      <c r="C819" t="s">
        <v>1595</v>
      </c>
      <c r="D819" s="1">
        <v>17203</v>
      </c>
      <c r="E819" s="4" t="s">
        <v>11</v>
      </c>
      <c r="F819" s="44">
        <v>14140.12</v>
      </c>
      <c r="G819" s="31">
        <v>1535599.0318014596</v>
      </c>
      <c r="I819" s="48">
        <v>68118</v>
      </c>
      <c r="J819" s="51">
        <v>8.1689628E-2</v>
      </c>
    </row>
    <row r="820" spans="1:10" x14ac:dyDescent="0.25">
      <c r="A820">
        <v>818</v>
      </c>
      <c r="B820" t="s">
        <v>1596</v>
      </c>
      <c r="C820" t="s">
        <v>1597</v>
      </c>
      <c r="D820" s="1">
        <v>11818</v>
      </c>
      <c r="E820" s="4" t="s">
        <v>11</v>
      </c>
      <c r="F820" s="44">
        <v>16299.51</v>
      </c>
      <c r="G820" s="31">
        <v>859785.44694205886</v>
      </c>
      <c r="I820" s="48">
        <v>68149</v>
      </c>
      <c r="J820" s="51">
        <v>8.1675056999999995E-2</v>
      </c>
    </row>
    <row r="821" spans="1:10" x14ac:dyDescent="0.25">
      <c r="A821">
        <v>819</v>
      </c>
      <c r="B821" t="s">
        <v>1598</v>
      </c>
      <c r="C821" t="s">
        <v>1599</v>
      </c>
      <c r="D821" s="1">
        <v>13900</v>
      </c>
      <c r="E821" s="4" t="s">
        <v>8</v>
      </c>
      <c r="F821" s="44">
        <v>14546.08</v>
      </c>
      <c r="G821" s="31">
        <v>1275612.0576215126</v>
      </c>
      <c r="I821" s="48">
        <v>68180</v>
      </c>
      <c r="J821" s="51">
        <v>8.1660521999999999E-2</v>
      </c>
    </row>
    <row r="822" spans="1:10" x14ac:dyDescent="0.25">
      <c r="A822">
        <v>820</v>
      </c>
      <c r="B822" t="s">
        <v>768</v>
      </c>
      <c r="C822" t="s">
        <v>1600</v>
      </c>
      <c r="D822" s="1">
        <v>18931</v>
      </c>
      <c r="E822" s="4" t="s">
        <v>11</v>
      </c>
      <c r="F822" s="44">
        <v>19298.509999999998</v>
      </c>
      <c r="G822" s="31">
        <v>2506977.8251266186</v>
      </c>
      <c r="I822" s="48">
        <v>68210</v>
      </c>
      <c r="J822" s="51">
        <v>8.1646490000000002E-2</v>
      </c>
    </row>
    <row r="823" spans="1:10" x14ac:dyDescent="0.25">
      <c r="A823">
        <v>821</v>
      </c>
      <c r="B823" t="s">
        <v>1601</v>
      </c>
      <c r="C823" t="s">
        <v>1602</v>
      </c>
      <c r="D823" s="1">
        <v>8245</v>
      </c>
      <c r="E823" s="4" t="s">
        <v>11</v>
      </c>
      <c r="F823" s="44">
        <v>16995.86</v>
      </c>
      <c r="G823" s="31">
        <v>428216.02796773426</v>
      </c>
      <c r="I823" s="48">
        <v>68241</v>
      </c>
      <c r="J823" s="51">
        <v>8.1632025999999996E-2</v>
      </c>
    </row>
    <row r="824" spans="1:10" x14ac:dyDescent="0.25">
      <c r="A824">
        <v>822</v>
      </c>
      <c r="B824" t="s">
        <v>1603</v>
      </c>
      <c r="C824" t="s">
        <v>1604</v>
      </c>
      <c r="D824" s="1">
        <v>20951</v>
      </c>
      <c r="E824" s="4" t="s">
        <v>11</v>
      </c>
      <c r="F824" s="44">
        <v>17651.12</v>
      </c>
      <c r="G824" s="31">
        <v>2738864.0400601765</v>
      </c>
      <c r="I824" s="48">
        <v>68271</v>
      </c>
      <c r="J824" s="51">
        <v>8.1618062000000005E-2</v>
      </c>
    </row>
    <row r="825" spans="1:10" x14ac:dyDescent="0.25">
      <c r="A825">
        <v>823</v>
      </c>
      <c r="B825" t="s">
        <v>477</v>
      </c>
      <c r="C825" t="s">
        <v>1605</v>
      </c>
      <c r="D825" s="1">
        <v>7793</v>
      </c>
      <c r="E825" s="4" t="s">
        <v>11</v>
      </c>
      <c r="F825" s="44">
        <v>16479.62</v>
      </c>
      <c r="G825" s="31">
        <v>488213.2363967846</v>
      </c>
      <c r="I825" s="48">
        <v>68302</v>
      </c>
      <c r="J825" s="51">
        <v>8.1603668000000004E-2</v>
      </c>
    </row>
    <row r="826" spans="1:10" x14ac:dyDescent="0.25">
      <c r="A826">
        <v>824</v>
      </c>
      <c r="B826" t="s">
        <v>1606</v>
      </c>
      <c r="C826" t="s">
        <v>1607</v>
      </c>
      <c r="D826" s="1">
        <v>15341</v>
      </c>
      <c r="E826" s="4" t="s">
        <v>8</v>
      </c>
      <c r="F826" s="44">
        <v>23961.52</v>
      </c>
      <c r="G826" s="31">
        <v>2478937.0320321932</v>
      </c>
      <c r="I826" s="48">
        <v>68333</v>
      </c>
      <c r="J826" s="51">
        <v>8.1589309999999998E-2</v>
      </c>
    </row>
    <row r="827" spans="1:10" x14ac:dyDescent="0.25">
      <c r="A827">
        <v>825</v>
      </c>
      <c r="B827" t="s">
        <v>841</v>
      </c>
      <c r="C827" t="s">
        <v>1608</v>
      </c>
      <c r="D827" s="1">
        <v>9423</v>
      </c>
      <c r="E827" s="4" t="s">
        <v>11</v>
      </c>
      <c r="F827" s="44">
        <v>18569.47</v>
      </c>
      <c r="G827" s="31">
        <v>612941.3800757362</v>
      </c>
      <c r="I827" s="48">
        <v>68361</v>
      </c>
      <c r="J827" s="51">
        <v>8.1576371999999994E-2</v>
      </c>
    </row>
    <row r="828" spans="1:10" x14ac:dyDescent="0.25">
      <c r="A828">
        <v>826</v>
      </c>
      <c r="B828" t="s">
        <v>117</v>
      </c>
      <c r="C828" t="s">
        <v>1609</v>
      </c>
      <c r="D828" s="1">
        <v>15472</v>
      </c>
      <c r="E828" s="4" t="s">
        <v>8</v>
      </c>
      <c r="F828" s="44">
        <v>22758.12</v>
      </c>
      <c r="G828" s="31">
        <v>2415531.4806149844</v>
      </c>
      <c r="I828" s="48">
        <v>68392</v>
      </c>
      <c r="J828" s="51">
        <v>8.1562080999999995E-2</v>
      </c>
    </row>
    <row r="829" spans="1:10" x14ac:dyDescent="0.25">
      <c r="A829">
        <v>827</v>
      </c>
      <c r="B829" t="s">
        <v>1610</v>
      </c>
      <c r="C829" t="s">
        <v>347</v>
      </c>
      <c r="D829" s="1">
        <v>12016</v>
      </c>
      <c r="E829" s="4" t="s">
        <v>8</v>
      </c>
      <c r="F829" s="44">
        <v>29127.1</v>
      </c>
      <c r="G829" s="31">
        <v>1978752.988209632</v>
      </c>
      <c r="I829" s="48">
        <v>68422</v>
      </c>
      <c r="J829" s="51">
        <v>8.1548284999999998E-2</v>
      </c>
    </row>
    <row r="830" spans="1:10" x14ac:dyDescent="0.25">
      <c r="A830">
        <v>828</v>
      </c>
      <c r="B830" t="s">
        <v>1611</v>
      </c>
      <c r="C830" t="s">
        <v>1612</v>
      </c>
      <c r="D830" s="1">
        <v>13557</v>
      </c>
      <c r="E830" s="4" t="s">
        <v>8</v>
      </c>
      <c r="F830" s="44">
        <v>19100.62</v>
      </c>
      <c r="G830" s="31">
        <v>1610980.750162371</v>
      </c>
      <c r="I830" s="48">
        <v>68453</v>
      </c>
      <c r="J830" s="51">
        <v>8.1534064000000003E-2</v>
      </c>
    </row>
    <row r="831" spans="1:10" x14ac:dyDescent="0.25">
      <c r="A831">
        <v>829</v>
      </c>
      <c r="B831" t="s">
        <v>1613</v>
      </c>
      <c r="C831" t="s">
        <v>1614</v>
      </c>
      <c r="D831" s="1">
        <v>21276</v>
      </c>
      <c r="E831" s="4" t="s">
        <v>8</v>
      </c>
      <c r="F831" s="44">
        <v>18741.87</v>
      </c>
      <c r="G831" s="31">
        <v>3199329.7488205214</v>
      </c>
      <c r="I831" s="48">
        <v>68483</v>
      </c>
      <c r="J831" s="51">
        <v>8.1520334E-2</v>
      </c>
    </row>
    <row r="832" spans="1:10" x14ac:dyDescent="0.25">
      <c r="A832">
        <v>830</v>
      </c>
      <c r="B832" t="s">
        <v>1615</v>
      </c>
      <c r="C832" t="s">
        <v>1616</v>
      </c>
      <c r="D832" s="1">
        <v>10147</v>
      </c>
      <c r="E832" s="4" t="s">
        <v>8</v>
      </c>
      <c r="F832" s="44">
        <v>17196.82</v>
      </c>
      <c r="G832" s="31">
        <v>881432.33611315745</v>
      </c>
      <c r="I832" s="48">
        <v>68514</v>
      </c>
      <c r="J832" s="51">
        <v>8.1506181999999996E-2</v>
      </c>
    </row>
    <row r="833" spans="1:10" x14ac:dyDescent="0.25">
      <c r="A833">
        <v>831</v>
      </c>
      <c r="B833" t="s">
        <v>1617</v>
      </c>
      <c r="C833" t="s">
        <v>1618</v>
      </c>
      <c r="D833" s="1">
        <v>15450</v>
      </c>
      <c r="E833" s="4" t="s">
        <v>11</v>
      </c>
      <c r="F833" s="44">
        <v>20282.03</v>
      </c>
      <c r="G833" s="31">
        <v>1785524.4445385586</v>
      </c>
      <c r="I833" s="48">
        <v>68545</v>
      </c>
      <c r="J833" s="51">
        <v>8.1492064000000003E-2</v>
      </c>
    </row>
    <row r="834" spans="1:10" x14ac:dyDescent="0.25">
      <c r="A834">
        <v>832</v>
      </c>
      <c r="B834" t="s">
        <v>1619</v>
      </c>
      <c r="C834" t="s">
        <v>1620</v>
      </c>
      <c r="D834" s="1">
        <v>15316</v>
      </c>
      <c r="E834" s="4" t="s">
        <v>8</v>
      </c>
      <c r="F834" s="44">
        <v>20931.310000000001</v>
      </c>
      <c r="G834" s="31">
        <v>2155289.6421926334</v>
      </c>
      <c r="I834" s="48">
        <v>68575</v>
      </c>
      <c r="J834" s="51">
        <v>8.1478434000000002E-2</v>
      </c>
    </row>
    <row r="835" spans="1:10" x14ac:dyDescent="0.25">
      <c r="A835">
        <v>833</v>
      </c>
      <c r="B835" t="s">
        <v>1621</v>
      </c>
      <c r="C835" t="s">
        <v>1622</v>
      </c>
      <c r="D835" s="1">
        <v>16720</v>
      </c>
      <c r="E835" s="4" t="s">
        <v>8</v>
      </c>
      <c r="F835" s="44">
        <v>15768.65</v>
      </c>
      <c r="G835" s="31">
        <v>1875036.2798007557</v>
      </c>
      <c r="I835" s="48">
        <v>68606</v>
      </c>
      <c r="J835" s="51">
        <v>8.1464384000000001E-2</v>
      </c>
    </row>
    <row r="836" spans="1:10" x14ac:dyDescent="0.25">
      <c r="A836">
        <v>834</v>
      </c>
      <c r="B836" t="s">
        <v>828</v>
      </c>
      <c r="C836" t="s">
        <v>1623</v>
      </c>
      <c r="D836" s="1">
        <v>19511</v>
      </c>
      <c r="E836" s="4" t="s">
        <v>8</v>
      </c>
      <c r="F836" s="44">
        <v>16726.82</v>
      </c>
      <c r="G836" s="31">
        <v>2545490.6616498115</v>
      </c>
      <c r="I836" s="48">
        <v>68636</v>
      </c>
      <c r="J836" s="51">
        <v>8.1450819999999993E-2</v>
      </c>
    </row>
    <row r="837" spans="1:10" x14ac:dyDescent="0.25">
      <c r="A837">
        <v>835</v>
      </c>
      <c r="B837" t="s">
        <v>208</v>
      </c>
      <c r="C837" t="s">
        <v>1624</v>
      </c>
      <c r="D837" s="1">
        <v>18360</v>
      </c>
      <c r="E837" s="4" t="s">
        <v>8</v>
      </c>
      <c r="F837" s="44">
        <v>21720.95</v>
      </c>
      <c r="G837" s="31">
        <v>3020533.091123248</v>
      </c>
      <c r="I837" s="48">
        <v>68667</v>
      </c>
      <c r="J837" s="51">
        <v>8.1436836999999998E-2</v>
      </c>
    </row>
    <row r="838" spans="1:10" x14ac:dyDescent="0.25">
      <c r="A838">
        <v>836</v>
      </c>
      <c r="B838" t="s">
        <v>1625</v>
      </c>
      <c r="C838" t="s">
        <v>1626</v>
      </c>
      <c r="D838" s="1">
        <v>17104</v>
      </c>
      <c r="E838" s="4" t="s">
        <v>8</v>
      </c>
      <c r="F838" s="44">
        <v>19545.990000000002</v>
      </c>
      <c r="G838" s="31">
        <v>2415237.7774754232</v>
      </c>
      <c r="I838" s="48">
        <v>68698</v>
      </c>
      <c r="J838" s="51">
        <v>8.1422888999999998E-2</v>
      </c>
    </row>
    <row r="839" spans="1:10" x14ac:dyDescent="0.25">
      <c r="A839">
        <v>837</v>
      </c>
      <c r="B839" t="s">
        <v>975</v>
      </c>
      <c r="C839" t="s">
        <v>1627</v>
      </c>
      <c r="D839" s="1">
        <v>18835</v>
      </c>
      <c r="E839" s="4" t="s">
        <v>11</v>
      </c>
      <c r="F839" s="44">
        <v>21657.87</v>
      </c>
      <c r="G839" s="31">
        <v>2776729.7165573733</v>
      </c>
      <c r="I839" s="48">
        <v>68727</v>
      </c>
      <c r="J839" s="51">
        <v>8.1409870999999995E-2</v>
      </c>
    </row>
    <row r="840" spans="1:10" x14ac:dyDescent="0.25">
      <c r="A840">
        <v>838</v>
      </c>
      <c r="B840" t="s">
        <v>1628</v>
      </c>
      <c r="C840" t="s">
        <v>1629</v>
      </c>
      <c r="D840" s="1">
        <v>17376</v>
      </c>
      <c r="E840" s="4" t="s">
        <v>8</v>
      </c>
      <c r="F840" s="44">
        <v>16627.689999999999</v>
      </c>
      <c r="G840" s="31">
        <v>2098461.1701633446</v>
      </c>
      <c r="I840" s="48">
        <v>68758</v>
      </c>
      <c r="J840" s="51">
        <v>8.1395988000000002E-2</v>
      </c>
    </row>
    <row r="841" spans="1:10" x14ac:dyDescent="0.25">
      <c r="A841">
        <v>839</v>
      </c>
      <c r="B841" t="s">
        <v>1630</v>
      </c>
      <c r="C841" t="s">
        <v>1631</v>
      </c>
      <c r="D841" s="1">
        <v>8676</v>
      </c>
      <c r="E841" s="4" t="s">
        <v>8</v>
      </c>
      <c r="F841" s="44">
        <v>20914.68</v>
      </c>
      <c r="G841" s="31">
        <v>853364.46880995366</v>
      </c>
      <c r="I841" s="48">
        <v>68788</v>
      </c>
      <c r="J841" s="51">
        <v>8.1382584999999993E-2</v>
      </c>
    </row>
    <row r="842" spans="1:10" x14ac:dyDescent="0.25">
      <c r="A842">
        <v>840</v>
      </c>
      <c r="B842" t="s">
        <v>1632</v>
      </c>
      <c r="C842" t="s">
        <v>1633</v>
      </c>
      <c r="D842" s="1">
        <v>8187</v>
      </c>
      <c r="E842" s="4" t="s">
        <v>8</v>
      </c>
      <c r="F842" s="44">
        <v>18513.759999999998</v>
      </c>
      <c r="G842" s="31">
        <v>785090.1221888545</v>
      </c>
      <c r="I842" s="48">
        <v>68819</v>
      </c>
      <c r="J842" s="51">
        <v>8.1368768999999994E-2</v>
      </c>
    </row>
    <row r="843" spans="1:10" x14ac:dyDescent="0.25">
      <c r="A843">
        <v>841</v>
      </c>
      <c r="B843" t="s">
        <v>1222</v>
      </c>
      <c r="C843" t="s">
        <v>1634</v>
      </c>
      <c r="D843" s="1">
        <v>12488</v>
      </c>
      <c r="E843" s="4" t="s">
        <v>8</v>
      </c>
      <c r="F843" s="44">
        <v>20329.8</v>
      </c>
      <c r="G843" s="31">
        <v>1504019.6950989196</v>
      </c>
      <c r="I843" s="48">
        <v>68849</v>
      </c>
      <c r="J843" s="51">
        <v>8.1355430000000006E-2</v>
      </c>
    </row>
    <row r="844" spans="1:10" x14ac:dyDescent="0.25">
      <c r="A844">
        <v>842</v>
      </c>
      <c r="B844" t="s">
        <v>1635</v>
      </c>
      <c r="C844" t="s">
        <v>1636</v>
      </c>
      <c r="D844" s="1">
        <v>14456</v>
      </c>
      <c r="E844" s="4" t="s">
        <v>8</v>
      </c>
      <c r="F844" s="44">
        <v>18215.439999999999</v>
      </c>
      <c r="G844" s="31">
        <v>1672289.3011863336</v>
      </c>
      <c r="I844" s="48">
        <v>68880</v>
      </c>
      <c r="J844" s="51">
        <v>8.1341679E-2</v>
      </c>
    </row>
    <row r="845" spans="1:10" x14ac:dyDescent="0.25">
      <c r="A845">
        <v>843</v>
      </c>
      <c r="B845" t="s">
        <v>1637</v>
      </c>
      <c r="C845" t="s">
        <v>1638</v>
      </c>
      <c r="D845" s="1">
        <v>7562</v>
      </c>
      <c r="E845" s="4" t="s">
        <v>8</v>
      </c>
      <c r="F845" s="44">
        <v>17909.77</v>
      </c>
      <c r="G845" s="31">
        <v>606740.08599069412</v>
      </c>
      <c r="I845" s="48">
        <v>68911</v>
      </c>
      <c r="J845" s="51">
        <v>8.1327962000000004E-2</v>
      </c>
    </row>
    <row r="846" spans="1:10" x14ac:dyDescent="0.25">
      <c r="A846">
        <v>844</v>
      </c>
      <c r="B846" t="s">
        <v>1639</v>
      </c>
      <c r="C846" t="s">
        <v>1640</v>
      </c>
      <c r="D846" s="1">
        <v>19033</v>
      </c>
      <c r="E846" s="4" t="s">
        <v>11</v>
      </c>
      <c r="F846" s="44">
        <v>11069.76</v>
      </c>
      <c r="G846" s="31">
        <v>1457646.8163680099</v>
      </c>
      <c r="I846" s="48">
        <v>68941</v>
      </c>
      <c r="J846" s="51">
        <v>8.1314717999999994E-2</v>
      </c>
    </row>
    <row r="847" spans="1:10" x14ac:dyDescent="0.25">
      <c r="A847">
        <v>845</v>
      </c>
      <c r="B847" t="s">
        <v>1641</v>
      </c>
      <c r="C847" t="s">
        <v>1642</v>
      </c>
      <c r="D847" s="1">
        <v>17187</v>
      </c>
      <c r="E847" s="4" t="s">
        <v>8</v>
      </c>
      <c r="F847" s="44">
        <v>23776.7</v>
      </c>
      <c r="G847" s="31">
        <v>2973878.0915587596</v>
      </c>
      <c r="I847" s="48">
        <v>68972</v>
      </c>
      <c r="J847" s="51">
        <v>8.1301066000000005E-2</v>
      </c>
    </row>
    <row r="848" spans="1:10" x14ac:dyDescent="0.25">
      <c r="A848">
        <v>846</v>
      </c>
      <c r="B848" t="s">
        <v>1643</v>
      </c>
      <c r="C848" t="s">
        <v>1644</v>
      </c>
      <c r="D848" s="1">
        <v>19260</v>
      </c>
      <c r="E848" s="4" t="s">
        <v>8</v>
      </c>
      <c r="F848" s="44">
        <v>18371.05</v>
      </c>
      <c r="G848" s="31">
        <v>2727551.0039445381</v>
      </c>
      <c r="I848" s="48">
        <v>69002</v>
      </c>
      <c r="J848" s="51">
        <v>8.1287885000000004E-2</v>
      </c>
    </row>
    <row r="849" spans="1:10" x14ac:dyDescent="0.25">
      <c r="A849">
        <v>847</v>
      </c>
      <c r="B849" t="s">
        <v>1645</v>
      </c>
      <c r="C849" t="s">
        <v>1646</v>
      </c>
      <c r="D849" s="1">
        <v>7494</v>
      </c>
      <c r="E849" s="4" t="s">
        <v>8</v>
      </c>
      <c r="F849" s="44">
        <v>17283.39</v>
      </c>
      <c r="G849" s="31">
        <v>552200.11670960998</v>
      </c>
      <c r="I849" s="48">
        <v>69033</v>
      </c>
      <c r="J849" s="51">
        <v>8.1274297999999995E-2</v>
      </c>
    </row>
    <row r="850" spans="1:10" x14ac:dyDescent="0.25">
      <c r="A850">
        <v>848</v>
      </c>
      <c r="B850" t="s">
        <v>1647</v>
      </c>
      <c r="C850" t="s">
        <v>1648</v>
      </c>
      <c r="D850" s="1">
        <v>9720</v>
      </c>
      <c r="E850" s="4" t="s">
        <v>8</v>
      </c>
      <c r="F850" s="44">
        <v>22723.52</v>
      </c>
      <c r="G850" s="31">
        <v>1064157.5732902179</v>
      </c>
      <c r="I850" s="48">
        <v>69064</v>
      </c>
      <c r="J850" s="51">
        <v>8.1260742999999996E-2</v>
      </c>
    </row>
    <row r="851" spans="1:10" x14ac:dyDescent="0.25">
      <c r="A851">
        <v>849</v>
      </c>
      <c r="B851" t="s">
        <v>1649</v>
      </c>
      <c r="C851" t="s">
        <v>1650</v>
      </c>
      <c r="D851" s="1">
        <v>9974</v>
      </c>
      <c r="E851" s="4" t="s">
        <v>8</v>
      </c>
      <c r="F851" s="44">
        <v>20171.900000000001</v>
      </c>
      <c r="G851" s="31">
        <v>1077073.6038768825</v>
      </c>
      <c r="I851" s="48">
        <v>69092</v>
      </c>
      <c r="J851" s="51">
        <v>8.1248527000000001E-2</v>
      </c>
    </row>
    <row r="852" spans="1:10" x14ac:dyDescent="0.25">
      <c r="A852">
        <v>850</v>
      </c>
      <c r="B852" t="s">
        <v>1651</v>
      </c>
      <c r="C852" t="s">
        <v>1652</v>
      </c>
      <c r="D852" s="1">
        <v>16348</v>
      </c>
      <c r="E852" s="4" t="s">
        <v>8</v>
      </c>
      <c r="F852" s="44">
        <v>15071.72</v>
      </c>
      <c r="G852" s="31">
        <v>1725182.1151050308</v>
      </c>
      <c r="I852" s="48">
        <v>69123</v>
      </c>
      <c r="J852" s="51">
        <v>8.1235033999999998E-2</v>
      </c>
    </row>
    <row r="853" spans="1:10" x14ac:dyDescent="0.25">
      <c r="A853">
        <v>851</v>
      </c>
      <c r="B853" t="s">
        <v>1653</v>
      </c>
      <c r="C853" t="s">
        <v>1654</v>
      </c>
      <c r="D853" s="1">
        <v>16163</v>
      </c>
      <c r="E853" s="4" t="s">
        <v>11</v>
      </c>
      <c r="F853" s="44">
        <v>16902.41</v>
      </c>
      <c r="G853" s="31">
        <v>1627177.0589994958</v>
      </c>
      <c r="I853" s="48">
        <v>69153</v>
      </c>
      <c r="J853" s="51">
        <v>8.1222006999999999E-2</v>
      </c>
    </row>
    <row r="854" spans="1:10" x14ac:dyDescent="0.25">
      <c r="A854">
        <v>852</v>
      </c>
      <c r="B854" t="s">
        <v>1655</v>
      </c>
      <c r="C854" t="s">
        <v>1656</v>
      </c>
      <c r="D854" s="1">
        <v>17303</v>
      </c>
      <c r="E854" s="4" t="s">
        <v>11</v>
      </c>
      <c r="F854" s="44">
        <v>15741.33</v>
      </c>
      <c r="G854" s="31">
        <v>1740535.8089259875</v>
      </c>
      <c r="I854" s="48">
        <v>69184</v>
      </c>
      <c r="J854" s="51">
        <v>8.1208577000000004E-2</v>
      </c>
    </row>
    <row r="855" spans="1:10" x14ac:dyDescent="0.25">
      <c r="A855">
        <v>853</v>
      </c>
      <c r="B855" t="s">
        <v>1657</v>
      </c>
      <c r="C855" t="s">
        <v>1658</v>
      </c>
      <c r="D855" s="1">
        <v>6853</v>
      </c>
      <c r="E855" s="4" t="s">
        <v>11</v>
      </c>
      <c r="F855" s="44">
        <v>16743.36</v>
      </c>
      <c r="G855" s="31">
        <v>365879.89232762321</v>
      </c>
      <c r="I855" s="48">
        <v>69214</v>
      </c>
      <c r="J855" s="51">
        <v>8.1195612E-2</v>
      </c>
    </row>
    <row r="856" spans="1:10" x14ac:dyDescent="0.25">
      <c r="A856">
        <v>854</v>
      </c>
      <c r="B856" t="s">
        <v>1659</v>
      </c>
      <c r="C856" t="s">
        <v>1660</v>
      </c>
      <c r="D856" s="1">
        <v>6782</v>
      </c>
      <c r="E856" s="4" t="s">
        <v>11</v>
      </c>
      <c r="F856" s="44">
        <v>23819.85</v>
      </c>
      <c r="G856" s="31">
        <v>467368.36832815281</v>
      </c>
      <c r="I856" s="48">
        <v>69245</v>
      </c>
      <c r="J856" s="51">
        <v>8.1182245E-2</v>
      </c>
    </row>
    <row r="857" spans="1:10" x14ac:dyDescent="0.25">
      <c r="A857">
        <v>855</v>
      </c>
      <c r="B857" t="s">
        <v>1661</v>
      </c>
      <c r="C857" t="s">
        <v>1662</v>
      </c>
      <c r="D857" s="1">
        <v>15846</v>
      </c>
      <c r="E857" s="4" t="s">
        <v>8</v>
      </c>
      <c r="F857" s="44">
        <v>20595.900000000001</v>
      </c>
      <c r="G857" s="31">
        <v>2274665.4725782913</v>
      </c>
      <c r="I857" s="48">
        <v>69276</v>
      </c>
      <c r="J857" s="51">
        <v>8.1168909999999997E-2</v>
      </c>
    </row>
    <row r="858" spans="1:10" x14ac:dyDescent="0.25">
      <c r="A858">
        <v>856</v>
      </c>
      <c r="B858" t="s">
        <v>1663</v>
      </c>
      <c r="C858" t="s">
        <v>1664</v>
      </c>
      <c r="D858" s="1">
        <v>19871</v>
      </c>
      <c r="E858" s="4" t="s">
        <v>8</v>
      </c>
      <c r="F858" s="44">
        <v>17843.12</v>
      </c>
      <c r="G858" s="31">
        <v>2785073.862096814</v>
      </c>
      <c r="I858" s="48">
        <v>69306</v>
      </c>
      <c r="J858" s="51">
        <v>8.1156036000000001E-2</v>
      </c>
    </row>
    <row r="859" spans="1:10" x14ac:dyDescent="0.25">
      <c r="A859">
        <v>857</v>
      </c>
      <c r="B859" t="s">
        <v>1625</v>
      </c>
      <c r="C859" t="s">
        <v>1665</v>
      </c>
      <c r="D859" s="1">
        <v>15075</v>
      </c>
      <c r="E859" s="4" t="s">
        <v>8</v>
      </c>
      <c r="F859" s="44">
        <v>16936.29</v>
      </c>
      <c r="G859" s="31">
        <v>1717353.0086732064</v>
      </c>
      <c r="I859" s="48">
        <v>69337</v>
      </c>
      <c r="J859" s="51">
        <v>8.1142764000000006E-2</v>
      </c>
    </row>
    <row r="860" spans="1:10" x14ac:dyDescent="0.25">
      <c r="A860">
        <v>858</v>
      </c>
      <c r="B860" t="s">
        <v>1666</v>
      </c>
      <c r="C860" t="s">
        <v>1667</v>
      </c>
      <c r="D860" s="1">
        <v>18273</v>
      </c>
      <c r="E860" s="4" t="s">
        <v>8</v>
      </c>
      <c r="F860" s="44">
        <v>23729.99</v>
      </c>
      <c r="G860" s="31">
        <v>3266372.1803640667</v>
      </c>
      <c r="I860" s="48">
        <v>69367</v>
      </c>
      <c r="J860" s="51">
        <v>8.1129949000000007E-2</v>
      </c>
    </row>
    <row r="861" spans="1:10" x14ac:dyDescent="0.25">
      <c r="A861">
        <v>859</v>
      </c>
      <c r="B861" t="s">
        <v>1668</v>
      </c>
      <c r="C861" t="s">
        <v>1669</v>
      </c>
      <c r="D861" s="1">
        <v>12401</v>
      </c>
      <c r="E861" s="4" t="s">
        <v>11</v>
      </c>
      <c r="F861" s="44">
        <v>15546.21</v>
      </c>
      <c r="G861" s="31">
        <v>856719.43173098215</v>
      </c>
      <c r="I861" s="48">
        <v>69398</v>
      </c>
      <c r="J861" s="51">
        <v>8.1116738999999993E-2</v>
      </c>
    </row>
    <row r="862" spans="1:10" x14ac:dyDescent="0.25">
      <c r="A862">
        <v>860</v>
      </c>
      <c r="B862" t="s">
        <v>1670</v>
      </c>
      <c r="C862" t="s">
        <v>1671</v>
      </c>
      <c r="D862" s="1">
        <v>20124</v>
      </c>
      <c r="E862" s="4" t="s">
        <v>8</v>
      </c>
      <c r="F862" s="44">
        <v>18940.12</v>
      </c>
      <c r="G862" s="31">
        <v>3001699.5140520092</v>
      </c>
      <c r="I862" s="48">
        <v>69429</v>
      </c>
      <c r="J862" s="51">
        <v>8.1103560000000005E-2</v>
      </c>
    </row>
    <row r="863" spans="1:10" x14ac:dyDescent="0.25">
      <c r="A863">
        <v>861</v>
      </c>
      <c r="B863" t="s">
        <v>1672</v>
      </c>
      <c r="C863" t="s">
        <v>1673</v>
      </c>
      <c r="D863" s="1">
        <v>11543</v>
      </c>
      <c r="E863" s="4" t="s">
        <v>8</v>
      </c>
      <c r="F863" s="44">
        <v>24296.68</v>
      </c>
      <c r="G863" s="31">
        <v>1502739.6976726507</v>
      </c>
      <c r="I863" s="48">
        <v>69457</v>
      </c>
      <c r="J863" s="51">
        <v>8.1091682999999998E-2</v>
      </c>
    </row>
    <row r="864" spans="1:10" x14ac:dyDescent="0.25">
      <c r="A864">
        <v>862</v>
      </c>
      <c r="B864" t="s">
        <v>1674</v>
      </c>
      <c r="C864" t="s">
        <v>1675</v>
      </c>
      <c r="D864" s="1">
        <v>19778</v>
      </c>
      <c r="E864" s="4" t="s">
        <v>11</v>
      </c>
      <c r="F864" s="44">
        <v>16631.939999999999</v>
      </c>
      <c r="G864" s="31">
        <v>2344449.1593662016</v>
      </c>
      <c r="I864" s="48">
        <v>69488</v>
      </c>
      <c r="J864" s="51">
        <v>8.1078563000000006E-2</v>
      </c>
    </row>
    <row r="865" spans="1:10" x14ac:dyDescent="0.25">
      <c r="A865">
        <v>863</v>
      </c>
      <c r="B865" t="s">
        <v>1676</v>
      </c>
      <c r="C865" t="s">
        <v>1677</v>
      </c>
      <c r="D865" s="1">
        <v>19722</v>
      </c>
      <c r="E865" s="4" t="s">
        <v>8</v>
      </c>
      <c r="F865" s="44">
        <v>17909.25</v>
      </c>
      <c r="G865" s="31">
        <v>2757611.4041359168</v>
      </c>
      <c r="I865" s="48">
        <v>69518</v>
      </c>
      <c r="J865" s="51">
        <v>8.1065895999999998E-2</v>
      </c>
    </row>
    <row r="866" spans="1:10" x14ac:dyDescent="0.25">
      <c r="A866">
        <v>864</v>
      </c>
      <c r="B866" t="s">
        <v>1678</v>
      </c>
      <c r="C866" t="s">
        <v>1345</v>
      </c>
      <c r="D866" s="1">
        <v>18228</v>
      </c>
      <c r="E866" s="4" t="s">
        <v>8</v>
      </c>
      <c r="F866" s="44">
        <v>19278.669999999998</v>
      </c>
      <c r="G866" s="31">
        <v>2639299.7791858055</v>
      </c>
      <c r="I866" s="48">
        <v>69549</v>
      </c>
      <c r="J866" s="51">
        <v>8.1052838000000002E-2</v>
      </c>
    </row>
    <row r="867" spans="1:10" x14ac:dyDescent="0.25">
      <c r="A867">
        <v>865</v>
      </c>
      <c r="B867" t="s">
        <v>1679</v>
      </c>
      <c r="C867" t="s">
        <v>1680</v>
      </c>
      <c r="D867" s="1">
        <v>15335</v>
      </c>
      <c r="E867" s="4" t="s">
        <v>11</v>
      </c>
      <c r="F867" s="44">
        <v>16550.37</v>
      </c>
      <c r="G867" s="31">
        <v>1414255.9635058281</v>
      </c>
      <c r="I867" s="48">
        <v>69579</v>
      </c>
      <c r="J867" s="51">
        <v>8.1040229000000005E-2</v>
      </c>
    </row>
    <row r="868" spans="1:10" x14ac:dyDescent="0.25">
      <c r="A868">
        <v>866</v>
      </c>
      <c r="B868" t="s">
        <v>1681</v>
      </c>
      <c r="C868" t="s">
        <v>1682</v>
      </c>
      <c r="D868" s="1">
        <v>8240</v>
      </c>
      <c r="E868" s="4" t="s">
        <v>8</v>
      </c>
      <c r="F868" s="44">
        <v>23719.52</v>
      </c>
      <c r="G868" s="31">
        <v>864913.38854582817</v>
      </c>
      <c r="I868" s="48">
        <v>69610</v>
      </c>
      <c r="J868" s="51">
        <v>8.1027231000000005E-2</v>
      </c>
    </row>
    <row r="869" spans="1:10" x14ac:dyDescent="0.25">
      <c r="A869">
        <v>867</v>
      </c>
      <c r="B869" t="s">
        <v>1683</v>
      </c>
      <c r="C869" t="s">
        <v>1684</v>
      </c>
      <c r="D869" s="1">
        <v>15056</v>
      </c>
      <c r="E869" s="4" t="s">
        <v>8</v>
      </c>
      <c r="F869" s="44">
        <v>15931.93</v>
      </c>
      <c r="G869" s="31">
        <v>1609222.0694193745</v>
      </c>
      <c r="I869" s="48">
        <v>69641</v>
      </c>
      <c r="J869" s="51">
        <v>8.1014263000000003E-2</v>
      </c>
    </row>
    <row r="870" spans="1:10" x14ac:dyDescent="0.25">
      <c r="A870">
        <v>868</v>
      </c>
      <c r="B870" t="s">
        <v>1685</v>
      </c>
      <c r="C870" t="s">
        <v>1686</v>
      </c>
      <c r="D870" s="1">
        <v>16221</v>
      </c>
      <c r="E870" s="4" t="s">
        <v>8</v>
      </c>
      <c r="F870" s="44">
        <v>19231.53</v>
      </c>
      <c r="G870" s="31">
        <v>2207610.4536428335</v>
      </c>
      <c r="I870" s="48">
        <v>69671</v>
      </c>
      <c r="J870" s="51">
        <v>8.1001743000000001E-2</v>
      </c>
    </row>
    <row r="871" spans="1:10" x14ac:dyDescent="0.25">
      <c r="A871">
        <v>869</v>
      </c>
      <c r="B871" t="s">
        <v>1687</v>
      </c>
      <c r="C871" t="s">
        <v>1688</v>
      </c>
      <c r="D871" s="1">
        <v>7916</v>
      </c>
      <c r="E871" s="4" t="s">
        <v>11</v>
      </c>
      <c r="F871" s="44">
        <v>21721.57</v>
      </c>
      <c r="G871" s="31">
        <v>540766.88815088163</v>
      </c>
      <c r="I871" s="48">
        <v>69702</v>
      </c>
      <c r="J871" s="51">
        <v>8.0988834999999995E-2</v>
      </c>
    </row>
    <row r="872" spans="1:10" x14ac:dyDescent="0.25">
      <c r="A872">
        <v>870</v>
      </c>
      <c r="B872" t="s">
        <v>1689</v>
      </c>
      <c r="C872" t="s">
        <v>1690</v>
      </c>
      <c r="D872" s="1">
        <v>18097</v>
      </c>
      <c r="E872" s="4" t="s">
        <v>8</v>
      </c>
      <c r="F872" s="44">
        <v>15394.2</v>
      </c>
      <c r="G872" s="31">
        <v>2073746.4239117948</v>
      </c>
      <c r="I872" s="48">
        <v>69732</v>
      </c>
      <c r="J872" s="51">
        <v>8.0976372000000005E-2</v>
      </c>
    </row>
    <row r="873" spans="1:10" x14ac:dyDescent="0.25">
      <c r="A873">
        <v>871</v>
      </c>
      <c r="B873" t="s">
        <v>1691</v>
      </c>
      <c r="C873" t="s">
        <v>1692</v>
      </c>
      <c r="D873" s="1">
        <v>8068</v>
      </c>
      <c r="E873" s="4" t="s">
        <v>11</v>
      </c>
      <c r="F873" s="44">
        <v>16351.56</v>
      </c>
      <c r="G873" s="31">
        <v>473343.67256782699</v>
      </c>
      <c r="I873" s="48">
        <v>69763</v>
      </c>
      <c r="J873" s="51">
        <v>8.0963522999999996E-2</v>
      </c>
    </row>
    <row r="874" spans="1:10" x14ac:dyDescent="0.25">
      <c r="A874">
        <v>872</v>
      </c>
      <c r="B874" t="s">
        <v>1693</v>
      </c>
      <c r="C874" t="s">
        <v>1694</v>
      </c>
      <c r="D874" s="1">
        <v>14526</v>
      </c>
      <c r="E874" s="4" t="s">
        <v>11</v>
      </c>
      <c r="F874" s="44">
        <v>22183.67</v>
      </c>
      <c r="G874" s="31">
        <v>1670128.5795306331</v>
      </c>
      <c r="I874" s="48">
        <v>69794</v>
      </c>
      <c r="J874" s="51">
        <v>8.0950704999999998E-2</v>
      </c>
    </row>
    <row r="875" spans="1:10" x14ac:dyDescent="0.25">
      <c r="A875">
        <v>873</v>
      </c>
      <c r="B875" t="s">
        <v>1695</v>
      </c>
      <c r="C875" t="s">
        <v>1696</v>
      </c>
      <c r="D875" s="1">
        <v>19326</v>
      </c>
      <c r="E875" s="4" t="s">
        <v>11</v>
      </c>
      <c r="F875" s="44">
        <v>17459.240000000002</v>
      </c>
      <c r="G875" s="31">
        <v>2357303.4787375573</v>
      </c>
      <c r="I875" s="48">
        <v>69822</v>
      </c>
      <c r="J875" s="51">
        <v>8.0939153E-2</v>
      </c>
    </row>
    <row r="876" spans="1:10" x14ac:dyDescent="0.25">
      <c r="A876">
        <v>874</v>
      </c>
      <c r="B876" t="s">
        <v>1697</v>
      </c>
      <c r="C876" t="s">
        <v>1698</v>
      </c>
      <c r="D876" s="1">
        <v>7273</v>
      </c>
      <c r="E876" s="4" t="s">
        <v>11</v>
      </c>
      <c r="F876" s="44">
        <v>22192.66</v>
      </c>
      <c r="G876" s="31">
        <v>541813.97714967676</v>
      </c>
      <c r="I876" s="48">
        <v>69853</v>
      </c>
      <c r="J876" s="51">
        <v>8.0926391E-2</v>
      </c>
    </row>
    <row r="877" spans="1:10" x14ac:dyDescent="0.25">
      <c r="A877">
        <v>875</v>
      </c>
      <c r="B877" t="s">
        <v>1699</v>
      </c>
      <c r="C877" t="s">
        <v>1700</v>
      </c>
      <c r="D877" s="1">
        <v>18365</v>
      </c>
      <c r="E877" s="4" t="s">
        <v>11</v>
      </c>
      <c r="F877" s="44">
        <v>23128.91</v>
      </c>
      <c r="G877" s="31">
        <v>2859279.8690247098</v>
      </c>
      <c r="I877" s="48">
        <v>69883</v>
      </c>
      <c r="J877" s="51">
        <v>8.0914069000000005E-2</v>
      </c>
    </row>
    <row r="878" spans="1:10" x14ac:dyDescent="0.25">
      <c r="A878">
        <v>876</v>
      </c>
      <c r="B878" t="s">
        <v>1701</v>
      </c>
      <c r="C878" t="s">
        <v>1702</v>
      </c>
      <c r="D878" s="1">
        <v>21374</v>
      </c>
      <c r="E878" s="4" t="s">
        <v>8</v>
      </c>
      <c r="F878" s="44">
        <v>23607.49</v>
      </c>
      <c r="G878" s="31">
        <v>4040502.5339106759</v>
      </c>
      <c r="I878" s="48">
        <v>69914</v>
      </c>
      <c r="J878" s="51">
        <v>8.0901366000000002E-2</v>
      </c>
    </row>
    <row r="879" spans="1:10" x14ac:dyDescent="0.25">
      <c r="A879">
        <v>877</v>
      </c>
      <c r="B879" t="s">
        <v>1703</v>
      </c>
      <c r="C879" t="s">
        <v>1704</v>
      </c>
      <c r="D879" s="1">
        <v>19832</v>
      </c>
      <c r="E879" s="4" t="s">
        <v>8</v>
      </c>
      <c r="F879" s="44">
        <v>19570.52</v>
      </c>
      <c r="G879" s="31">
        <v>3044008.3769631996</v>
      </c>
      <c r="I879" s="48">
        <v>69944</v>
      </c>
      <c r="J879" s="51">
        <v>8.0889101000000005E-2</v>
      </c>
    </row>
    <row r="880" spans="1:10" x14ac:dyDescent="0.25">
      <c r="A880">
        <v>878</v>
      </c>
      <c r="B880" t="s">
        <v>1705</v>
      </c>
      <c r="C880" t="s">
        <v>1706</v>
      </c>
      <c r="D880" s="1">
        <v>15623</v>
      </c>
      <c r="E880" s="4" t="s">
        <v>11</v>
      </c>
      <c r="F880" s="44">
        <v>22074.71</v>
      </c>
      <c r="G880" s="31">
        <v>1943239.2801107855</v>
      </c>
      <c r="I880" s="48">
        <v>69975</v>
      </c>
      <c r="J880" s="51">
        <v>8.0876455999999999E-2</v>
      </c>
    </row>
    <row r="881" spans="1:10" x14ac:dyDescent="0.25">
      <c r="A881">
        <v>879</v>
      </c>
      <c r="B881" t="s">
        <v>1707</v>
      </c>
      <c r="C881" t="s">
        <v>1708</v>
      </c>
      <c r="D881" s="1">
        <v>13145</v>
      </c>
      <c r="E881" s="4" t="s">
        <v>8</v>
      </c>
      <c r="F881" s="44">
        <v>18616.52</v>
      </c>
      <c r="G881" s="31">
        <v>1479661.1146936263</v>
      </c>
      <c r="I881" s="48">
        <v>70006</v>
      </c>
      <c r="J881" s="51">
        <v>8.0863840000000006E-2</v>
      </c>
    </row>
    <row r="882" spans="1:10" x14ac:dyDescent="0.25">
      <c r="A882">
        <v>880</v>
      </c>
      <c r="B882" t="s">
        <v>1709</v>
      </c>
      <c r="C882" t="s">
        <v>1710</v>
      </c>
      <c r="D882" s="1">
        <v>10995</v>
      </c>
      <c r="E882" s="4" t="s">
        <v>8</v>
      </c>
      <c r="F882" s="44">
        <v>18536.330000000002</v>
      </c>
      <c r="G882" s="31">
        <v>1114396.6358493918</v>
      </c>
      <c r="I882" s="48">
        <v>70036</v>
      </c>
      <c r="J882" s="51">
        <v>8.0851659000000006E-2</v>
      </c>
    </row>
    <row r="883" spans="1:10" x14ac:dyDescent="0.25">
      <c r="A883">
        <v>881</v>
      </c>
      <c r="B883" t="s">
        <v>1711</v>
      </c>
      <c r="C883" t="s">
        <v>1247</v>
      </c>
      <c r="D883" s="1">
        <v>16881</v>
      </c>
      <c r="E883" s="4" t="s">
        <v>8</v>
      </c>
      <c r="F883" s="44">
        <v>18812.2</v>
      </c>
      <c r="G883" s="31">
        <v>2293151.8293869528</v>
      </c>
      <c r="I883" s="48">
        <v>70067</v>
      </c>
      <c r="J883" s="51">
        <v>8.0839100999999997E-2</v>
      </c>
    </row>
    <row r="884" spans="1:10" x14ac:dyDescent="0.25">
      <c r="A884">
        <v>882</v>
      </c>
      <c r="B884" t="s">
        <v>1712</v>
      </c>
      <c r="C884" t="s">
        <v>1713</v>
      </c>
      <c r="D884" s="1">
        <v>18566</v>
      </c>
      <c r="E884" s="4" t="s">
        <v>8</v>
      </c>
      <c r="F884" s="44">
        <v>17967.18</v>
      </c>
      <c r="G884" s="31">
        <v>2527680.3628678853</v>
      </c>
      <c r="I884" s="48">
        <v>70097</v>
      </c>
      <c r="J884" s="51">
        <v>8.0826974999999995E-2</v>
      </c>
    </row>
    <row r="885" spans="1:10" x14ac:dyDescent="0.25">
      <c r="A885">
        <v>883</v>
      </c>
      <c r="B885" t="s">
        <v>1714</v>
      </c>
      <c r="C885" t="s">
        <v>1715</v>
      </c>
      <c r="D885" s="1">
        <v>15846</v>
      </c>
      <c r="E885" s="4" t="s">
        <v>8</v>
      </c>
      <c r="F885" s="44">
        <v>16254.28</v>
      </c>
      <c r="G885" s="31">
        <v>1795165.51826431</v>
      </c>
      <c r="I885" s="48">
        <v>70128</v>
      </c>
      <c r="J885" s="51">
        <v>8.0814473999999997E-2</v>
      </c>
    </row>
    <row r="886" spans="1:10" x14ac:dyDescent="0.25">
      <c r="A886">
        <v>884</v>
      </c>
      <c r="B886" t="s">
        <v>1716</v>
      </c>
      <c r="C886" t="s">
        <v>1717</v>
      </c>
      <c r="D886" s="1">
        <v>17215</v>
      </c>
      <c r="E886" s="4" t="s">
        <v>11</v>
      </c>
      <c r="F886" s="44">
        <v>15216.2</v>
      </c>
      <c r="G886" s="31">
        <v>1656042.7790915014</v>
      </c>
      <c r="I886" s="48">
        <v>70159</v>
      </c>
      <c r="J886" s="51">
        <v>8.0802000999999998E-2</v>
      </c>
    </row>
    <row r="887" spans="1:10" x14ac:dyDescent="0.25">
      <c r="A887">
        <v>885</v>
      </c>
      <c r="B887" t="s">
        <v>1393</v>
      </c>
      <c r="C887" t="s">
        <v>1718</v>
      </c>
      <c r="D887" s="1">
        <v>20166</v>
      </c>
      <c r="E887" s="4" t="s">
        <v>11</v>
      </c>
      <c r="F887" s="44">
        <v>18129.16</v>
      </c>
      <c r="G887" s="31">
        <v>2642306.1796320858</v>
      </c>
      <c r="I887" s="48">
        <v>70188</v>
      </c>
      <c r="J887" s="51">
        <v>8.0790359000000006E-2</v>
      </c>
    </row>
    <row r="888" spans="1:10" x14ac:dyDescent="0.25">
      <c r="A888">
        <v>886</v>
      </c>
      <c r="B888" t="s">
        <v>1719</v>
      </c>
      <c r="C888" t="s">
        <v>1720</v>
      </c>
      <c r="D888" s="1">
        <v>12813</v>
      </c>
      <c r="E888" s="4" t="s">
        <v>11</v>
      </c>
      <c r="F888" s="44">
        <v>25267.43</v>
      </c>
      <c r="G888" s="31">
        <v>1504062.9538001847</v>
      </c>
      <c r="I888" s="48">
        <v>70219</v>
      </c>
      <c r="J888" s="51">
        <v>8.0777942000000005E-2</v>
      </c>
    </row>
    <row r="889" spans="1:10" x14ac:dyDescent="0.25">
      <c r="A889">
        <v>887</v>
      </c>
      <c r="B889" t="s">
        <v>1721</v>
      </c>
      <c r="C889" t="s">
        <v>1722</v>
      </c>
      <c r="D889" s="1">
        <v>18169</v>
      </c>
      <c r="E889" s="4" t="s">
        <v>8</v>
      </c>
      <c r="F889" s="44">
        <v>19526.86</v>
      </c>
      <c r="G889" s="31">
        <v>2654086.7680367152</v>
      </c>
      <c r="I889" s="48">
        <v>70249</v>
      </c>
      <c r="J889" s="51">
        <v>8.0765953000000001E-2</v>
      </c>
    </row>
    <row r="890" spans="1:10" x14ac:dyDescent="0.25">
      <c r="A890">
        <v>888</v>
      </c>
      <c r="B890" t="s">
        <v>1723</v>
      </c>
      <c r="C890" t="s">
        <v>1724</v>
      </c>
      <c r="D890" s="1">
        <v>8644</v>
      </c>
      <c r="E890" s="4" t="s">
        <v>8</v>
      </c>
      <c r="F890" s="44">
        <v>21295.03</v>
      </c>
      <c r="G890" s="31">
        <v>846875.69100621308</v>
      </c>
      <c r="I890" s="48">
        <v>70280</v>
      </c>
      <c r="J890" s="51">
        <v>8.0753591999999999E-2</v>
      </c>
    </row>
    <row r="891" spans="1:10" x14ac:dyDescent="0.25">
      <c r="A891">
        <v>889</v>
      </c>
      <c r="B891" t="s">
        <v>1725</v>
      </c>
      <c r="C891" t="s">
        <v>1726</v>
      </c>
      <c r="D891" s="1">
        <v>7257</v>
      </c>
      <c r="E891" s="4" t="s">
        <v>11</v>
      </c>
      <c r="F891" s="44">
        <v>24733.599999999999</v>
      </c>
      <c r="G891" s="31">
        <v>595347.64341503079</v>
      </c>
      <c r="I891" s="48">
        <v>70310</v>
      </c>
      <c r="J891" s="51">
        <v>8.0741656999999994E-2</v>
      </c>
    </row>
    <row r="892" spans="1:10" x14ac:dyDescent="0.25">
      <c r="A892">
        <v>890</v>
      </c>
      <c r="B892" t="s">
        <v>336</v>
      </c>
      <c r="C892" t="s">
        <v>1727</v>
      </c>
      <c r="D892" s="1">
        <v>8220</v>
      </c>
      <c r="E892" s="4" t="s">
        <v>11</v>
      </c>
      <c r="F892" s="44">
        <v>19768.22</v>
      </c>
      <c r="G892" s="31">
        <v>486932.132089124</v>
      </c>
      <c r="I892" s="48">
        <v>70341</v>
      </c>
      <c r="J892" s="51">
        <v>8.0729352000000004E-2</v>
      </c>
    </row>
    <row r="893" spans="1:10" x14ac:dyDescent="0.25">
      <c r="A893">
        <v>891</v>
      </c>
      <c r="B893" t="s">
        <v>1728</v>
      </c>
      <c r="C893" t="s">
        <v>1729</v>
      </c>
      <c r="D893" s="1">
        <v>12517</v>
      </c>
      <c r="E893" s="4" t="s">
        <v>11</v>
      </c>
      <c r="F893" s="44">
        <v>20253.34</v>
      </c>
      <c r="G893" s="31">
        <v>1174917.9782587825</v>
      </c>
      <c r="I893" s="48">
        <v>70372</v>
      </c>
      <c r="J893" s="51">
        <v>8.0717074999999999E-2</v>
      </c>
    </row>
    <row r="894" spans="1:10" x14ac:dyDescent="0.25">
      <c r="A894">
        <v>892</v>
      </c>
      <c r="B894" t="s">
        <v>1730</v>
      </c>
      <c r="C894" t="s">
        <v>1731</v>
      </c>
      <c r="D894" s="1">
        <v>8484</v>
      </c>
      <c r="E894" s="4" t="s">
        <v>11</v>
      </c>
      <c r="F894" s="44">
        <v>18542.39</v>
      </c>
      <c r="G894" s="31">
        <v>587616.28431460797</v>
      </c>
      <c r="I894" s="48">
        <v>70402</v>
      </c>
      <c r="J894" s="51">
        <v>8.0705219999999994E-2</v>
      </c>
    </row>
    <row r="895" spans="1:10" x14ac:dyDescent="0.25">
      <c r="A895">
        <v>893</v>
      </c>
      <c r="B895" t="s">
        <v>1732</v>
      </c>
      <c r="C895" t="s">
        <v>1733</v>
      </c>
      <c r="D895" s="1">
        <v>17509</v>
      </c>
      <c r="E895" s="4" t="s">
        <v>11</v>
      </c>
      <c r="F895" s="44">
        <v>16384.21</v>
      </c>
      <c r="G895" s="31">
        <v>1835527.0934574329</v>
      </c>
      <c r="I895" s="48">
        <v>70433</v>
      </c>
      <c r="J895" s="51">
        <v>8.0692999000000001E-2</v>
      </c>
    </row>
    <row r="896" spans="1:10" x14ac:dyDescent="0.25">
      <c r="A896">
        <v>894</v>
      </c>
      <c r="B896" t="s">
        <v>1734</v>
      </c>
      <c r="C896" t="s">
        <v>1735</v>
      </c>
      <c r="D896" s="1">
        <v>10593</v>
      </c>
      <c r="E896" s="4" t="s">
        <v>8</v>
      </c>
      <c r="F896" s="44">
        <v>16815.169999999998</v>
      </c>
      <c r="G896" s="31">
        <v>943704.58176479326</v>
      </c>
      <c r="I896" s="48">
        <v>70463</v>
      </c>
      <c r="J896" s="51">
        <v>8.0681196999999996E-2</v>
      </c>
    </row>
    <row r="897" spans="1:10" x14ac:dyDescent="0.25">
      <c r="A897">
        <v>895</v>
      </c>
      <c r="B897" t="s">
        <v>1736</v>
      </c>
      <c r="C897" t="s">
        <v>1737</v>
      </c>
      <c r="D897" s="1">
        <v>11611</v>
      </c>
      <c r="E897" s="4" t="s">
        <v>8</v>
      </c>
      <c r="F897" s="44">
        <v>20211.34</v>
      </c>
      <c r="G897" s="31">
        <v>1285144.8136587138</v>
      </c>
      <c r="I897" s="48">
        <v>70494</v>
      </c>
      <c r="J897" s="51">
        <v>8.0669030000000003E-2</v>
      </c>
    </row>
    <row r="898" spans="1:10" x14ac:dyDescent="0.25">
      <c r="A898">
        <v>896</v>
      </c>
      <c r="B898" t="s">
        <v>1738</v>
      </c>
      <c r="C898" t="s">
        <v>1739</v>
      </c>
      <c r="D898" s="1">
        <v>11543</v>
      </c>
      <c r="E898" s="4" t="s">
        <v>8</v>
      </c>
      <c r="F898" s="44">
        <v>19179.349999999999</v>
      </c>
      <c r="G898" s="31">
        <v>1186234.9350017358</v>
      </c>
      <c r="I898" s="48">
        <v>70525</v>
      </c>
      <c r="J898" s="51">
        <v>8.0656890999999994E-2</v>
      </c>
    </row>
    <row r="899" spans="1:10" x14ac:dyDescent="0.25">
      <c r="A899">
        <v>897</v>
      </c>
      <c r="B899" t="s">
        <v>1740</v>
      </c>
      <c r="C899" t="s">
        <v>1741</v>
      </c>
      <c r="D899" s="1">
        <v>9157</v>
      </c>
      <c r="E899" s="4" t="s">
        <v>11</v>
      </c>
      <c r="F899" s="44">
        <v>18342.580000000002</v>
      </c>
      <c r="G899" s="31">
        <v>618406.63806160179</v>
      </c>
      <c r="I899" s="48">
        <v>70553</v>
      </c>
      <c r="J899" s="51">
        <v>8.0645949999999994E-2</v>
      </c>
    </row>
    <row r="900" spans="1:10" x14ac:dyDescent="0.25">
      <c r="A900">
        <v>898</v>
      </c>
      <c r="B900" t="s">
        <v>1742</v>
      </c>
      <c r="C900" t="s">
        <v>1743</v>
      </c>
      <c r="D900" s="1">
        <v>10134</v>
      </c>
      <c r="E900" s="4" t="s">
        <v>8</v>
      </c>
      <c r="F900" s="44">
        <v>22508.15</v>
      </c>
      <c r="G900" s="31">
        <v>1144739.0313194641</v>
      </c>
      <c r="I900" s="48">
        <v>70584</v>
      </c>
      <c r="J900" s="51">
        <v>8.0633863E-2</v>
      </c>
    </row>
    <row r="901" spans="1:10" x14ac:dyDescent="0.25">
      <c r="A901">
        <v>899</v>
      </c>
      <c r="B901" t="s">
        <v>1744</v>
      </c>
      <c r="C901" t="s">
        <v>1745</v>
      </c>
      <c r="D901" s="1">
        <v>18808</v>
      </c>
      <c r="E901" s="4" t="s">
        <v>8</v>
      </c>
      <c r="F901" s="44">
        <v>20785.53</v>
      </c>
      <c r="G901" s="31">
        <v>3003255.8537398311</v>
      </c>
      <c r="I901" s="48">
        <v>70614</v>
      </c>
      <c r="J901" s="51">
        <v>8.0622191999999995E-2</v>
      </c>
    </row>
    <row r="902" spans="1:10" x14ac:dyDescent="0.25">
      <c r="A902">
        <v>900</v>
      </c>
      <c r="B902" t="s">
        <v>1746</v>
      </c>
      <c r="C902" t="s">
        <v>1747</v>
      </c>
      <c r="D902" s="1">
        <v>16546</v>
      </c>
      <c r="E902" s="4" t="s">
        <v>8</v>
      </c>
      <c r="F902" s="44">
        <v>20904.53</v>
      </c>
      <c r="G902" s="31">
        <v>2471542.2311429544</v>
      </c>
      <c r="I902" s="48">
        <v>70645</v>
      </c>
      <c r="J902" s="51">
        <v>8.0610159000000001E-2</v>
      </c>
    </row>
    <row r="903" spans="1:10" x14ac:dyDescent="0.25">
      <c r="A903">
        <v>901</v>
      </c>
      <c r="B903" t="s">
        <v>1748</v>
      </c>
      <c r="C903" t="s">
        <v>1749</v>
      </c>
      <c r="D903" s="1">
        <v>7261</v>
      </c>
      <c r="E903" s="4" t="s">
        <v>11</v>
      </c>
      <c r="F903" s="44">
        <v>15702.22</v>
      </c>
      <c r="G903" s="31">
        <v>379298.99791838409</v>
      </c>
      <c r="I903" s="48">
        <v>70675</v>
      </c>
      <c r="J903" s="51">
        <v>8.0598538999999997E-2</v>
      </c>
    </row>
    <row r="904" spans="1:10" x14ac:dyDescent="0.25">
      <c r="A904">
        <v>902</v>
      </c>
      <c r="B904" t="s">
        <v>1750</v>
      </c>
      <c r="C904" t="s">
        <v>1751</v>
      </c>
      <c r="D904" s="1">
        <v>19257</v>
      </c>
      <c r="E904" s="4" t="s">
        <v>8</v>
      </c>
      <c r="F904" s="44">
        <v>17920.43</v>
      </c>
      <c r="G904" s="31">
        <v>2659845.6242334913</v>
      </c>
      <c r="I904" s="48">
        <v>70706</v>
      </c>
      <c r="J904" s="51">
        <v>8.0586560000000002E-2</v>
      </c>
    </row>
    <row r="905" spans="1:10" x14ac:dyDescent="0.25">
      <c r="A905">
        <v>903</v>
      </c>
      <c r="B905" t="s">
        <v>1752</v>
      </c>
      <c r="C905" t="s">
        <v>1753</v>
      </c>
      <c r="D905" s="1">
        <v>20236</v>
      </c>
      <c r="E905" s="4" t="s">
        <v>8</v>
      </c>
      <c r="F905" s="44">
        <v>19673.29</v>
      </c>
      <c r="G905" s="31">
        <v>3147874.5691311988</v>
      </c>
      <c r="I905" s="48">
        <v>70737</v>
      </c>
      <c r="J905" s="51">
        <v>8.0574607000000006E-2</v>
      </c>
    </row>
    <row r="906" spans="1:10" x14ac:dyDescent="0.25">
      <c r="A906">
        <v>904</v>
      </c>
      <c r="B906" t="s">
        <v>1754</v>
      </c>
      <c r="C906" t="s">
        <v>1755</v>
      </c>
      <c r="D906" s="1">
        <v>9211</v>
      </c>
      <c r="E906" s="4" t="s">
        <v>8</v>
      </c>
      <c r="F906" s="44">
        <v>18359.240000000002</v>
      </c>
      <c r="G906" s="31">
        <v>872646.9455510783</v>
      </c>
      <c r="I906" s="48">
        <v>70767</v>
      </c>
      <c r="J906" s="51">
        <v>8.0563066000000003E-2</v>
      </c>
    </row>
    <row r="907" spans="1:10" x14ac:dyDescent="0.25">
      <c r="A907">
        <v>905</v>
      </c>
      <c r="B907" t="s">
        <v>645</v>
      </c>
      <c r="C907" t="s">
        <v>1756</v>
      </c>
      <c r="D907" s="1">
        <v>16441</v>
      </c>
      <c r="E907" s="4" t="s">
        <v>8</v>
      </c>
      <c r="F907" s="44">
        <v>21472.959999999999</v>
      </c>
      <c r="G907" s="31">
        <v>2496366.3625353631</v>
      </c>
      <c r="I907" s="48">
        <v>70798</v>
      </c>
      <c r="J907" s="51">
        <v>8.0551165999999993E-2</v>
      </c>
    </row>
    <row r="908" spans="1:10" x14ac:dyDescent="0.25">
      <c r="A908">
        <v>906</v>
      </c>
      <c r="B908" t="s">
        <v>1757</v>
      </c>
      <c r="C908" t="s">
        <v>1758</v>
      </c>
      <c r="D908" s="1">
        <v>13198</v>
      </c>
      <c r="E908" s="4" t="s">
        <v>11</v>
      </c>
      <c r="F908" s="44">
        <v>18954.080000000002</v>
      </c>
      <c r="G908" s="31">
        <v>1202218.7350812943</v>
      </c>
      <c r="I908" s="48">
        <v>70828</v>
      </c>
      <c r="J908" s="51">
        <v>8.0539676000000004E-2</v>
      </c>
    </row>
    <row r="909" spans="1:10" x14ac:dyDescent="0.25">
      <c r="A909">
        <v>907</v>
      </c>
      <c r="B909" t="s">
        <v>1759</v>
      </c>
      <c r="C909" t="s">
        <v>1760</v>
      </c>
      <c r="D909" s="1">
        <v>15213</v>
      </c>
      <c r="E909" s="4" t="s">
        <v>11</v>
      </c>
      <c r="F909" s="44">
        <v>19039.400000000001</v>
      </c>
      <c r="G909" s="31">
        <v>1572909.0263873057</v>
      </c>
      <c r="I909" s="48">
        <v>70859</v>
      </c>
      <c r="J909" s="51">
        <v>8.0527828999999995E-2</v>
      </c>
    </row>
    <row r="910" spans="1:10" x14ac:dyDescent="0.25">
      <c r="A910">
        <v>908</v>
      </c>
      <c r="B910" t="s">
        <v>1761</v>
      </c>
      <c r="C910" t="s">
        <v>1762</v>
      </c>
      <c r="D910" s="1">
        <v>17098</v>
      </c>
      <c r="E910" s="4" t="s">
        <v>8</v>
      </c>
      <c r="F910" s="44">
        <v>21363.11</v>
      </c>
      <c r="G910" s="31">
        <v>2637473.9838640662</v>
      </c>
      <c r="I910" s="48">
        <v>70890</v>
      </c>
      <c r="J910" s="51">
        <v>8.0516008E-2</v>
      </c>
    </row>
    <row r="911" spans="1:10" x14ac:dyDescent="0.25">
      <c r="A911">
        <v>909</v>
      </c>
      <c r="B911" t="s">
        <v>1763</v>
      </c>
      <c r="C911" t="s">
        <v>1764</v>
      </c>
      <c r="D911" s="1">
        <v>12431</v>
      </c>
      <c r="E911" s="4" t="s">
        <v>11</v>
      </c>
      <c r="F911" s="44">
        <v>23710.22</v>
      </c>
      <c r="G911" s="31">
        <v>1324813.6055741978</v>
      </c>
      <c r="I911" s="48">
        <v>70918</v>
      </c>
      <c r="J911" s="51">
        <v>8.0505355000000001E-2</v>
      </c>
    </row>
    <row r="912" spans="1:10" x14ac:dyDescent="0.25">
      <c r="A912">
        <v>910</v>
      </c>
      <c r="B912" t="s">
        <v>1765</v>
      </c>
      <c r="C912" t="s">
        <v>1766</v>
      </c>
      <c r="D912" s="1">
        <v>16945</v>
      </c>
      <c r="E912" s="4" t="s">
        <v>8</v>
      </c>
      <c r="F912" s="44">
        <v>20744.259999999998</v>
      </c>
      <c r="G912" s="31">
        <v>2552682.793381176</v>
      </c>
      <c r="I912" s="48">
        <v>70949</v>
      </c>
      <c r="J912" s="51">
        <v>8.0493584000000007E-2</v>
      </c>
    </row>
    <row r="913" spans="1:10" x14ac:dyDescent="0.25">
      <c r="A913">
        <v>911</v>
      </c>
      <c r="B913" t="s">
        <v>1767</v>
      </c>
      <c r="C913" t="s">
        <v>1768</v>
      </c>
      <c r="D913" s="1">
        <v>9099</v>
      </c>
      <c r="E913" s="4" t="s">
        <v>11</v>
      </c>
      <c r="F913" s="44">
        <v>21276.17</v>
      </c>
      <c r="G913" s="31">
        <v>684482.44037162699</v>
      </c>
      <c r="I913" s="48">
        <v>70979</v>
      </c>
      <c r="J913" s="51">
        <v>8.0482218999999994E-2</v>
      </c>
    </row>
    <row r="914" spans="1:10" x14ac:dyDescent="0.25">
      <c r="A914">
        <v>912</v>
      </c>
      <c r="B914" t="s">
        <v>1769</v>
      </c>
      <c r="C914" t="s">
        <v>1770</v>
      </c>
      <c r="D914" s="1">
        <v>7006</v>
      </c>
      <c r="E914" s="4" t="s">
        <v>8</v>
      </c>
      <c r="F914" s="44">
        <v>23843.58</v>
      </c>
      <c r="G914" s="31">
        <v>831026.56030113134</v>
      </c>
      <c r="I914" s="48">
        <v>71010</v>
      </c>
      <c r="J914" s="51">
        <v>8.0470501E-2</v>
      </c>
    </row>
    <row r="915" spans="1:10" x14ac:dyDescent="0.25">
      <c r="A915">
        <v>913</v>
      </c>
      <c r="B915" t="s">
        <v>1771</v>
      </c>
      <c r="C915" t="s">
        <v>1772</v>
      </c>
      <c r="D915" s="1">
        <v>11037</v>
      </c>
      <c r="E915" s="4" t="s">
        <v>8</v>
      </c>
      <c r="F915" s="44">
        <v>19368.61</v>
      </c>
      <c r="G915" s="31">
        <v>1184067.8169791806</v>
      </c>
      <c r="I915" s="48">
        <v>71040</v>
      </c>
      <c r="J915" s="51">
        <v>8.0459185000000003E-2</v>
      </c>
    </row>
    <row r="916" spans="1:10" x14ac:dyDescent="0.25">
      <c r="A916">
        <v>914</v>
      </c>
      <c r="B916" t="s">
        <v>1773</v>
      </c>
      <c r="C916" t="s">
        <v>1774</v>
      </c>
      <c r="D916" s="1">
        <v>14455</v>
      </c>
      <c r="E916" s="4" t="s">
        <v>11</v>
      </c>
      <c r="F916" s="44">
        <v>18878.59</v>
      </c>
      <c r="G916" s="31">
        <v>1387693.3527914328</v>
      </c>
      <c r="I916" s="48">
        <v>71071</v>
      </c>
      <c r="J916" s="51">
        <v>8.0447518999999995E-2</v>
      </c>
    </row>
    <row r="917" spans="1:10" x14ac:dyDescent="0.25">
      <c r="A917">
        <v>915</v>
      </c>
      <c r="B917" t="s">
        <v>1775</v>
      </c>
      <c r="C917" t="s">
        <v>676</v>
      </c>
      <c r="D917" s="1">
        <v>16600</v>
      </c>
      <c r="E917" s="4" t="s">
        <v>8</v>
      </c>
      <c r="F917" s="44">
        <v>22841.05</v>
      </c>
      <c r="G917" s="31">
        <v>2723291.93812851</v>
      </c>
      <c r="I917" s="48">
        <v>71102</v>
      </c>
      <c r="J917" s="51">
        <v>8.0435878000000002E-2</v>
      </c>
    </row>
    <row r="918" spans="1:10" x14ac:dyDescent="0.25">
      <c r="A918">
        <v>916</v>
      </c>
      <c r="B918" t="s">
        <v>1776</v>
      </c>
      <c r="C918" t="s">
        <v>1777</v>
      </c>
      <c r="D918" s="1">
        <v>19810</v>
      </c>
      <c r="E918" s="4" t="s">
        <v>11</v>
      </c>
      <c r="F918" s="44">
        <v>22941.279999999999</v>
      </c>
      <c r="G918" s="31">
        <v>3245494.150071844</v>
      </c>
      <c r="I918" s="48">
        <v>71132</v>
      </c>
      <c r="J918" s="51">
        <v>8.0424636999999993E-2</v>
      </c>
    </row>
    <row r="919" spans="1:10" x14ac:dyDescent="0.25">
      <c r="A919">
        <v>917</v>
      </c>
      <c r="B919" t="s">
        <v>1778</v>
      </c>
      <c r="C919" t="s">
        <v>1779</v>
      </c>
      <c r="D919" s="1">
        <v>11922</v>
      </c>
      <c r="E919" s="4" t="s">
        <v>8</v>
      </c>
      <c r="F919" s="44">
        <v>20365.59</v>
      </c>
      <c r="G919" s="31">
        <v>1335361.7309445685</v>
      </c>
      <c r="I919" s="48">
        <v>71163</v>
      </c>
      <c r="J919" s="51">
        <v>8.0413047000000001E-2</v>
      </c>
    </row>
    <row r="920" spans="1:10" x14ac:dyDescent="0.25">
      <c r="A920">
        <v>918</v>
      </c>
      <c r="B920" t="s">
        <v>1780</v>
      </c>
      <c r="C920" t="s">
        <v>1781</v>
      </c>
      <c r="D920" s="1">
        <v>11130</v>
      </c>
      <c r="E920" s="4" t="s">
        <v>11</v>
      </c>
      <c r="F920" s="44">
        <v>20705.240000000002</v>
      </c>
      <c r="G920" s="31">
        <v>1000746.9756105057</v>
      </c>
      <c r="I920" s="48">
        <v>71193</v>
      </c>
      <c r="J920" s="51">
        <v>8.0401854999999994E-2</v>
      </c>
    </row>
    <row r="921" spans="1:10" x14ac:dyDescent="0.25">
      <c r="A921">
        <v>919</v>
      </c>
      <c r="B921" t="s">
        <v>1782</v>
      </c>
      <c r="C921" t="s">
        <v>1783</v>
      </c>
      <c r="D921" s="1">
        <v>20140</v>
      </c>
      <c r="E921" s="4" t="s">
        <v>8</v>
      </c>
      <c r="F921" s="44">
        <v>19837.77</v>
      </c>
      <c r="G921" s="31">
        <v>3148290.304482609</v>
      </c>
      <c r="I921" s="48">
        <v>71224</v>
      </c>
      <c r="J921" s="51">
        <v>8.0390316000000003E-2</v>
      </c>
    </row>
    <row r="922" spans="1:10" x14ac:dyDescent="0.25">
      <c r="A922">
        <v>920</v>
      </c>
      <c r="B922" t="s">
        <v>1784</v>
      </c>
      <c r="C922" t="s">
        <v>1785</v>
      </c>
      <c r="D922" s="1">
        <v>18714</v>
      </c>
      <c r="E922" s="4" t="s">
        <v>8</v>
      </c>
      <c r="F922" s="44">
        <v>19659.59</v>
      </c>
      <c r="G922" s="31">
        <v>2811957.9331123508</v>
      </c>
      <c r="I922" s="48">
        <v>71255</v>
      </c>
      <c r="J922" s="51">
        <v>8.0378801999999999E-2</v>
      </c>
    </row>
    <row r="923" spans="1:10" x14ac:dyDescent="0.25">
      <c r="A923">
        <v>921</v>
      </c>
      <c r="B923" t="s">
        <v>1786</v>
      </c>
      <c r="C923" t="s">
        <v>1787</v>
      </c>
      <c r="D923" s="1">
        <v>7177</v>
      </c>
      <c r="E923" s="4" t="s">
        <v>8</v>
      </c>
      <c r="F923" s="44">
        <v>21507.81</v>
      </c>
      <c r="G923" s="31">
        <v>674550.86796085816</v>
      </c>
      <c r="I923" s="48">
        <v>71283</v>
      </c>
      <c r="J923" s="51">
        <v>8.0368423999999994E-2</v>
      </c>
    </row>
    <row r="924" spans="1:10" x14ac:dyDescent="0.25">
      <c r="A924">
        <v>922</v>
      </c>
      <c r="B924" t="s">
        <v>1788</v>
      </c>
      <c r="C924" t="s">
        <v>1789</v>
      </c>
      <c r="D924" s="1">
        <v>20218</v>
      </c>
      <c r="E924" s="4" t="s">
        <v>8</v>
      </c>
      <c r="F924" s="44">
        <v>12752.15</v>
      </c>
      <c r="G924" s="31">
        <v>2037344.9098272752</v>
      </c>
      <c r="I924" s="48">
        <v>71314</v>
      </c>
      <c r="J924" s="51">
        <v>8.0356959000000006E-2</v>
      </c>
    </row>
    <row r="925" spans="1:10" x14ac:dyDescent="0.25">
      <c r="A925">
        <v>923</v>
      </c>
      <c r="B925" t="s">
        <v>1790</v>
      </c>
      <c r="C925" t="s">
        <v>1791</v>
      </c>
      <c r="D925" s="1">
        <v>20203</v>
      </c>
      <c r="E925" s="4" t="s">
        <v>11</v>
      </c>
      <c r="F925" s="44">
        <v>16465.3</v>
      </c>
      <c r="G925" s="31">
        <v>2409097.6868937742</v>
      </c>
      <c r="I925" s="48">
        <v>71344</v>
      </c>
      <c r="J925" s="51">
        <v>8.0345888000000004E-2</v>
      </c>
    </row>
    <row r="926" spans="1:10" x14ac:dyDescent="0.25">
      <c r="A926">
        <v>924</v>
      </c>
      <c r="B926" t="s">
        <v>1792</v>
      </c>
      <c r="C926" t="s">
        <v>1793</v>
      </c>
      <c r="D926" s="1">
        <v>14096</v>
      </c>
      <c r="E926" s="4" t="s">
        <v>11</v>
      </c>
      <c r="F926" s="44">
        <v>21175.599999999999</v>
      </c>
      <c r="G926" s="31">
        <v>1475362.7126774918</v>
      </c>
      <c r="I926" s="48">
        <v>71375</v>
      </c>
      <c r="J926" s="51">
        <v>8.0334472000000004E-2</v>
      </c>
    </row>
    <row r="927" spans="1:10" x14ac:dyDescent="0.25">
      <c r="A927">
        <v>925</v>
      </c>
      <c r="B927" t="s">
        <v>1606</v>
      </c>
      <c r="C927" t="s">
        <v>1794</v>
      </c>
      <c r="D927" s="1">
        <v>16906</v>
      </c>
      <c r="E927" s="4" t="s">
        <v>11</v>
      </c>
      <c r="F927" s="44">
        <v>15823.75</v>
      </c>
      <c r="G927" s="31">
        <v>1668222.7523915828</v>
      </c>
      <c r="I927" s="48">
        <v>71405</v>
      </c>
      <c r="J927" s="51">
        <v>8.0323448000000006E-2</v>
      </c>
    </row>
    <row r="928" spans="1:10" x14ac:dyDescent="0.25">
      <c r="A928">
        <v>926</v>
      </c>
      <c r="B928" t="s">
        <v>1795</v>
      </c>
      <c r="C928" t="s">
        <v>1796</v>
      </c>
      <c r="D928" s="1">
        <v>12102</v>
      </c>
      <c r="E928" s="4" t="s">
        <v>11</v>
      </c>
      <c r="F928" s="44">
        <v>23765.759999999998</v>
      </c>
      <c r="G928" s="31">
        <v>1275841.2676736864</v>
      </c>
      <c r="I928" s="48">
        <v>71436</v>
      </c>
      <c r="J928" s="51">
        <v>8.0312082000000007E-2</v>
      </c>
    </row>
    <row r="929" spans="1:10" x14ac:dyDescent="0.25">
      <c r="A929">
        <v>927</v>
      </c>
      <c r="B929" t="s">
        <v>1797</v>
      </c>
      <c r="C929" t="s">
        <v>1798</v>
      </c>
      <c r="D929" s="1">
        <v>11721</v>
      </c>
      <c r="E929" s="4" t="s">
        <v>8</v>
      </c>
      <c r="F929" s="44">
        <v>19090.650000000001</v>
      </c>
      <c r="G929" s="31">
        <v>1266380.8746699602</v>
      </c>
      <c r="I929" s="48">
        <v>71467</v>
      </c>
      <c r="J929" s="51">
        <v>8.0300740999999995E-2</v>
      </c>
    </row>
    <row r="930" spans="1:10" x14ac:dyDescent="0.25">
      <c r="A930">
        <v>928</v>
      </c>
      <c r="B930" t="s">
        <v>1799</v>
      </c>
      <c r="C930" t="s">
        <v>1800</v>
      </c>
      <c r="D930" s="1">
        <v>17396</v>
      </c>
      <c r="E930" s="4" t="s">
        <v>8</v>
      </c>
      <c r="F930" s="44">
        <v>22747.67</v>
      </c>
      <c r="G930" s="31">
        <v>2879148.9741516924</v>
      </c>
      <c r="I930" s="48">
        <v>71497</v>
      </c>
      <c r="J930" s="51">
        <v>8.0289789E-2</v>
      </c>
    </row>
    <row r="931" spans="1:10" x14ac:dyDescent="0.25">
      <c r="A931">
        <v>929</v>
      </c>
      <c r="B931" t="s">
        <v>1801</v>
      </c>
      <c r="C931" t="s">
        <v>1802</v>
      </c>
      <c r="D931" s="1">
        <v>14717</v>
      </c>
      <c r="E931" s="4" t="s">
        <v>8</v>
      </c>
      <c r="F931" s="44">
        <v>20412.72</v>
      </c>
      <c r="G931" s="31">
        <v>1990241.8581890257</v>
      </c>
      <c r="I931" s="48">
        <v>71528</v>
      </c>
      <c r="J931" s="51">
        <v>8.0278497000000004E-2</v>
      </c>
    </row>
    <row r="932" spans="1:10" x14ac:dyDescent="0.25">
      <c r="A932">
        <v>930</v>
      </c>
      <c r="B932" t="s">
        <v>923</v>
      </c>
      <c r="C932" t="s">
        <v>1803</v>
      </c>
      <c r="D932" s="1">
        <v>19890</v>
      </c>
      <c r="E932" s="4" t="s">
        <v>11</v>
      </c>
      <c r="F932" s="44">
        <v>20817.919999999998</v>
      </c>
      <c r="G932" s="31">
        <v>2971310.6888030446</v>
      </c>
      <c r="I932" s="48">
        <v>71558</v>
      </c>
      <c r="J932" s="51">
        <v>8.0267592999999998E-2</v>
      </c>
    </row>
    <row r="933" spans="1:10" x14ac:dyDescent="0.25">
      <c r="A933">
        <v>931</v>
      </c>
      <c r="B933" t="s">
        <v>1804</v>
      </c>
      <c r="C933" t="s">
        <v>1805</v>
      </c>
      <c r="D933" s="1">
        <v>14762</v>
      </c>
      <c r="E933" s="4" t="s">
        <v>8</v>
      </c>
      <c r="F933" s="44">
        <v>26512.799999999999</v>
      </c>
      <c r="G933" s="31">
        <v>2608700.0907714432</v>
      </c>
      <c r="I933" s="48">
        <v>71589</v>
      </c>
      <c r="J933" s="51">
        <v>8.0256349000000005E-2</v>
      </c>
    </row>
    <row r="934" spans="1:10" x14ac:dyDescent="0.25">
      <c r="A934">
        <v>932</v>
      </c>
      <c r="B934" t="s">
        <v>1806</v>
      </c>
      <c r="C934" t="s">
        <v>1807</v>
      </c>
      <c r="D934" s="1">
        <v>8376</v>
      </c>
      <c r="E934" s="4" t="s">
        <v>8</v>
      </c>
      <c r="F934" s="44">
        <v>16677.97</v>
      </c>
      <c r="G934" s="31">
        <v>672149.95582891686</v>
      </c>
      <c r="I934" s="48">
        <v>71620</v>
      </c>
      <c r="J934" s="51">
        <v>8.0245129999999998E-2</v>
      </c>
    </row>
    <row r="935" spans="1:10" x14ac:dyDescent="0.25">
      <c r="A935">
        <v>933</v>
      </c>
      <c r="B935" t="s">
        <v>1569</v>
      </c>
      <c r="C935" t="s">
        <v>1366</v>
      </c>
      <c r="D935" s="1">
        <v>17978</v>
      </c>
      <c r="E935" s="4" t="s">
        <v>8</v>
      </c>
      <c r="F935" s="44">
        <v>20606.32</v>
      </c>
      <c r="G935" s="31">
        <v>2773589.8034661282</v>
      </c>
      <c r="I935" s="48">
        <v>71649</v>
      </c>
      <c r="J935" s="51">
        <v>8.0234657000000001E-2</v>
      </c>
    </row>
    <row r="936" spans="1:10" x14ac:dyDescent="0.25">
      <c r="A936">
        <v>934</v>
      </c>
      <c r="B936" t="s">
        <v>1808</v>
      </c>
      <c r="C936" t="s">
        <v>1809</v>
      </c>
      <c r="D936" s="1">
        <v>10658</v>
      </c>
      <c r="E936" s="4" t="s">
        <v>8</v>
      </c>
      <c r="F936" s="44">
        <v>15870.6</v>
      </c>
      <c r="G936" s="31">
        <v>918004.48613160185</v>
      </c>
      <c r="I936" s="48">
        <v>71680</v>
      </c>
      <c r="J936" s="51">
        <v>8.0223485999999997E-2</v>
      </c>
    </row>
    <row r="937" spans="1:10" x14ac:dyDescent="0.25">
      <c r="A937">
        <v>935</v>
      </c>
      <c r="B937" t="s">
        <v>1810</v>
      </c>
      <c r="C937" t="s">
        <v>1811</v>
      </c>
      <c r="D937" s="1">
        <v>9493</v>
      </c>
      <c r="E937" s="4" t="s">
        <v>11</v>
      </c>
      <c r="F937" s="44">
        <v>26579.27</v>
      </c>
      <c r="G937" s="31">
        <v>926726.88412559102</v>
      </c>
      <c r="I937" s="48">
        <v>71710</v>
      </c>
      <c r="J937" s="51">
        <v>8.0212696999999999E-2</v>
      </c>
    </row>
    <row r="938" spans="1:10" x14ac:dyDescent="0.25">
      <c r="A938">
        <v>936</v>
      </c>
      <c r="B938" t="s">
        <v>1812</v>
      </c>
      <c r="C938" t="s">
        <v>1813</v>
      </c>
      <c r="D938" s="1">
        <v>11548</v>
      </c>
      <c r="E938" s="4" t="s">
        <v>11</v>
      </c>
      <c r="F938" s="44">
        <v>19974.990000000002</v>
      </c>
      <c r="G938" s="31">
        <v>913991.31674305501</v>
      </c>
      <c r="I938" s="48">
        <v>71741</v>
      </c>
      <c r="J938" s="51">
        <v>8.0201573999999998E-2</v>
      </c>
    </row>
    <row r="939" spans="1:10" x14ac:dyDescent="0.25">
      <c r="A939">
        <v>937</v>
      </c>
      <c r="B939" t="s">
        <v>1814</v>
      </c>
      <c r="C939" t="s">
        <v>1815</v>
      </c>
      <c r="D939" s="1">
        <v>17180</v>
      </c>
      <c r="E939" s="4" t="s">
        <v>8</v>
      </c>
      <c r="F939" s="44">
        <v>14706.92</v>
      </c>
      <c r="G939" s="31">
        <v>1837650.4893210102</v>
      </c>
      <c r="I939" s="48">
        <v>71771</v>
      </c>
      <c r="J939" s="51">
        <v>8.0190832000000004E-2</v>
      </c>
    </row>
    <row r="940" spans="1:10" x14ac:dyDescent="0.25">
      <c r="A940">
        <v>938</v>
      </c>
      <c r="B940" t="s">
        <v>1816</v>
      </c>
      <c r="C940" t="s">
        <v>1817</v>
      </c>
      <c r="D940" s="1">
        <v>20930</v>
      </c>
      <c r="E940" s="4" t="s">
        <v>8</v>
      </c>
      <c r="F940" s="44">
        <v>21270.32</v>
      </c>
      <c r="G940" s="31">
        <v>3556418.6536884406</v>
      </c>
      <c r="I940" s="48">
        <v>71802</v>
      </c>
      <c r="J940" s="51">
        <v>8.0179756000000005E-2</v>
      </c>
    </row>
    <row r="941" spans="1:10" x14ac:dyDescent="0.25">
      <c r="A941">
        <v>939</v>
      </c>
      <c r="B941" t="s">
        <v>1818</v>
      </c>
      <c r="C941" t="s">
        <v>1819</v>
      </c>
      <c r="D941" s="1">
        <v>19946</v>
      </c>
      <c r="E941" s="4" t="s">
        <v>8</v>
      </c>
      <c r="F941" s="44">
        <v>19988.02</v>
      </c>
      <c r="G941" s="31">
        <v>3118072.6691827835</v>
      </c>
      <c r="I941" s="48">
        <v>71833</v>
      </c>
      <c r="J941" s="51">
        <v>8.0168702999999994E-2</v>
      </c>
    </row>
    <row r="942" spans="1:10" x14ac:dyDescent="0.25">
      <c r="A942">
        <v>940</v>
      </c>
      <c r="B942" t="s">
        <v>1820</v>
      </c>
      <c r="C942" t="s">
        <v>1821</v>
      </c>
      <c r="D942" s="1">
        <v>13631</v>
      </c>
      <c r="E942" s="4" t="s">
        <v>8</v>
      </c>
      <c r="F942" s="44">
        <v>16888.240000000002</v>
      </c>
      <c r="G942" s="31">
        <v>1452174.0213133672</v>
      </c>
      <c r="I942" s="48">
        <v>71863</v>
      </c>
      <c r="J942" s="51">
        <v>8.0158031000000005E-2</v>
      </c>
    </row>
    <row r="943" spans="1:10" x14ac:dyDescent="0.25">
      <c r="A943">
        <v>941</v>
      </c>
      <c r="B943" t="s">
        <v>1822</v>
      </c>
      <c r="C943" t="s">
        <v>1823</v>
      </c>
      <c r="D943" s="1">
        <v>14766</v>
      </c>
      <c r="E943" s="4" t="s">
        <v>8</v>
      </c>
      <c r="F943" s="44">
        <v>23355.69</v>
      </c>
      <c r="G943" s="31">
        <v>2300984.1902448866</v>
      </c>
      <c r="I943" s="48">
        <v>71894</v>
      </c>
      <c r="J943" s="51">
        <v>8.0147025999999996E-2</v>
      </c>
    </row>
    <row r="944" spans="1:10" x14ac:dyDescent="0.25">
      <c r="A944">
        <v>942</v>
      </c>
      <c r="B944" t="s">
        <v>190</v>
      </c>
      <c r="C944" t="s">
        <v>1824</v>
      </c>
      <c r="D944" s="1">
        <v>20593</v>
      </c>
      <c r="E944" s="4" t="s">
        <v>8</v>
      </c>
      <c r="F944" s="44">
        <v>20845.580000000002</v>
      </c>
      <c r="G944" s="31">
        <v>3413687.7074754839</v>
      </c>
      <c r="I944" s="48">
        <v>71924</v>
      </c>
      <c r="J944" s="51">
        <v>8.0136397999999998E-2</v>
      </c>
    </row>
    <row r="945" spans="1:10" x14ac:dyDescent="0.25">
      <c r="A945">
        <v>943</v>
      </c>
      <c r="B945" t="s">
        <v>1825</v>
      </c>
      <c r="C945" t="s">
        <v>1826</v>
      </c>
      <c r="D945" s="1">
        <v>7735</v>
      </c>
      <c r="E945" s="4" t="s">
        <v>11</v>
      </c>
      <c r="F945" s="44">
        <v>22599.66</v>
      </c>
      <c r="G945" s="31">
        <v>639246.86008808564</v>
      </c>
      <c r="I945" s="48">
        <v>71955</v>
      </c>
      <c r="J945" s="51">
        <v>8.0125440000000006E-2</v>
      </c>
    </row>
    <row r="946" spans="1:10" x14ac:dyDescent="0.25">
      <c r="A946">
        <v>944</v>
      </c>
      <c r="B946" t="s">
        <v>1827</v>
      </c>
      <c r="C946" t="s">
        <v>1828</v>
      </c>
      <c r="D946" s="1">
        <v>9909</v>
      </c>
      <c r="E946" s="4" t="s">
        <v>8</v>
      </c>
      <c r="F946" s="44">
        <v>19887.79</v>
      </c>
      <c r="G946" s="31">
        <v>1030154.158425968</v>
      </c>
      <c r="I946" s="48">
        <v>71986</v>
      </c>
      <c r="J946" s="51">
        <v>8.0114505000000003E-2</v>
      </c>
    </row>
    <row r="947" spans="1:10" x14ac:dyDescent="0.25">
      <c r="A947">
        <v>945</v>
      </c>
      <c r="B947" t="s">
        <v>1829</v>
      </c>
      <c r="C947" t="s">
        <v>1830</v>
      </c>
      <c r="D947" s="1">
        <v>16952</v>
      </c>
      <c r="E947" s="4" t="s">
        <v>8</v>
      </c>
      <c r="F947" s="44">
        <v>23811.42</v>
      </c>
      <c r="G947" s="31">
        <v>2933101.8450922659</v>
      </c>
      <c r="I947" s="48">
        <v>72014</v>
      </c>
      <c r="J947" s="51">
        <v>8.0104649E-2</v>
      </c>
    </row>
    <row r="948" spans="1:10" x14ac:dyDescent="0.25">
      <c r="A948">
        <v>946</v>
      </c>
      <c r="B948" t="s">
        <v>1831</v>
      </c>
      <c r="C948" t="s">
        <v>1832</v>
      </c>
      <c r="D948" s="1">
        <v>8509</v>
      </c>
      <c r="E948" s="4" t="s">
        <v>11</v>
      </c>
      <c r="F948" s="44">
        <v>20817.09</v>
      </c>
      <c r="G948" s="31">
        <v>672273.30925103044</v>
      </c>
      <c r="I948" s="48">
        <v>72045</v>
      </c>
      <c r="J948" s="51">
        <v>8.0093759E-2</v>
      </c>
    </row>
    <row r="949" spans="1:10" x14ac:dyDescent="0.25">
      <c r="A949">
        <v>947</v>
      </c>
      <c r="B949" t="s">
        <v>1833</v>
      </c>
      <c r="C949" t="s">
        <v>1834</v>
      </c>
      <c r="D949" s="1">
        <v>11993</v>
      </c>
      <c r="E949" s="4" t="s">
        <v>11</v>
      </c>
      <c r="F949" s="44">
        <v>14089.55</v>
      </c>
      <c r="G949" s="31">
        <v>715734.7648534578</v>
      </c>
      <c r="I949" s="48">
        <v>72075</v>
      </c>
      <c r="J949" s="51">
        <v>8.0083242999999998E-2</v>
      </c>
    </row>
    <row r="950" spans="1:10" x14ac:dyDescent="0.25">
      <c r="A950">
        <v>948</v>
      </c>
      <c r="B950" t="s">
        <v>1835</v>
      </c>
      <c r="C950" t="s">
        <v>1836</v>
      </c>
      <c r="D950" s="1">
        <v>8709</v>
      </c>
      <c r="E950" s="4" t="s">
        <v>11</v>
      </c>
      <c r="F950" s="44">
        <v>23183.95</v>
      </c>
      <c r="G950" s="31">
        <v>691345.24034467933</v>
      </c>
      <c r="I950" s="48">
        <v>72106</v>
      </c>
      <c r="J950" s="51">
        <v>8.0072400000000002E-2</v>
      </c>
    </row>
    <row r="951" spans="1:10" x14ac:dyDescent="0.25">
      <c r="A951">
        <v>949</v>
      </c>
      <c r="B951" t="s">
        <v>1837</v>
      </c>
      <c r="C951" t="s">
        <v>1838</v>
      </c>
      <c r="D951" s="1">
        <v>14152</v>
      </c>
      <c r="E951" s="4" t="s">
        <v>11</v>
      </c>
      <c r="F951" s="44">
        <v>18816.05</v>
      </c>
      <c r="G951" s="31">
        <v>1336519.9839804659</v>
      </c>
      <c r="I951" s="48">
        <v>72136</v>
      </c>
      <c r="J951" s="51">
        <v>8.0061928000000004E-2</v>
      </c>
    </row>
    <row r="952" spans="1:10" x14ac:dyDescent="0.25">
      <c r="A952">
        <v>950</v>
      </c>
      <c r="B952" t="s">
        <v>1839</v>
      </c>
      <c r="C952" t="s">
        <v>1840</v>
      </c>
      <c r="D952" s="1">
        <v>16696</v>
      </c>
      <c r="E952" s="4" t="s">
        <v>8</v>
      </c>
      <c r="F952" s="44">
        <v>24560.09</v>
      </c>
      <c r="G952" s="31">
        <v>2909155.43441713</v>
      </c>
      <c r="I952" s="48">
        <v>72167</v>
      </c>
      <c r="J952" s="51">
        <v>8.0051129999999998E-2</v>
      </c>
    </row>
    <row r="953" spans="1:10" x14ac:dyDescent="0.25">
      <c r="A953">
        <v>951</v>
      </c>
      <c r="B953" t="s">
        <v>1841</v>
      </c>
      <c r="C953" t="s">
        <v>1842</v>
      </c>
      <c r="D953" s="1">
        <v>9559</v>
      </c>
      <c r="E953" s="4" t="s">
        <v>8</v>
      </c>
      <c r="F953" s="44">
        <v>21583.26</v>
      </c>
      <c r="G953" s="31">
        <v>1070585.2614772709</v>
      </c>
      <c r="I953" s="48">
        <v>72198</v>
      </c>
      <c r="J953" s="51">
        <v>8.0040354999999994E-2</v>
      </c>
    </row>
    <row r="954" spans="1:10" x14ac:dyDescent="0.25">
      <c r="A954">
        <v>952</v>
      </c>
      <c r="B954" t="s">
        <v>1843</v>
      </c>
      <c r="C954" t="s">
        <v>1844</v>
      </c>
      <c r="D954" s="1">
        <v>9535</v>
      </c>
      <c r="E954" s="4" t="s">
        <v>8</v>
      </c>
      <c r="F954" s="44">
        <v>19687.09</v>
      </c>
      <c r="G954" s="31">
        <v>964526.62664945598</v>
      </c>
      <c r="I954" s="48">
        <v>72228</v>
      </c>
      <c r="J954" s="51">
        <v>8.0029950000000002E-2</v>
      </c>
    </row>
    <row r="955" spans="1:10" x14ac:dyDescent="0.25">
      <c r="A955">
        <v>953</v>
      </c>
      <c r="B955" t="s">
        <v>1845</v>
      </c>
      <c r="C955" t="s">
        <v>1846</v>
      </c>
      <c r="D955" s="1">
        <v>10176</v>
      </c>
      <c r="E955" s="4" t="s">
        <v>11</v>
      </c>
      <c r="F955" s="44">
        <v>24681.95</v>
      </c>
      <c r="G955" s="31">
        <v>935602.36878061004</v>
      </c>
      <c r="I955" s="48">
        <v>72259</v>
      </c>
      <c r="J955" s="51">
        <v>8.0019220000000002E-2</v>
      </c>
    </row>
    <row r="956" spans="1:10" x14ac:dyDescent="0.25">
      <c r="A956">
        <v>954</v>
      </c>
      <c r="B956" t="s">
        <v>1847</v>
      </c>
      <c r="C956" t="s">
        <v>1848</v>
      </c>
      <c r="D956" s="1">
        <v>13616</v>
      </c>
      <c r="E956" s="4" t="s">
        <v>11</v>
      </c>
      <c r="F956" s="44">
        <v>20982.92</v>
      </c>
      <c r="G956" s="31">
        <v>1431900.3201079676</v>
      </c>
      <c r="I956" s="48">
        <v>72289</v>
      </c>
      <c r="J956" s="51">
        <v>8.0008859000000002E-2</v>
      </c>
    </row>
    <row r="957" spans="1:10" x14ac:dyDescent="0.25">
      <c r="A957">
        <v>955</v>
      </c>
      <c r="B957" t="s">
        <v>1849</v>
      </c>
      <c r="C957" t="s">
        <v>1850</v>
      </c>
      <c r="D957" s="1">
        <v>12479</v>
      </c>
      <c r="E957" s="4" t="s">
        <v>11</v>
      </c>
      <c r="F957" s="44">
        <v>14644.58</v>
      </c>
      <c r="G957" s="31">
        <v>836090.46787246666</v>
      </c>
      <c r="I957" s="48">
        <v>72320</v>
      </c>
      <c r="J957" s="51">
        <v>7.9998175000000005E-2</v>
      </c>
    </row>
    <row r="958" spans="1:10" x14ac:dyDescent="0.25">
      <c r="A958">
        <v>956</v>
      </c>
      <c r="B958" t="s">
        <v>1851</v>
      </c>
      <c r="C958" t="s">
        <v>1852</v>
      </c>
      <c r="D958" s="1">
        <v>12353</v>
      </c>
      <c r="E958" s="4" t="s">
        <v>11</v>
      </c>
      <c r="F958" s="44">
        <v>20024.43</v>
      </c>
      <c r="G958" s="31">
        <v>1077954.5267324359</v>
      </c>
      <c r="I958" s="48">
        <v>72351</v>
      </c>
      <c r="J958" s="51">
        <v>7.9987512999999996E-2</v>
      </c>
    </row>
    <row r="959" spans="1:10" x14ac:dyDescent="0.25">
      <c r="A959">
        <v>957</v>
      </c>
      <c r="B959" t="s">
        <v>1853</v>
      </c>
      <c r="C959" t="s">
        <v>1854</v>
      </c>
      <c r="D959" s="1">
        <v>18625</v>
      </c>
      <c r="E959" s="4" t="s">
        <v>8</v>
      </c>
      <c r="F959" s="44">
        <v>16129.81</v>
      </c>
      <c r="G959" s="31">
        <v>2284431.7306408295</v>
      </c>
      <c r="I959" s="48">
        <v>72379</v>
      </c>
      <c r="J959" s="51">
        <v>7.9977903000000003E-2</v>
      </c>
    </row>
    <row r="960" spans="1:10" x14ac:dyDescent="0.25">
      <c r="A960">
        <v>958</v>
      </c>
      <c r="B960" t="s">
        <v>1855</v>
      </c>
      <c r="C960" t="s">
        <v>1856</v>
      </c>
      <c r="D960" s="1">
        <v>21126</v>
      </c>
      <c r="E960" s="4" t="s">
        <v>8</v>
      </c>
      <c r="F960" s="44">
        <v>26324.560000000001</v>
      </c>
      <c r="G960" s="31">
        <v>4444798.5643350082</v>
      </c>
      <c r="I960" s="48">
        <v>72410</v>
      </c>
      <c r="J960" s="51">
        <v>7.9967284E-2</v>
      </c>
    </row>
    <row r="961" spans="1:10" x14ac:dyDescent="0.25">
      <c r="A961">
        <v>959</v>
      </c>
      <c r="B961" t="s">
        <v>770</v>
      </c>
      <c r="C961" t="s">
        <v>1857</v>
      </c>
      <c r="D961" s="1">
        <v>9595</v>
      </c>
      <c r="E961" s="4" t="s">
        <v>8</v>
      </c>
      <c r="F961" s="44">
        <v>16606.150000000001</v>
      </c>
      <c r="G961" s="31">
        <v>838245.0840171813</v>
      </c>
      <c r="I961" s="48">
        <v>72440</v>
      </c>
      <c r="J961" s="51">
        <v>7.9957029999999998E-2</v>
      </c>
    </row>
    <row r="962" spans="1:10" x14ac:dyDescent="0.25">
      <c r="A962">
        <v>960</v>
      </c>
      <c r="B962" t="s">
        <v>1858</v>
      </c>
      <c r="C962" t="s">
        <v>1859</v>
      </c>
      <c r="D962" s="1">
        <v>17069</v>
      </c>
      <c r="E962" s="4" t="s">
        <v>8</v>
      </c>
      <c r="F962" s="44">
        <v>15992.98</v>
      </c>
      <c r="G962" s="31">
        <v>1965946.683247159</v>
      </c>
      <c r="I962" s="48">
        <v>72471</v>
      </c>
      <c r="J962" s="51">
        <v>7.9946455999999999E-2</v>
      </c>
    </row>
    <row r="963" spans="1:10" x14ac:dyDescent="0.25">
      <c r="A963">
        <v>961</v>
      </c>
      <c r="B963" t="s">
        <v>1860</v>
      </c>
      <c r="C963" t="s">
        <v>1861</v>
      </c>
      <c r="D963" s="1">
        <v>16601</v>
      </c>
      <c r="E963" s="4" t="s">
        <v>11</v>
      </c>
      <c r="F963" s="44">
        <v>20154.7</v>
      </c>
      <c r="G963" s="31">
        <v>2059450.255920819</v>
      </c>
      <c r="I963" s="48">
        <v>72501</v>
      </c>
      <c r="J963" s="51">
        <v>7.9936244000000004E-2</v>
      </c>
    </row>
    <row r="964" spans="1:10" x14ac:dyDescent="0.25">
      <c r="A964">
        <v>962</v>
      </c>
      <c r="B964" t="s">
        <v>1862</v>
      </c>
      <c r="C964" t="s">
        <v>1863</v>
      </c>
      <c r="D964" s="1">
        <v>16042</v>
      </c>
      <c r="E964" s="4" t="s">
        <v>11</v>
      </c>
      <c r="F964" s="44">
        <v>18097.490000000002</v>
      </c>
      <c r="G964" s="31">
        <v>1695000.618078534</v>
      </c>
      <c r="I964" s="48">
        <v>72532</v>
      </c>
      <c r="J964" s="51">
        <v>7.9925713999999995E-2</v>
      </c>
    </row>
    <row r="965" spans="1:10" x14ac:dyDescent="0.25">
      <c r="A965">
        <v>963</v>
      </c>
      <c r="B965" t="s">
        <v>1864</v>
      </c>
      <c r="C965" t="s">
        <v>1865</v>
      </c>
      <c r="D965" s="1">
        <v>15227</v>
      </c>
      <c r="E965" s="4" t="s">
        <v>11</v>
      </c>
      <c r="F965" s="44">
        <v>21060.83</v>
      </c>
      <c r="G965" s="31">
        <v>1747322.0297311705</v>
      </c>
      <c r="I965" s="48">
        <v>72563</v>
      </c>
      <c r="J965" s="51">
        <v>7.9915206000000003E-2</v>
      </c>
    </row>
    <row r="966" spans="1:10" x14ac:dyDescent="0.25">
      <c r="A966">
        <v>964</v>
      </c>
      <c r="B966" t="s">
        <v>1866</v>
      </c>
      <c r="C966" t="s">
        <v>1867</v>
      </c>
      <c r="D966" s="1">
        <v>15817</v>
      </c>
      <c r="E966" s="4" t="s">
        <v>8</v>
      </c>
      <c r="F966" s="44">
        <v>21975.86</v>
      </c>
      <c r="G966" s="31">
        <v>2414648.2914611376</v>
      </c>
      <c r="I966" s="48">
        <v>72593</v>
      </c>
      <c r="J966" s="51">
        <v>7.9905059000000001E-2</v>
      </c>
    </row>
    <row r="967" spans="1:10" x14ac:dyDescent="0.25">
      <c r="A967">
        <v>965</v>
      </c>
      <c r="B967" t="s">
        <v>1868</v>
      </c>
      <c r="C967" t="s">
        <v>1869</v>
      </c>
      <c r="D967" s="1">
        <v>7250</v>
      </c>
      <c r="E967" s="4" t="s">
        <v>11</v>
      </c>
      <c r="F967" s="44">
        <v>21153.88</v>
      </c>
      <c r="G967" s="31">
        <v>506041.7173300506</v>
      </c>
      <c r="I967" s="48">
        <v>72624</v>
      </c>
      <c r="J967" s="51">
        <v>7.9894594999999999E-2</v>
      </c>
    </row>
    <row r="968" spans="1:10" x14ac:dyDescent="0.25">
      <c r="A968">
        <v>966</v>
      </c>
      <c r="B968" t="s">
        <v>1870</v>
      </c>
      <c r="C968" t="s">
        <v>1871</v>
      </c>
      <c r="D968" s="1">
        <v>12518</v>
      </c>
      <c r="E968" s="4" t="s">
        <v>8</v>
      </c>
      <c r="F968" s="44">
        <v>18791.45</v>
      </c>
      <c r="G968" s="31">
        <v>1403294.1313534044</v>
      </c>
      <c r="I968" s="48">
        <v>72654</v>
      </c>
      <c r="J968" s="51">
        <v>7.9884489000000003E-2</v>
      </c>
    </row>
    <row r="969" spans="1:10" x14ac:dyDescent="0.25">
      <c r="A969">
        <v>967</v>
      </c>
      <c r="B969" t="s">
        <v>1872</v>
      </c>
      <c r="C969" t="s">
        <v>1873</v>
      </c>
      <c r="D969" s="1">
        <v>10940</v>
      </c>
      <c r="E969" s="4" t="s">
        <v>8</v>
      </c>
      <c r="F969" s="44">
        <v>17074.36</v>
      </c>
      <c r="G969" s="31">
        <v>1002840.9066865225</v>
      </c>
      <c r="I969" s="48">
        <v>72685</v>
      </c>
      <c r="J969" s="51">
        <v>7.9874069000000006E-2</v>
      </c>
    </row>
    <row r="970" spans="1:10" x14ac:dyDescent="0.25">
      <c r="A970">
        <v>968</v>
      </c>
      <c r="B970" t="s">
        <v>1874</v>
      </c>
      <c r="C970" t="s">
        <v>1875</v>
      </c>
      <c r="D970" s="1">
        <v>9094</v>
      </c>
      <c r="E970" s="4" t="s">
        <v>8</v>
      </c>
      <c r="F970" s="44">
        <v>20267.900000000001</v>
      </c>
      <c r="G970" s="31">
        <v>902193.8956579807</v>
      </c>
      <c r="I970" s="48">
        <v>72716</v>
      </c>
      <c r="J970" s="51">
        <v>7.9863669999999998E-2</v>
      </c>
    </row>
    <row r="971" spans="1:10" x14ac:dyDescent="0.25">
      <c r="A971">
        <v>969</v>
      </c>
      <c r="B971" t="s">
        <v>1876</v>
      </c>
      <c r="C971" t="s">
        <v>1877</v>
      </c>
      <c r="D971" s="1">
        <v>15862</v>
      </c>
      <c r="E971" s="4" t="s">
        <v>11</v>
      </c>
      <c r="F971" s="44">
        <v>23835.97</v>
      </c>
      <c r="G971" s="31">
        <v>2223758.9594394965</v>
      </c>
      <c r="I971" s="48">
        <v>72744</v>
      </c>
      <c r="J971" s="51">
        <v>7.9854296000000005E-2</v>
      </c>
    </row>
    <row r="972" spans="1:10" x14ac:dyDescent="0.25">
      <c r="A972">
        <v>970</v>
      </c>
      <c r="B972" t="s">
        <v>1878</v>
      </c>
      <c r="C972" t="s">
        <v>1879</v>
      </c>
      <c r="D972" s="1">
        <v>7997</v>
      </c>
      <c r="E972" s="4" t="s">
        <v>8</v>
      </c>
      <c r="F972" s="44">
        <v>19121.259999999998</v>
      </c>
      <c r="G972" s="31">
        <v>722138.77412568533</v>
      </c>
      <c r="I972" s="48">
        <v>72775</v>
      </c>
      <c r="J972" s="51">
        <v>7.9843939000000003E-2</v>
      </c>
    </row>
    <row r="973" spans="1:10" x14ac:dyDescent="0.25">
      <c r="A973">
        <v>971</v>
      </c>
      <c r="B973" t="s">
        <v>1880</v>
      </c>
      <c r="C973" t="s">
        <v>1881</v>
      </c>
      <c r="D973" s="1">
        <v>18182</v>
      </c>
      <c r="E973" s="4" t="s">
        <v>11</v>
      </c>
      <c r="F973" s="44">
        <v>20867.27</v>
      </c>
      <c r="G973" s="31">
        <v>2509357.1420653597</v>
      </c>
      <c r="I973" s="48">
        <v>72805</v>
      </c>
      <c r="J973" s="51">
        <v>7.9833936999999994E-2</v>
      </c>
    </row>
    <row r="974" spans="1:10" x14ac:dyDescent="0.25">
      <c r="A974">
        <v>972</v>
      </c>
      <c r="B974" t="s">
        <v>1882</v>
      </c>
      <c r="C974" t="s">
        <v>1883</v>
      </c>
      <c r="D974" s="1">
        <v>20321</v>
      </c>
      <c r="E974" s="4" t="s">
        <v>8</v>
      </c>
      <c r="F974" s="44">
        <v>21171.09</v>
      </c>
      <c r="G974" s="31">
        <v>3390117.392572586</v>
      </c>
      <c r="I974" s="48">
        <v>72836</v>
      </c>
      <c r="J974" s="51">
        <v>7.9823622999999996E-2</v>
      </c>
    </row>
    <row r="975" spans="1:10" x14ac:dyDescent="0.25">
      <c r="A975">
        <v>973</v>
      </c>
      <c r="B975" t="s">
        <v>1884</v>
      </c>
      <c r="C975" t="s">
        <v>1885</v>
      </c>
      <c r="D975" s="1">
        <v>7484</v>
      </c>
      <c r="E975" s="4" t="s">
        <v>11</v>
      </c>
      <c r="F975" s="44">
        <v>22464.38</v>
      </c>
      <c r="G975" s="31">
        <v>661991.63667050668</v>
      </c>
      <c r="I975" s="48">
        <v>72866</v>
      </c>
      <c r="J975" s="51">
        <v>7.9813660999999994E-2</v>
      </c>
    </row>
    <row r="976" spans="1:10" x14ac:dyDescent="0.25">
      <c r="A976">
        <v>974</v>
      </c>
      <c r="B976" t="s">
        <v>1886</v>
      </c>
      <c r="C976" t="s">
        <v>1887</v>
      </c>
      <c r="D976" s="1">
        <v>9536</v>
      </c>
      <c r="E976" s="4" t="s">
        <v>8</v>
      </c>
      <c r="F976" s="44">
        <v>15974.99</v>
      </c>
      <c r="G976" s="31">
        <v>783034.81572676392</v>
      </c>
      <c r="I976" s="48">
        <v>72897</v>
      </c>
      <c r="J976" s="51">
        <v>7.9803390000000002E-2</v>
      </c>
    </row>
    <row r="977" spans="1:10" x14ac:dyDescent="0.25">
      <c r="A977">
        <v>975</v>
      </c>
      <c r="B977" t="s">
        <v>1888</v>
      </c>
      <c r="C977" t="s">
        <v>1889</v>
      </c>
      <c r="D977" s="1">
        <v>16466</v>
      </c>
      <c r="E977" s="4" t="s">
        <v>8</v>
      </c>
      <c r="F977" s="44">
        <v>19018.16</v>
      </c>
      <c r="G977" s="31">
        <v>2219865.5701550045</v>
      </c>
      <c r="I977" s="48">
        <v>72928</v>
      </c>
      <c r="J977" s="51">
        <v>7.9793138999999999E-2</v>
      </c>
    </row>
    <row r="978" spans="1:10" x14ac:dyDescent="0.25">
      <c r="A978">
        <v>976</v>
      </c>
      <c r="B978" t="s">
        <v>1890</v>
      </c>
      <c r="C978" t="s">
        <v>1891</v>
      </c>
      <c r="D978" s="1">
        <v>18736</v>
      </c>
      <c r="E978" s="4" t="s">
        <v>8</v>
      </c>
      <c r="F978" s="44">
        <v>19734.88</v>
      </c>
      <c r="G978" s="31">
        <v>2829506.1091689025</v>
      </c>
      <c r="I978" s="48">
        <v>72958</v>
      </c>
      <c r="J978" s="51">
        <v>7.9783240000000005E-2</v>
      </c>
    </row>
    <row r="979" spans="1:10" x14ac:dyDescent="0.25">
      <c r="A979">
        <v>977</v>
      </c>
      <c r="B979" t="s">
        <v>1892</v>
      </c>
      <c r="C979" t="s">
        <v>1893</v>
      </c>
      <c r="D979" s="1">
        <v>11021</v>
      </c>
      <c r="E979" s="4" t="s">
        <v>8</v>
      </c>
      <c r="F979" s="44">
        <v>20356.240000000002</v>
      </c>
      <c r="G979" s="31">
        <v>1236867.9925989618</v>
      </c>
      <c r="I979" s="48">
        <v>72989</v>
      </c>
      <c r="J979" s="51">
        <v>7.9773030999999994E-2</v>
      </c>
    </row>
    <row r="980" spans="1:10" x14ac:dyDescent="0.25">
      <c r="A980">
        <v>978</v>
      </c>
      <c r="B980" t="s">
        <v>1894</v>
      </c>
      <c r="C980" t="s">
        <v>1895</v>
      </c>
      <c r="D980" s="1">
        <v>14353</v>
      </c>
      <c r="E980" s="4" t="s">
        <v>8</v>
      </c>
      <c r="F980" s="44">
        <v>22980.799999999999</v>
      </c>
      <c r="G980" s="31">
        <v>2149681.9665581924</v>
      </c>
      <c r="I980" s="48">
        <v>73019</v>
      </c>
      <c r="J980" s="51">
        <v>7.9763173000000007E-2</v>
      </c>
    </row>
    <row r="981" spans="1:10" x14ac:dyDescent="0.25">
      <c r="A981">
        <v>979</v>
      </c>
      <c r="B981" t="s">
        <v>1896</v>
      </c>
      <c r="C981" t="s">
        <v>1897</v>
      </c>
      <c r="D981" s="1">
        <v>7808</v>
      </c>
      <c r="E981" s="4" t="s">
        <v>11</v>
      </c>
      <c r="F981" s="44">
        <v>14808.08</v>
      </c>
      <c r="G981" s="31">
        <v>443386.65402670152</v>
      </c>
      <c r="I981" s="48">
        <v>73050</v>
      </c>
      <c r="J981" s="51">
        <v>7.9753006000000001E-2</v>
      </c>
    </row>
    <row r="982" spans="1:10" x14ac:dyDescent="0.25">
      <c r="A982">
        <v>980</v>
      </c>
      <c r="B982" t="s">
        <v>1898</v>
      </c>
      <c r="C982" t="s">
        <v>1899</v>
      </c>
      <c r="D982" s="1">
        <v>13793</v>
      </c>
      <c r="E982" s="4" t="s">
        <v>11</v>
      </c>
      <c r="F982" s="44">
        <v>18453.97</v>
      </c>
      <c r="G982" s="31">
        <v>1242932.1965256305</v>
      </c>
      <c r="I982" s="48">
        <v>73081</v>
      </c>
      <c r="J982" s="51">
        <v>7.9742860999999998E-2</v>
      </c>
    </row>
    <row r="983" spans="1:10" x14ac:dyDescent="0.25">
      <c r="A983">
        <v>981</v>
      </c>
      <c r="B983" t="s">
        <v>1900</v>
      </c>
      <c r="C983" t="s">
        <v>1901</v>
      </c>
      <c r="D983" s="1">
        <v>9953</v>
      </c>
      <c r="E983" s="4" t="s">
        <v>11</v>
      </c>
      <c r="F983" s="44">
        <v>16258.38</v>
      </c>
      <c r="G983" s="31">
        <v>640339.58756127907</v>
      </c>
      <c r="I983" s="48">
        <v>73109</v>
      </c>
      <c r="J983" s="51">
        <v>7.9733714999999997E-2</v>
      </c>
    </row>
    <row r="984" spans="1:10" x14ac:dyDescent="0.25">
      <c r="A984">
        <v>982</v>
      </c>
      <c r="B984" t="s">
        <v>1902</v>
      </c>
      <c r="C984" t="s">
        <v>1903</v>
      </c>
      <c r="D984" s="1">
        <v>8344</v>
      </c>
      <c r="E984" s="4" t="s">
        <v>11</v>
      </c>
      <c r="F984" s="44">
        <v>19765.509999999998</v>
      </c>
      <c r="G984" s="31">
        <v>556729.9774332213</v>
      </c>
      <c r="I984" s="48">
        <v>73140</v>
      </c>
      <c r="J984" s="51">
        <v>7.972361E-2</v>
      </c>
    </row>
    <row r="985" spans="1:10" x14ac:dyDescent="0.25">
      <c r="A985">
        <v>983</v>
      </c>
      <c r="B985" t="s">
        <v>1904</v>
      </c>
      <c r="C985" t="s">
        <v>1905</v>
      </c>
      <c r="D985" s="1">
        <v>12440</v>
      </c>
      <c r="E985" s="4" t="s">
        <v>11</v>
      </c>
      <c r="F985" s="44">
        <v>21304.49</v>
      </c>
      <c r="G985" s="31">
        <v>1194945.9406065191</v>
      </c>
      <c r="I985" s="48">
        <v>73170</v>
      </c>
      <c r="J985" s="51">
        <v>7.9713850000000003E-2</v>
      </c>
    </row>
    <row r="986" spans="1:10" x14ac:dyDescent="0.25">
      <c r="A986">
        <v>984</v>
      </c>
      <c r="B986" t="s">
        <v>1906</v>
      </c>
      <c r="C986" t="s">
        <v>1907</v>
      </c>
      <c r="D986" s="1">
        <v>12503</v>
      </c>
      <c r="E986" s="4" t="s">
        <v>11</v>
      </c>
      <c r="F986" s="44">
        <v>23288.34</v>
      </c>
      <c r="G986" s="31">
        <v>1342718.4819807184</v>
      </c>
      <c r="I986" s="48">
        <v>73201</v>
      </c>
      <c r="J986" s="51">
        <v>7.9703785999999999E-2</v>
      </c>
    </row>
    <row r="987" spans="1:10" x14ac:dyDescent="0.25">
      <c r="A987">
        <v>985</v>
      </c>
      <c r="B987" t="s">
        <v>1908</v>
      </c>
      <c r="C987" t="s">
        <v>1909</v>
      </c>
      <c r="D987" s="1">
        <v>20643</v>
      </c>
      <c r="E987" s="4" t="s">
        <v>8</v>
      </c>
      <c r="F987" s="44">
        <v>18542.16</v>
      </c>
      <c r="G987" s="31">
        <v>3031375.5167755517</v>
      </c>
      <c r="I987" s="48">
        <v>73231</v>
      </c>
      <c r="J987" s="51">
        <v>7.9694066999999993E-2</v>
      </c>
    </row>
    <row r="988" spans="1:10" x14ac:dyDescent="0.25">
      <c r="A988">
        <v>986</v>
      </c>
      <c r="B988" t="s">
        <v>1910</v>
      </c>
      <c r="C988" t="s">
        <v>1911</v>
      </c>
      <c r="D988" s="1">
        <v>11920</v>
      </c>
      <c r="E988" s="4" t="s">
        <v>8</v>
      </c>
      <c r="F988" s="44">
        <v>18878.45</v>
      </c>
      <c r="G988" s="31">
        <v>1236964.4245595324</v>
      </c>
      <c r="I988" s="48">
        <v>73262</v>
      </c>
      <c r="J988" s="51">
        <v>7.9684042999999996E-2</v>
      </c>
    </row>
    <row r="989" spans="1:10" x14ac:dyDescent="0.25">
      <c r="A989">
        <v>987</v>
      </c>
      <c r="B989" t="s">
        <v>1912</v>
      </c>
      <c r="C989" t="s">
        <v>1913</v>
      </c>
      <c r="D989" s="1">
        <v>12948</v>
      </c>
      <c r="E989" s="4" t="s">
        <v>8</v>
      </c>
      <c r="F989" s="44">
        <v>21545.39</v>
      </c>
      <c r="G989" s="31">
        <v>1716680.8066461624</v>
      </c>
      <c r="I989" s="48">
        <v>73293</v>
      </c>
      <c r="J989" s="51">
        <v>7.9674041000000001E-2</v>
      </c>
    </row>
    <row r="990" spans="1:10" x14ac:dyDescent="0.25">
      <c r="A990">
        <v>988</v>
      </c>
      <c r="B990" t="s">
        <v>1914</v>
      </c>
      <c r="C990" t="s">
        <v>1915</v>
      </c>
      <c r="D990" s="1">
        <v>12709</v>
      </c>
      <c r="E990" s="4" t="s">
        <v>11</v>
      </c>
      <c r="F990" s="44">
        <v>22435.11</v>
      </c>
      <c r="G990" s="31">
        <v>1276243.0981927449</v>
      </c>
      <c r="I990" s="48">
        <v>73323</v>
      </c>
      <c r="J990" s="51">
        <v>7.9664381000000006E-2</v>
      </c>
    </row>
    <row r="991" spans="1:10" x14ac:dyDescent="0.25">
      <c r="A991">
        <v>989</v>
      </c>
      <c r="B991" t="s">
        <v>136</v>
      </c>
      <c r="C991" t="s">
        <v>1916</v>
      </c>
      <c r="D991" s="1">
        <v>17377</v>
      </c>
      <c r="E991" s="4" t="s">
        <v>11</v>
      </c>
      <c r="F991" s="44">
        <v>22817.32</v>
      </c>
      <c r="G991" s="31">
        <v>2495626.7215092722</v>
      </c>
      <c r="I991" s="48">
        <v>73354</v>
      </c>
      <c r="J991" s="51">
        <v>7.9654419000000004E-2</v>
      </c>
    </row>
    <row r="992" spans="1:10" x14ac:dyDescent="0.25">
      <c r="A992">
        <v>990</v>
      </c>
      <c r="B992" t="s">
        <v>1917</v>
      </c>
      <c r="C992" t="s">
        <v>1918</v>
      </c>
      <c r="D992" s="1">
        <v>7123</v>
      </c>
      <c r="E992" s="4" t="s">
        <v>11</v>
      </c>
      <c r="F992" s="44">
        <v>18568.310000000001</v>
      </c>
      <c r="G992" s="31">
        <v>377326.24179219629</v>
      </c>
      <c r="I992" s="48">
        <v>73384</v>
      </c>
      <c r="J992" s="51">
        <v>7.9644798000000003E-2</v>
      </c>
    </row>
    <row r="993" spans="1:10" x14ac:dyDescent="0.25">
      <c r="A993">
        <v>991</v>
      </c>
      <c r="B993" t="s">
        <v>1422</v>
      </c>
      <c r="C993" t="s">
        <v>1919</v>
      </c>
      <c r="D993" s="1">
        <v>16688</v>
      </c>
      <c r="E993" s="4" t="s">
        <v>11</v>
      </c>
      <c r="F993" s="44">
        <v>22194.35</v>
      </c>
      <c r="G993" s="31">
        <v>2239484.5837576138</v>
      </c>
      <c r="I993" s="48">
        <v>73415</v>
      </c>
      <c r="J993" s="51">
        <v>7.9634875999999993E-2</v>
      </c>
    </row>
    <row r="994" spans="1:10" x14ac:dyDescent="0.25">
      <c r="A994">
        <v>992</v>
      </c>
      <c r="B994" t="s">
        <v>1920</v>
      </c>
      <c r="C994" t="s">
        <v>323</v>
      </c>
      <c r="D994" s="1">
        <v>7059</v>
      </c>
      <c r="E994" s="4" t="s">
        <v>11</v>
      </c>
      <c r="F994" s="44">
        <v>20768.64</v>
      </c>
      <c r="G994" s="31">
        <v>558797.15672530676</v>
      </c>
      <c r="I994" s="48">
        <v>73446</v>
      </c>
      <c r="J994" s="51">
        <v>7.9624975000000001E-2</v>
      </c>
    </row>
    <row r="995" spans="1:10" x14ac:dyDescent="0.25">
      <c r="A995">
        <v>993</v>
      </c>
      <c r="B995" t="s">
        <v>1921</v>
      </c>
      <c r="C995" t="s">
        <v>1922</v>
      </c>
      <c r="D995" s="1">
        <v>10747</v>
      </c>
      <c r="E995" s="4" t="s">
        <v>11</v>
      </c>
      <c r="F995" s="44">
        <v>21517.66</v>
      </c>
      <c r="G995" s="31">
        <v>977610.1249656959</v>
      </c>
      <c r="I995" s="48">
        <v>73474</v>
      </c>
      <c r="J995" s="51">
        <v>7.9616048999999994E-2</v>
      </c>
    </row>
    <row r="996" spans="1:10" x14ac:dyDescent="0.25">
      <c r="A996">
        <v>994</v>
      </c>
      <c r="B996" t="s">
        <v>1923</v>
      </c>
      <c r="C996" t="s">
        <v>1924</v>
      </c>
      <c r="D996" s="1">
        <v>14358</v>
      </c>
      <c r="E996" s="4" t="s">
        <v>11</v>
      </c>
      <c r="F996" s="44">
        <v>19693.28</v>
      </c>
      <c r="G996" s="31">
        <v>1496290.4162877414</v>
      </c>
      <c r="I996" s="48">
        <v>73505</v>
      </c>
      <c r="J996" s="51">
        <v>7.9606186999999995E-2</v>
      </c>
    </row>
    <row r="997" spans="1:10" x14ac:dyDescent="0.25">
      <c r="A997">
        <v>995</v>
      </c>
      <c r="B997" t="s">
        <v>1925</v>
      </c>
      <c r="C997" t="s">
        <v>1926</v>
      </c>
      <c r="D997" s="1">
        <v>13705</v>
      </c>
      <c r="E997" s="4" t="s">
        <v>11</v>
      </c>
      <c r="F997" s="44">
        <v>21699.11</v>
      </c>
      <c r="G997" s="31">
        <v>1412573.8273029043</v>
      </c>
      <c r="I997" s="48">
        <v>73535</v>
      </c>
      <c r="J997" s="51">
        <v>7.9596660999999999E-2</v>
      </c>
    </row>
    <row r="998" spans="1:10" x14ac:dyDescent="0.25">
      <c r="A998">
        <v>996</v>
      </c>
      <c r="B998" t="s">
        <v>1927</v>
      </c>
      <c r="C998" t="s">
        <v>1928</v>
      </c>
      <c r="D998" s="1">
        <v>14148</v>
      </c>
      <c r="E998" s="4" t="s">
        <v>11</v>
      </c>
      <c r="F998" s="44">
        <v>30578.42</v>
      </c>
      <c r="G998" s="31">
        <v>2169157.8476803871</v>
      </c>
      <c r="I998" s="48">
        <v>73566</v>
      </c>
      <c r="J998" s="51">
        <v>7.9586837999999993E-2</v>
      </c>
    </row>
    <row r="999" spans="1:10" x14ac:dyDescent="0.25">
      <c r="A999">
        <v>997</v>
      </c>
      <c r="B999" t="s">
        <v>1929</v>
      </c>
      <c r="C999" t="s">
        <v>1930</v>
      </c>
      <c r="D999" s="1">
        <v>13807</v>
      </c>
      <c r="E999" s="4" t="s">
        <v>8</v>
      </c>
      <c r="F999" s="44">
        <v>19252.96</v>
      </c>
      <c r="G999" s="31">
        <v>1647750.9883831549</v>
      </c>
      <c r="I999" s="48">
        <v>73596</v>
      </c>
      <c r="J999" s="51">
        <v>7.9577352000000004E-2</v>
      </c>
    </row>
    <row r="1000" spans="1:10" x14ac:dyDescent="0.25">
      <c r="A1000">
        <v>998</v>
      </c>
      <c r="B1000" t="s">
        <v>1244</v>
      </c>
      <c r="C1000" t="s">
        <v>1931</v>
      </c>
      <c r="D1000" s="1">
        <v>16936</v>
      </c>
      <c r="E1000" s="4" t="s">
        <v>8</v>
      </c>
      <c r="F1000" s="44">
        <v>24426.79</v>
      </c>
      <c r="G1000" s="31">
        <v>3001900.0556538319</v>
      </c>
      <c r="I1000" s="48">
        <v>73627</v>
      </c>
      <c r="J1000" s="51">
        <v>7.9567568000000005E-2</v>
      </c>
    </row>
    <row r="1001" spans="1:10" x14ac:dyDescent="0.25">
      <c r="A1001">
        <v>999</v>
      </c>
      <c r="B1001" t="s">
        <v>1932</v>
      </c>
      <c r="C1001" t="s">
        <v>1933</v>
      </c>
      <c r="D1001" s="1">
        <v>16197</v>
      </c>
      <c r="E1001" s="4" t="s">
        <v>11</v>
      </c>
      <c r="F1001" s="44">
        <v>22775.01</v>
      </c>
      <c r="G1001" s="31">
        <v>2208818.5578675028</v>
      </c>
      <c r="I1001" s="48">
        <v>73658</v>
      </c>
      <c r="J1001" s="51">
        <v>7.9557804999999995E-2</v>
      </c>
    </row>
    <row r="1002" spans="1:10" x14ac:dyDescent="0.25">
      <c r="A1002">
        <v>1000</v>
      </c>
      <c r="B1002" t="s">
        <v>1934</v>
      </c>
      <c r="C1002" t="s">
        <v>1935</v>
      </c>
      <c r="D1002" s="1">
        <v>9297</v>
      </c>
      <c r="E1002" s="4" t="s">
        <v>11</v>
      </c>
      <c r="F1002" s="44">
        <v>24546.95</v>
      </c>
      <c r="G1002" s="31">
        <v>911117.87549903442</v>
      </c>
      <c r="I1002" s="48">
        <v>73688</v>
      </c>
      <c r="J1002" s="51">
        <v>7.9548375000000004E-2</v>
      </c>
    </row>
    <row r="1003" spans="1:10" x14ac:dyDescent="0.25">
      <c r="I1003" s="48">
        <v>73719</v>
      </c>
      <c r="J1003" s="51">
        <v>7.9538651000000002E-2</v>
      </c>
    </row>
    <row r="1004" spans="1:10" x14ac:dyDescent="0.25">
      <c r="I1004" s="48">
        <v>73749</v>
      </c>
      <c r="J1004" s="51">
        <v>7.9529259000000005E-2</v>
      </c>
    </row>
    <row r="1005" spans="1:10" x14ac:dyDescent="0.25">
      <c r="I1005" s="48">
        <v>73780</v>
      </c>
      <c r="J1005" s="51">
        <v>7.9519572999999996E-2</v>
      </c>
    </row>
    <row r="1006" spans="1:10" x14ac:dyDescent="0.25">
      <c r="I1006" s="48">
        <v>73811</v>
      </c>
      <c r="J1006" s="51">
        <v>7.9509908000000004E-2</v>
      </c>
    </row>
    <row r="1007" spans="1:10" x14ac:dyDescent="0.25">
      <c r="I1007" s="48">
        <v>73839</v>
      </c>
      <c r="J1007" s="51">
        <v>7.9501193999999997E-2</v>
      </c>
    </row>
    <row r="1008" spans="1:10" x14ac:dyDescent="0.25">
      <c r="I1008" s="48">
        <v>73870</v>
      </c>
      <c r="J1008" s="51">
        <v>7.9491566E-2</v>
      </c>
    </row>
    <row r="1009" spans="9:10" x14ac:dyDescent="0.25">
      <c r="I1009" s="48">
        <v>73900</v>
      </c>
      <c r="J1009" s="51">
        <v>7.9482265999999996E-2</v>
      </c>
    </row>
    <row r="1010" spans="9:10" x14ac:dyDescent="0.25">
      <c r="I1010" s="48">
        <v>73931</v>
      </c>
      <c r="J1010" s="51">
        <v>7.9472676000000006E-2</v>
      </c>
    </row>
    <row r="1011" spans="9:10" x14ac:dyDescent="0.25">
      <c r="I1011" s="48">
        <v>73961</v>
      </c>
      <c r="J1011" s="51">
        <v>7.9463412999999997E-2</v>
      </c>
    </row>
    <row r="1012" spans="9:10" x14ac:dyDescent="0.25">
      <c r="I1012" s="48">
        <v>73992</v>
      </c>
      <c r="J1012" s="51">
        <v>7.9453861000000001E-2</v>
      </c>
    </row>
    <row r="1013" spans="9:10" x14ac:dyDescent="0.25">
      <c r="I1013" s="48">
        <v>74023</v>
      </c>
      <c r="J1013" s="51">
        <v>7.9444327999999995E-2</v>
      </c>
    </row>
    <row r="1014" spans="9:10" x14ac:dyDescent="0.25">
      <c r="I1014" s="48">
        <v>74053</v>
      </c>
      <c r="J1014" s="51">
        <v>7.9435120999999997E-2</v>
      </c>
    </row>
    <row r="1015" spans="9:10" x14ac:dyDescent="0.25">
      <c r="I1015" s="48">
        <v>74084</v>
      </c>
      <c r="J1015" s="51">
        <v>7.9425625999999999E-2</v>
      </c>
    </row>
    <row r="1016" spans="9:10" x14ac:dyDescent="0.25">
      <c r="I1016" s="48">
        <v>74114</v>
      </c>
      <c r="J1016" s="51">
        <v>7.9416455999999996E-2</v>
      </c>
    </row>
    <row r="1017" spans="9:10" x14ac:dyDescent="0.25">
      <c r="I1017" s="48">
        <v>74145</v>
      </c>
      <c r="J1017" s="51">
        <v>7.9406998000000006E-2</v>
      </c>
    </row>
    <row r="1018" spans="9:10" x14ac:dyDescent="0.25">
      <c r="I1018" s="48">
        <v>74176</v>
      </c>
      <c r="J1018" s="51">
        <v>7.9397559000000006E-2</v>
      </c>
    </row>
    <row r="1019" spans="9:10" x14ac:dyDescent="0.25">
      <c r="I1019" s="48">
        <v>74204</v>
      </c>
      <c r="J1019" s="51">
        <v>7.9389050000000003E-2</v>
      </c>
    </row>
    <row r="1020" spans="9:10" x14ac:dyDescent="0.25">
      <c r="I1020" s="48">
        <v>74235</v>
      </c>
      <c r="J1020" s="51">
        <v>7.9379647999999997E-2</v>
      </c>
    </row>
    <row r="1021" spans="9:10" x14ac:dyDescent="0.25">
      <c r="I1021" s="48">
        <v>74265</v>
      </c>
      <c r="J1021" s="51">
        <v>7.9370566000000004E-2</v>
      </c>
    </row>
    <row r="1022" spans="9:10" x14ac:dyDescent="0.25">
      <c r="I1022" s="48">
        <v>74296</v>
      </c>
      <c r="J1022" s="51">
        <v>7.9361200000000007E-2</v>
      </c>
    </row>
    <row r="1023" spans="9:10" x14ac:dyDescent="0.25">
      <c r="I1023" s="48">
        <v>74326</v>
      </c>
      <c r="J1023" s="51">
        <v>7.9352154999999994E-2</v>
      </c>
    </row>
    <row r="1024" spans="9:10" x14ac:dyDescent="0.25">
      <c r="I1024" s="48">
        <v>74357</v>
      </c>
      <c r="J1024" s="51">
        <v>7.9342826000000005E-2</v>
      </c>
    </row>
    <row r="1025" spans="9:10" x14ac:dyDescent="0.25">
      <c r="I1025" s="48">
        <v>74388</v>
      </c>
      <c r="J1025" s="51">
        <v>7.9333514999999993E-2</v>
      </c>
    </row>
    <row r="1026" spans="9:10" x14ac:dyDescent="0.25">
      <c r="I1026" s="48">
        <v>74418</v>
      </c>
      <c r="J1026" s="51">
        <v>7.9324522999999994E-2</v>
      </c>
    </row>
    <row r="1027" spans="9:10" x14ac:dyDescent="0.25">
      <c r="I1027" s="48">
        <v>74449</v>
      </c>
      <c r="J1027" s="51">
        <v>7.9315249000000004E-2</v>
      </c>
    </row>
    <row r="1028" spans="9:10" x14ac:dyDescent="0.25">
      <c r="I1028" s="48">
        <v>74479</v>
      </c>
      <c r="J1028" s="51">
        <v>7.9306292E-2</v>
      </c>
    </row>
    <row r="1029" spans="9:10" x14ac:dyDescent="0.25">
      <c r="I1029" s="48">
        <v>74510</v>
      </c>
      <c r="J1029" s="51">
        <v>7.9297054000000006E-2</v>
      </c>
    </row>
    <row r="1030" spans="9:10" x14ac:dyDescent="0.25">
      <c r="I1030" s="48">
        <v>74541</v>
      </c>
      <c r="J1030" s="51">
        <v>7.9287834000000001E-2</v>
      </c>
    </row>
    <row r="1031" spans="9:10" x14ac:dyDescent="0.25">
      <c r="I1031" s="48">
        <v>74570</v>
      </c>
      <c r="J1031" s="51">
        <v>7.9279225999999994E-2</v>
      </c>
    </row>
    <row r="1032" spans="9:10" x14ac:dyDescent="0.25">
      <c r="I1032" s="48">
        <v>74601</v>
      </c>
      <c r="J1032" s="51">
        <v>7.9270041999999999E-2</v>
      </c>
    </row>
    <row r="1033" spans="9:10" x14ac:dyDescent="0.25">
      <c r="I1033" s="48">
        <v>74631</v>
      </c>
      <c r="J1033" s="51">
        <v>7.9261172000000005E-2</v>
      </c>
    </row>
    <row r="1034" spans="9:10" x14ac:dyDescent="0.25">
      <c r="I1034" s="48">
        <v>74662</v>
      </c>
      <c r="J1034" s="51">
        <v>7.9252023000000005E-2</v>
      </c>
    </row>
    <row r="1035" spans="9:10" x14ac:dyDescent="0.25">
      <c r="I1035" s="48">
        <v>74692</v>
      </c>
      <c r="J1035" s="51">
        <v>7.9243187000000007E-2</v>
      </c>
    </row>
    <row r="1036" spans="9:10" x14ac:dyDescent="0.25">
      <c r="I1036" s="48">
        <v>74723</v>
      </c>
      <c r="J1036" s="51">
        <v>7.9234074000000002E-2</v>
      </c>
    </row>
    <row r="1037" spans="9:10" x14ac:dyDescent="0.25">
      <c r="I1037" s="48">
        <v>74754</v>
      </c>
      <c r="J1037" s="51">
        <v>7.9224979000000001E-2</v>
      </c>
    </row>
    <row r="1038" spans="9:10" x14ac:dyDescent="0.25">
      <c r="I1038" s="48">
        <v>74784</v>
      </c>
      <c r="J1038" s="51">
        <v>7.9216194000000004E-2</v>
      </c>
    </row>
    <row r="1039" spans="9:10" x14ac:dyDescent="0.25">
      <c r="I1039" s="48">
        <v>74815</v>
      </c>
      <c r="J1039" s="51">
        <v>7.9207134999999998E-2</v>
      </c>
    </row>
    <row r="1040" spans="9:10" x14ac:dyDescent="0.25">
      <c r="I1040" s="48">
        <v>74845</v>
      </c>
      <c r="J1040" s="51">
        <v>7.9198383999999997E-2</v>
      </c>
    </row>
    <row r="1041" spans="9:10" x14ac:dyDescent="0.25">
      <c r="I1041" s="48">
        <v>74876</v>
      </c>
      <c r="J1041" s="51">
        <v>7.9189359000000001E-2</v>
      </c>
    </row>
    <row r="1042" spans="9:10" x14ac:dyDescent="0.25">
      <c r="I1042" s="48">
        <v>74907</v>
      </c>
      <c r="J1042" s="51">
        <v>7.9180351999999996E-2</v>
      </c>
    </row>
    <row r="1043" spans="9:10" x14ac:dyDescent="0.25">
      <c r="I1043" s="48">
        <v>74935</v>
      </c>
      <c r="J1043" s="51">
        <v>7.9172231999999995E-2</v>
      </c>
    </row>
    <row r="1044" spans="9:10" x14ac:dyDescent="0.25">
      <c r="I1044" s="48">
        <v>74966</v>
      </c>
      <c r="J1044" s="51">
        <v>7.9163258E-2</v>
      </c>
    </row>
    <row r="1045" spans="9:10" x14ac:dyDescent="0.25">
      <c r="I1045" s="48">
        <v>74996</v>
      </c>
      <c r="J1045" s="51">
        <v>7.9154589999999997E-2</v>
      </c>
    </row>
    <row r="1046" spans="9:10" x14ac:dyDescent="0.25">
      <c r="I1046" s="48">
        <v>75027</v>
      </c>
      <c r="J1046" s="51">
        <v>7.9145650999999997E-2</v>
      </c>
    </row>
    <row r="1047" spans="9:10" x14ac:dyDescent="0.25">
      <c r="I1047" s="48">
        <v>75057</v>
      </c>
      <c r="J1047" s="51">
        <v>7.9137017000000004E-2</v>
      </c>
    </row>
    <row r="1048" spans="9:10" x14ac:dyDescent="0.25">
      <c r="I1048" s="48">
        <v>75088</v>
      </c>
      <c r="J1048" s="51">
        <v>7.9128112E-2</v>
      </c>
    </row>
    <row r="1049" spans="9:10" x14ac:dyDescent="0.25">
      <c r="I1049" s="48">
        <v>75119</v>
      </c>
      <c r="J1049" s="51">
        <v>7.9119225000000001E-2</v>
      </c>
    </row>
    <row r="1050" spans="9:10" x14ac:dyDescent="0.25">
      <c r="I1050" s="48">
        <v>75149</v>
      </c>
      <c r="J1050" s="51">
        <v>7.9110639999999996E-2</v>
      </c>
    </row>
    <row r="1051" spans="9:10" x14ac:dyDescent="0.25">
      <c r="I1051" s="48">
        <v>75180</v>
      </c>
      <c r="J1051" s="51">
        <v>7.9101785999999993E-2</v>
      </c>
    </row>
    <row r="1052" spans="9:10" x14ac:dyDescent="0.25">
      <c r="I1052" s="48">
        <v>75210</v>
      </c>
      <c r="J1052" s="51">
        <v>7.9093234999999998E-2</v>
      </c>
    </row>
    <row r="1053" spans="9:10" x14ac:dyDescent="0.25">
      <c r="I1053" s="48">
        <v>75241</v>
      </c>
      <c r="J1053" s="51">
        <v>7.9084415000000005E-2</v>
      </c>
    </row>
    <row r="1054" spans="9:10" x14ac:dyDescent="0.25">
      <c r="I1054" s="48">
        <v>75272</v>
      </c>
      <c r="J1054" s="51">
        <v>7.9075612000000003E-2</v>
      </c>
    </row>
    <row r="1055" spans="9:10" x14ac:dyDescent="0.25">
      <c r="I1055" s="48">
        <v>75300</v>
      </c>
      <c r="J1055" s="51">
        <v>7.9067676000000003E-2</v>
      </c>
    </row>
    <row r="1056" spans="9:10" x14ac:dyDescent="0.25">
      <c r="I1056" s="48">
        <v>75331</v>
      </c>
      <c r="J1056" s="51">
        <v>7.9058905999999998E-2</v>
      </c>
    </row>
    <row r="1057" spans="9:10" x14ac:dyDescent="0.25">
      <c r="I1057" s="48">
        <v>75361</v>
      </c>
      <c r="J1057" s="51">
        <v>7.9050434000000003E-2</v>
      </c>
    </row>
    <row r="1058" spans="9:10" x14ac:dyDescent="0.25">
      <c r="I1058" s="48">
        <v>75392</v>
      </c>
      <c r="J1058" s="51">
        <v>7.9041696999999994E-2</v>
      </c>
    </row>
    <row r="1059" spans="9:10" x14ac:dyDescent="0.25">
      <c r="I1059" s="48">
        <v>75422</v>
      </c>
      <c r="J1059" s="51">
        <v>7.9033257999999995E-2</v>
      </c>
    </row>
    <row r="1060" spans="9:10" x14ac:dyDescent="0.25">
      <c r="I1060" s="48">
        <v>75453</v>
      </c>
      <c r="J1060" s="51">
        <v>7.9024553999999997E-2</v>
      </c>
    </row>
    <row r="1061" spans="9:10" x14ac:dyDescent="0.25">
      <c r="I1061" s="48">
        <v>75484</v>
      </c>
      <c r="J1061" s="51">
        <v>7.9015867000000004E-2</v>
      </c>
    </row>
    <row r="1062" spans="9:10" x14ac:dyDescent="0.25">
      <c r="I1062" s="48">
        <v>75514</v>
      </c>
      <c r="J1062" s="51">
        <v>7.9007475999999993E-2</v>
      </c>
    </row>
    <row r="1063" spans="9:10" x14ac:dyDescent="0.25">
      <c r="I1063" s="48">
        <v>75545</v>
      </c>
      <c r="J1063" s="51">
        <v>7.8998821999999996E-2</v>
      </c>
    </row>
    <row r="1064" spans="9:10" x14ac:dyDescent="0.25">
      <c r="I1064" s="48">
        <v>75575</v>
      </c>
      <c r="J1064" s="51">
        <v>7.8990462999999997E-2</v>
      </c>
    </row>
    <row r="1065" spans="9:10" x14ac:dyDescent="0.25">
      <c r="I1065" s="48">
        <v>75606</v>
      </c>
      <c r="J1065" s="51">
        <v>7.8981840999999997E-2</v>
      </c>
    </row>
    <row r="1066" spans="9:10" x14ac:dyDescent="0.25">
      <c r="I1066" s="48">
        <v>75637</v>
      </c>
      <c r="J1066" s="51">
        <v>7.8973236000000002E-2</v>
      </c>
    </row>
    <row r="1067" spans="9:10" x14ac:dyDescent="0.25">
      <c r="I1067" s="48">
        <v>75665</v>
      </c>
      <c r="J1067" s="51">
        <v>7.8965478000000006E-2</v>
      </c>
    </row>
    <row r="1068" spans="9:10" x14ac:dyDescent="0.25">
      <c r="I1068" s="48">
        <v>75696</v>
      </c>
      <c r="J1068" s="51">
        <v>7.8956903999999994E-2</v>
      </c>
    </row>
    <row r="1069" spans="9:10" x14ac:dyDescent="0.25">
      <c r="I1069" s="48">
        <v>75726</v>
      </c>
      <c r="J1069" s="51">
        <v>7.8948621999999996E-2</v>
      </c>
    </row>
    <row r="1070" spans="9:10" x14ac:dyDescent="0.25">
      <c r="I1070" s="48">
        <v>75757</v>
      </c>
      <c r="J1070" s="51">
        <v>7.8940079999999996E-2</v>
      </c>
    </row>
    <row r="1071" spans="9:10" x14ac:dyDescent="0.25">
      <c r="I1071" s="48">
        <v>75787</v>
      </c>
      <c r="J1071" s="51">
        <v>7.8931829999999994E-2</v>
      </c>
    </row>
    <row r="1072" spans="9:10" x14ac:dyDescent="0.25">
      <c r="I1072" s="48">
        <v>75818</v>
      </c>
      <c r="J1072" s="51">
        <v>7.8923320000000005E-2</v>
      </c>
    </row>
    <row r="1073" spans="9:10" x14ac:dyDescent="0.25">
      <c r="I1073" s="48">
        <v>75849</v>
      </c>
      <c r="J1073" s="51">
        <v>7.8914827000000007E-2</v>
      </c>
    </row>
    <row r="1074" spans="9:10" x14ac:dyDescent="0.25">
      <c r="I1074" s="48">
        <v>75879</v>
      </c>
      <c r="J1074" s="51">
        <v>7.8906622999999995E-2</v>
      </c>
    </row>
    <row r="1075" spans="9:10" x14ac:dyDescent="0.25">
      <c r="I1075" s="48">
        <v>75910</v>
      </c>
      <c r="J1075" s="51">
        <v>7.8898160999999994E-2</v>
      </c>
    </row>
    <row r="1076" spans="9:10" x14ac:dyDescent="0.25">
      <c r="I1076" s="48">
        <v>75940</v>
      </c>
      <c r="J1076" s="51">
        <v>7.8889986999999995E-2</v>
      </c>
    </row>
    <row r="1077" spans="9:10" x14ac:dyDescent="0.25">
      <c r="I1077" s="48">
        <v>75971</v>
      </c>
      <c r="J1077" s="51">
        <v>7.8881557000000005E-2</v>
      </c>
    </row>
    <row r="1078" spans="9:10" x14ac:dyDescent="0.25">
      <c r="I1078" s="48">
        <v>76002</v>
      </c>
      <c r="J1078" s="51">
        <v>7.8873143000000007E-2</v>
      </c>
    </row>
    <row r="1079" spans="9:10" x14ac:dyDescent="0.25">
      <c r="I1079" s="48">
        <v>76031</v>
      </c>
      <c r="J1079" s="51">
        <v>7.8865286000000007E-2</v>
      </c>
    </row>
    <row r="1080" spans="9:10" x14ac:dyDescent="0.25">
      <c r="I1080" s="48">
        <v>76062</v>
      </c>
      <c r="J1080" s="51">
        <v>7.8856903000000006E-2</v>
      </c>
    </row>
    <row r="1081" spans="9:10" x14ac:dyDescent="0.25">
      <c r="I1081" s="48">
        <v>76092</v>
      </c>
      <c r="J1081" s="51">
        <v>7.8848804999999994E-2</v>
      </c>
    </row>
    <row r="1082" spans="9:10" x14ac:dyDescent="0.25">
      <c r="I1082" s="48">
        <v>76123</v>
      </c>
      <c r="J1082" s="51">
        <v>7.8840453000000005E-2</v>
      </c>
    </row>
    <row r="1083" spans="9:10" x14ac:dyDescent="0.25">
      <c r="I1083" s="48">
        <v>76153</v>
      </c>
      <c r="J1083" s="51">
        <v>7.8832385000000005E-2</v>
      </c>
    </row>
    <row r="1084" spans="9:10" x14ac:dyDescent="0.25">
      <c r="I1084" s="48">
        <v>76184</v>
      </c>
      <c r="J1084" s="51">
        <v>7.8824063999999999E-2</v>
      </c>
    </row>
    <row r="1085" spans="9:10" x14ac:dyDescent="0.25">
      <c r="I1085" s="48">
        <v>76215</v>
      </c>
      <c r="J1085" s="51">
        <v>7.8815758E-2</v>
      </c>
    </row>
    <row r="1086" spans="9:10" x14ac:dyDescent="0.25">
      <c r="I1086" s="48">
        <v>76245</v>
      </c>
      <c r="J1086" s="51">
        <v>7.8807735000000004E-2</v>
      </c>
    </row>
    <row r="1087" spans="9:10" x14ac:dyDescent="0.25">
      <c r="I1087" s="48">
        <v>76276</v>
      </c>
      <c r="J1087" s="51">
        <v>7.8799460000000002E-2</v>
      </c>
    </row>
    <row r="1088" spans="9:10" x14ac:dyDescent="0.25">
      <c r="I1088" s="48">
        <v>76306</v>
      </c>
      <c r="J1088" s="51">
        <v>7.8791467000000004E-2</v>
      </c>
    </row>
    <row r="1089" spans="9:10" x14ac:dyDescent="0.25">
      <c r="I1089" s="48">
        <v>76337</v>
      </c>
      <c r="J1089" s="51">
        <v>7.8783222999999999E-2</v>
      </c>
    </row>
    <row r="1090" spans="9:10" x14ac:dyDescent="0.25">
      <c r="I1090" s="48">
        <v>76368</v>
      </c>
      <c r="J1090" s="51">
        <v>7.8774994000000001E-2</v>
      </c>
    </row>
    <row r="1091" spans="9:10" x14ac:dyDescent="0.25">
      <c r="I1091" s="48">
        <v>76396</v>
      </c>
      <c r="J1091" s="51">
        <v>7.8767574000000007E-2</v>
      </c>
    </row>
    <row r="1092" spans="9:10" x14ac:dyDescent="0.25">
      <c r="I1092" s="48">
        <v>76427</v>
      </c>
      <c r="J1092" s="51">
        <v>7.8759375000000006E-2</v>
      </c>
    </row>
    <row r="1093" spans="9:10" x14ac:dyDescent="0.25">
      <c r="I1093" s="48">
        <v>76457</v>
      </c>
      <c r="J1093" s="51">
        <v>7.8751453999999999E-2</v>
      </c>
    </row>
    <row r="1094" spans="9:10" x14ac:dyDescent="0.25">
      <c r="I1094" s="48">
        <v>76488</v>
      </c>
      <c r="J1094" s="51">
        <v>7.8743283999999997E-2</v>
      </c>
    </row>
    <row r="1095" spans="9:10" x14ac:dyDescent="0.25">
      <c r="I1095" s="48">
        <v>76518</v>
      </c>
      <c r="J1095" s="51">
        <v>7.8735393000000001E-2</v>
      </c>
    </row>
    <row r="1096" spans="9:10" x14ac:dyDescent="0.25">
      <c r="I1096" s="48">
        <v>76549</v>
      </c>
      <c r="J1096" s="51">
        <v>7.8727252999999997E-2</v>
      </c>
    </row>
    <row r="1097" spans="9:10" x14ac:dyDescent="0.25">
      <c r="I1097" s="48">
        <v>76580</v>
      </c>
      <c r="J1097" s="51">
        <v>7.8719128999999999E-2</v>
      </c>
    </row>
    <row r="1098" spans="9:10" x14ac:dyDescent="0.25">
      <c r="I1098" s="48">
        <v>76610</v>
      </c>
      <c r="J1098" s="51">
        <v>7.8711280999999994E-2</v>
      </c>
    </row>
    <row r="1099" spans="9:10" x14ac:dyDescent="0.25">
      <c r="I1099" s="48">
        <v>76641</v>
      </c>
      <c r="J1099" s="51">
        <v>7.8703185999999994E-2</v>
      </c>
    </row>
    <row r="1100" spans="9:10" x14ac:dyDescent="0.25">
      <c r="I1100" s="48">
        <v>76671</v>
      </c>
      <c r="J1100" s="51">
        <v>7.8695367000000002E-2</v>
      </c>
    </row>
    <row r="1101" spans="9:10" x14ac:dyDescent="0.25">
      <c r="I1101" s="48">
        <v>76702</v>
      </c>
      <c r="J1101" s="51">
        <v>7.8687301000000001E-2</v>
      </c>
    </row>
    <row r="1102" spans="9:10" x14ac:dyDescent="0.25">
      <c r="I1102" s="48">
        <v>76733</v>
      </c>
      <c r="J1102" s="51">
        <v>7.8679251000000006E-2</v>
      </c>
    </row>
    <row r="1103" spans="9:10" x14ac:dyDescent="0.25">
      <c r="I1103" s="48">
        <v>76761</v>
      </c>
      <c r="J1103" s="51">
        <v>7.8671992999999996E-2</v>
      </c>
    </row>
    <row r="1104" spans="9:10" x14ac:dyDescent="0.25">
      <c r="I1104" s="48">
        <v>76792</v>
      </c>
      <c r="J1104" s="51">
        <v>7.8663970999999999E-2</v>
      </c>
    </row>
    <row r="1105" spans="9:10" x14ac:dyDescent="0.25">
      <c r="I1105" s="48">
        <v>76822</v>
      </c>
      <c r="J1105" s="51">
        <v>7.8656221999999998E-2</v>
      </c>
    </row>
    <row r="1106" spans="9:10" x14ac:dyDescent="0.25">
      <c r="I1106" s="48">
        <v>76853</v>
      </c>
      <c r="J1106" s="51">
        <v>7.8648229E-2</v>
      </c>
    </row>
    <row r="1107" spans="9:10" x14ac:dyDescent="0.25">
      <c r="I1107" s="48">
        <v>76883</v>
      </c>
      <c r="J1107" s="51">
        <v>7.8640507999999998E-2</v>
      </c>
    </row>
    <row r="1108" spans="9:10" x14ac:dyDescent="0.25">
      <c r="I1108" s="48">
        <v>76914</v>
      </c>
      <c r="J1108" s="51">
        <v>7.8632543999999999E-2</v>
      </c>
    </row>
    <row r="1109" spans="9:10" x14ac:dyDescent="0.25">
      <c r="I1109" s="48">
        <v>76945</v>
      </c>
      <c r="J1109" s="51">
        <v>7.8624595000000005E-2</v>
      </c>
    </row>
    <row r="1110" spans="9:10" x14ac:dyDescent="0.25">
      <c r="I1110" s="48">
        <v>76975</v>
      </c>
      <c r="J1110" s="51">
        <v>7.8616915999999995E-2</v>
      </c>
    </row>
    <row r="1111" spans="9:10" x14ac:dyDescent="0.25">
      <c r="I1111" s="48">
        <v>77006</v>
      </c>
      <c r="J1111" s="51">
        <v>7.8608996E-2</v>
      </c>
    </row>
    <row r="1112" spans="9:10" x14ac:dyDescent="0.25">
      <c r="I1112" s="48">
        <v>77036</v>
      </c>
      <c r="J1112" s="51">
        <v>7.8601345000000003E-2</v>
      </c>
    </row>
    <row r="1113" spans="9:10" x14ac:dyDescent="0.25">
      <c r="I1113" s="48">
        <v>77067</v>
      </c>
      <c r="J1113" s="51">
        <v>7.8593452999999994E-2</v>
      </c>
    </row>
    <row r="1114" spans="9:10" x14ac:dyDescent="0.25">
      <c r="I1114" s="48">
        <v>77098</v>
      </c>
      <c r="J1114" s="51">
        <v>7.8585575000000005E-2</v>
      </c>
    </row>
    <row r="1115" spans="9:10" x14ac:dyDescent="0.25">
      <c r="I1115" s="48">
        <v>77126</v>
      </c>
      <c r="J1115" s="51">
        <v>7.8578472999999996E-2</v>
      </c>
    </row>
    <row r="1116" spans="9:10" x14ac:dyDescent="0.25">
      <c r="I1116" s="48">
        <v>77157</v>
      </c>
      <c r="J1116" s="51">
        <v>7.8570623000000006E-2</v>
      </c>
    </row>
    <row r="1117" spans="9:10" x14ac:dyDescent="0.25">
      <c r="I1117" s="48">
        <v>77187</v>
      </c>
      <c r="J1117" s="51">
        <v>7.8563040000000001E-2</v>
      </c>
    </row>
    <row r="1118" spans="9:10" x14ac:dyDescent="0.25">
      <c r="I1118" s="48">
        <v>77218</v>
      </c>
      <c r="J1118" s="51">
        <v>7.8555217999999996E-2</v>
      </c>
    </row>
    <row r="1119" spans="9:10" x14ac:dyDescent="0.25">
      <c r="I1119" s="48">
        <v>77248</v>
      </c>
      <c r="J1119" s="51">
        <v>7.8547662000000004E-2</v>
      </c>
    </row>
    <row r="1120" spans="9:10" x14ac:dyDescent="0.25">
      <c r="I1120" s="48">
        <v>77279</v>
      </c>
      <c r="J1120" s="51">
        <v>7.8539867999999999E-2</v>
      </c>
    </row>
    <row r="1121" spans="9:10" x14ac:dyDescent="0.25">
      <c r="I1121" s="48">
        <v>77310</v>
      </c>
      <c r="J1121" s="51">
        <v>7.8532088999999999E-2</v>
      </c>
    </row>
    <row r="1122" spans="9:10" x14ac:dyDescent="0.25">
      <c r="I1122" s="48">
        <v>77340</v>
      </c>
      <c r="J1122" s="51">
        <v>7.8524574E-2</v>
      </c>
    </row>
    <row r="1123" spans="9:10" x14ac:dyDescent="0.25">
      <c r="I1123" s="48">
        <v>77371</v>
      </c>
      <c r="J1123" s="51">
        <v>7.8516822E-2</v>
      </c>
    </row>
    <row r="1124" spans="9:10" x14ac:dyDescent="0.25">
      <c r="I1124" s="48">
        <v>77401</v>
      </c>
      <c r="J1124" s="51">
        <v>7.8509334E-2</v>
      </c>
    </row>
    <row r="1125" spans="9:10" x14ac:dyDescent="0.25">
      <c r="I1125" s="48">
        <v>77432</v>
      </c>
      <c r="J1125" s="51">
        <v>7.8501609999999999E-2</v>
      </c>
    </row>
    <row r="1126" spans="9:10" x14ac:dyDescent="0.25">
      <c r="I1126" s="48">
        <v>77463</v>
      </c>
      <c r="J1126" s="51">
        <v>7.8493900000000005E-2</v>
      </c>
    </row>
    <row r="1127" spans="9:10" x14ac:dyDescent="0.25">
      <c r="I1127" s="48">
        <v>77492</v>
      </c>
      <c r="J1127" s="51">
        <v>7.8486700000000006E-2</v>
      </c>
    </row>
    <row r="1128" spans="9:10" x14ac:dyDescent="0.25">
      <c r="I1128" s="48">
        <v>77523</v>
      </c>
      <c r="J1128" s="51">
        <v>7.8479016999999998E-2</v>
      </c>
    </row>
    <row r="1129" spans="9:10" x14ac:dyDescent="0.25">
      <c r="I1129" s="48">
        <v>77553</v>
      </c>
      <c r="J1129" s="51">
        <v>7.8471595000000005E-2</v>
      </c>
    </row>
    <row r="1130" spans="9:10" x14ac:dyDescent="0.25">
      <c r="I1130" s="48">
        <v>77584</v>
      </c>
      <c r="J1130" s="51">
        <v>7.8463939999999996E-2</v>
      </c>
    </row>
    <row r="1131" spans="9:10" x14ac:dyDescent="0.25">
      <c r="I1131" s="48">
        <v>77614</v>
      </c>
      <c r="J1131" s="51">
        <v>7.8456544000000003E-2</v>
      </c>
    </row>
    <row r="1132" spans="9:10" x14ac:dyDescent="0.25">
      <c r="I1132" s="48">
        <v>77645</v>
      </c>
      <c r="J1132" s="51">
        <v>7.8448915999999994E-2</v>
      </c>
    </row>
    <row r="1133" spans="9:10" x14ac:dyDescent="0.25">
      <c r="I1133" s="48">
        <v>77676</v>
      </c>
      <c r="J1133" s="51">
        <v>7.8441301000000005E-2</v>
      </c>
    </row>
    <row r="1134" spans="9:10" x14ac:dyDescent="0.25">
      <c r="I1134" s="48">
        <v>77706</v>
      </c>
      <c r="J1134" s="51">
        <v>7.8433945000000005E-2</v>
      </c>
    </row>
    <row r="1135" spans="9:10" x14ac:dyDescent="0.25">
      <c r="I1135" s="48">
        <v>77737</v>
      </c>
      <c r="J1135" s="51">
        <v>7.8426357000000002E-2</v>
      </c>
    </row>
    <row r="1136" spans="9:10" x14ac:dyDescent="0.25">
      <c r="I1136" s="48">
        <v>77767</v>
      </c>
      <c r="J1136" s="51">
        <v>7.8419027000000002E-2</v>
      </c>
    </row>
    <row r="1137" spans="9:10" x14ac:dyDescent="0.25">
      <c r="I1137" s="48">
        <v>77798</v>
      </c>
      <c r="J1137" s="51">
        <v>7.8411465999999999E-2</v>
      </c>
    </row>
    <row r="1138" spans="9:10" x14ac:dyDescent="0.25">
      <c r="I1138" s="48">
        <v>77829</v>
      </c>
      <c r="J1138" s="51">
        <v>7.8403919000000002E-2</v>
      </c>
    </row>
    <row r="1139" spans="9:10" x14ac:dyDescent="0.25">
      <c r="I1139" s="48">
        <v>77857</v>
      </c>
      <c r="J1139" s="51">
        <v>7.8397113000000004E-2</v>
      </c>
    </row>
    <row r="1140" spans="9:10" x14ac:dyDescent="0.25">
      <c r="I1140" s="48">
        <v>77888</v>
      </c>
      <c r="J1140" s="51">
        <v>7.8389591999999994E-2</v>
      </c>
    </row>
    <row r="1141" spans="9:10" x14ac:dyDescent="0.25">
      <c r="I1141" s="48">
        <v>77918</v>
      </c>
      <c r="J1141" s="51">
        <v>7.8382325000000003E-2</v>
      </c>
    </row>
    <row r="1142" spans="9:10" x14ac:dyDescent="0.25">
      <c r="I1142" s="48">
        <v>77949</v>
      </c>
      <c r="J1142" s="51">
        <v>7.8374830000000006E-2</v>
      </c>
    </row>
    <row r="1143" spans="9:10" x14ac:dyDescent="0.25">
      <c r="I1143" s="48">
        <v>77979</v>
      </c>
      <c r="J1143" s="51">
        <v>7.8367590000000001E-2</v>
      </c>
    </row>
    <row r="1144" spans="9:10" x14ac:dyDescent="0.25">
      <c r="I1144" s="48">
        <v>78010</v>
      </c>
      <c r="J1144" s="51">
        <v>7.8360121000000005E-2</v>
      </c>
    </row>
    <row r="1145" spans="9:10" x14ac:dyDescent="0.25">
      <c r="I1145" s="48">
        <v>78041</v>
      </c>
      <c r="J1145" s="51">
        <v>7.8352665000000002E-2</v>
      </c>
    </row>
    <row r="1146" spans="9:10" x14ac:dyDescent="0.25">
      <c r="I1146" s="48">
        <v>78071</v>
      </c>
      <c r="J1146" s="51">
        <v>7.8345463000000004E-2</v>
      </c>
    </row>
    <row r="1147" spans="9:10" x14ac:dyDescent="0.25">
      <c r="I1147" s="48">
        <v>78102</v>
      </c>
      <c r="J1147" s="51">
        <v>7.8338033000000001E-2</v>
      </c>
    </row>
    <row r="1148" spans="9:10" x14ac:dyDescent="0.25">
      <c r="I1148" s="48">
        <v>78132</v>
      </c>
      <c r="J1148" s="51">
        <v>7.8330856000000004E-2</v>
      </c>
    </row>
    <row r="1149" spans="9:10" x14ac:dyDescent="0.25">
      <c r="I1149" s="48">
        <v>78163</v>
      </c>
      <c r="J1149" s="51">
        <v>7.8323452000000002E-2</v>
      </c>
    </row>
    <row r="1150" spans="9:10" x14ac:dyDescent="0.25">
      <c r="I1150" s="48">
        <v>78194</v>
      </c>
      <c r="J1150" s="51">
        <v>7.8316062000000006E-2</v>
      </c>
    </row>
    <row r="1151" spans="9:10" x14ac:dyDescent="0.25">
      <c r="I1151" s="48">
        <v>78222</v>
      </c>
      <c r="J1151" s="51">
        <v>7.8309398000000002E-2</v>
      </c>
    </row>
    <row r="1152" spans="9:10" x14ac:dyDescent="0.25">
      <c r="I1152" s="48">
        <v>78253</v>
      </c>
      <c r="J1152" s="51">
        <v>7.8302032999999993E-2</v>
      </c>
    </row>
    <row r="1153" spans="9:10" x14ac:dyDescent="0.25">
      <c r="I1153" s="48">
        <v>78283</v>
      </c>
      <c r="J1153" s="51">
        <v>7.8294917000000006E-2</v>
      </c>
    </row>
    <row r="1154" spans="9:10" x14ac:dyDescent="0.25">
      <c r="I1154" s="48">
        <v>78314</v>
      </c>
      <c r="J1154" s="51">
        <v>7.8287576999999997E-2</v>
      </c>
    </row>
    <row r="1155" spans="9:10" x14ac:dyDescent="0.25">
      <c r="I1155" s="48">
        <v>78344</v>
      </c>
      <c r="J1155" s="51">
        <v>7.8280486999999996E-2</v>
      </c>
    </row>
    <row r="1156" spans="9:10" x14ac:dyDescent="0.25">
      <c r="I1156" s="48">
        <v>78375</v>
      </c>
      <c r="J1156" s="51">
        <v>7.8273173000000001E-2</v>
      </c>
    </row>
    <row r="1157" spans="9:10" x14ac:dyDescent="0.25">
      <c r="I1157" s="48">
        <v>78406</v>
      </c>
      <c r="J1157" s="51">
        <v>7.8265871000000001E-2</v>
      </c>
    </row>
    <row r="1158" spans="9:10" x14ac:dyDescent="0.25">
      <c r="I1158" s="48">
        <v>78436</v>
      </c>
      <c r="J1158" s="51">
        <v>7.8258817999999994E-2</v>
      </c>
    </row>
    <row r="1159" spans="9:10" x14ac:dyDescent="0.25">
      <c r="I1159" s="48">
        <v>78467</v>
      </c>
      <c r="J1159" s="51">
        <v>7.8251540999999994E-2</v>
      </c>
    </row>
    <row r="1160" spans="9:10" x14ac:dyDescent="0.25">
      <c r="I1160" s="48">
        <v>78497</v>
      </c>
      <c r="J1160" s="51">
        <v>7.8244512000000002E-2</v>
      </c>
    </row>
    <row r="1161" spans="9:10" x14ac:dyDescent="0.25">
      <c r="I1161" s="48">
        <v>78528</v>
      </c>
      <c r="J1161" s="51">
        <v>7.8237261000000002E-2</v>
      </c>
    </row>
    <row r="1162" spans="9:10" x14ac:dyDescent="0.25">
      <c r="I1162" s="48">
        <v>78559</v>
      </c>
      <c r="J1162" s="51">
        <v>7.8230022999999996E-2</v>
      </c>
    </row>
    <row r="1163" spans="9:10" x14ac:dyDescent="0.25">
      <c r="I1163" s="48">
        <v>78587</v>
      </c>
      <c r="J1163" s="51">
        <v>7.8223496000000003E-2</v>
      </c>
    </row>
    <row r="1164" spans="9:10" x14ac:dyDescent="0.25">
      <c r="I1164" s="48">
        <v>78618</v>
      </c>
      <c r="J1164" s="51">
        <v>7.8216281999999998E-2</v>
      </c>
    </row>
    <row r="1165" spans="9:10" x14ac:dyDescent="0.25">
      <c r="I1165" s="48">
        <v>78648</v>
      </c>
      <c r="J1165" s="51">
        <v>7.8209313000000003E-2</v>
      </c>
    </row>
    <row r="1166" spans="9:10" x14ac:dyDescent="0.25">
      <c r="I1166" s="48">
        <v>78679</v>
      </c>
      <c r="J1166" s="51">
        <v>7.8202123999999998E-2</v>
      </c>
    </row>
    <row r="1167" spans="9:10" x14ac:dyDescent="0.25">
      <c r="I1167" s="48">
        <v>78709</v>
      </c>
      <c r="J1167" s="51">
        <v>7.8195179000000004E-2</v>
      </c>
    </row>
    <row r="1168" spans="9:10" x14ac:dyDescent="0.25">
      <c r="I1168" s="48">
        <v>78740</v>
      </c>
      <c r="J1168" s="51">
        <v>7.8188014E-2</v>
      </c>
    </row>
    <row r="1169" spans="9:10" x14ac:dyDescent="0.25">
      <c r="I1169" s="48">
        <v>78771</v>
      </c>
      <c r="J1169" s="51">
        <v>7.8180862000000004E-2</v>
      </c>
    </row>
    <row r="1170" spans="9:10" x14ac:dyDescent="0.25">
      <c r="I1170" s="48">
        <v>78801</v>
      </c>
      <c r="J1170" s="51">
        <v>7.8173953000000004E-2</v>
      </c>
    </row>
    <row r="1171" spans="9:10" x14ac:dyDescent="0.25">
      <c r="I1171" s="48">
        <v>78832</v>
      </c>
      <c r="J1171" s="51">
        <v>7.8166825999999995E-2</v>
      </c>
    </row>
    <row r="1172" spans="9:10" x14ac:dyDescent="0.25">
      <c r="I1172" s="48">
        <v>78862</v>
      </c>
      <c r="J1172" s="51">
        <v>7.8159939999999997E-2</v>
      </c>
    </row>
    <row r="1173" spans="9:10" x14ac:dyDescent="0.25">
      <c r="I1173" s="48">
        <v>78893</v>
      </c>
      <c r="J1173" s="51">
        <v>7.8152837000000003E-2</v>
      </c>
    </row>
    <row r="1174" spans="9:10" x14ac:dyDescent="0.25">
      <c r="I1174" s="48">
        <v>78924</v>
      </c>
      <c r="J1174" s="51">
        <v>7.8145747000000002E-2</v>
      </c>
    </row>
    <row r="1175" spans="9:10" x14ac:dyDescent="0.25">
      <c r="I1175" s="48">
        <v>78953</v>
      </c>
      <c r="J1175" s="51">
        <v>7.8139125000000004E-2</v>
      </c>
    </row>
    <row r="1176" spans="9:10" x14ac:dyDescent="0.25">
      <c r="I1176" s="48">
        <v>78984</v>
      </c>
      <c r="J1176" s="51">
        <v>7.8132058000000004E-2</v>
      </c>
    </row>
    <row r="1177" spans="9:10" x14ac:dyDescent="0.25">
      <c r="I1177" s="48">
        <v>79014</v>
      </c>
      <c r="J1177" s="51">
        <v>7.8125231000000003E-2</v>
      </c>
    </row>
    <row r="1178" spans="9:10" x14ac:dyDescent="0.25">
      <c r="I1178" s="48">
        <v>79045</v>
      </c>
      <c r="J1178" s="51">
        <v>7.8118188000000005E-2</v>
      </c>
    </row>
    <row r="1179" spans="9:10" x14ac:dyDescent="0.25">
      <c r="I1179" s="48">
        <v>79075</v>
      </c>
      <c r="J1179" s="51">
        <v>7.8111384000000006E-2</v>
      </c>
    </row>
    <row r="1180" spans="9:10" x14ac:dyDescent="0.25">
      <c r="I1180" s="48">
        <v>79106</v>
      </c>
      <c r="J1180" s="51">
        <v>7.8104364999999995E-2</v>
      </c>
    </row>
    <row r="1181" spans="9:10" x14ac:dyDescent="0.25">
      <c r="I1181" s="48">
        <v>79137</v>
      </c>
      <c r="J1181" s="51">
        <v>7.8097359000000005E-2</v>
      </c>
    </row>
    <row r="1182" spans="9:10" x14ac:dyDescent="0.25">
      <c r="I1182" s="48">
        <v>79167</v>
      </c>
      <c r="J1182" s="51">
        <v>7.8090590000000001E-2</v>
      </c>
    </row>
    <row r="1183" spans="9:10" x14ac:dyDescent="0.25">
      <c r="I1183" s="48">
        <v>79198</v>
      </c>
      <c r="J1183" s="51">
        <v>7.8083606999999999E-2</v>
      </c>
    </row>
    <row r="1184" spans="9:10" x14ac:dyDescent="0.25">
      <c r="I1184" s="48">
        <v>79228</v>
      </c>
      <c r="J1184" s="51">
        <v>7.8076860999999997E-2</v>
      </c>
    </row>
    <row r="1185" spans="9:10" x14ac:dyDescent="0.25">
      <c r="I1185" s="48">
        <v>79259</v>
      </c>
      <c r="J1185" s="51">
        <v>7.8069901999999997E-2</v>
      </c>
    </row>
    <row r="1186" spans="9:10" x14ac:dyDescent="0.25">
      <c r="I1186" s="48">
        <v>79290</v>
      </c>
      <c r="J1186" s="51">
        <v>7.8062954000000004E-2</v>
      </c>
    </row>
    <row r="1187" spans="9:10" x14ac:dyDescent="0.25">
      <c r="I1187" s="48">
        <v>79318</v>
      </c>
      <c r="J1187" s="51">
        <v>7.8056689999999998E-2</v>
      </c>
    </row>
    <row r="1188" spans="9:10" x14ac:dyDescent="0.25">
      <c r="I1188" s="48">
        <v>79349</v>
      </c>
      <c r="J1188" s="51">
        <v>7.8049764999999993E-2</v>
      </c>
    </row>
    <row r="1189" spans="9:10" x14ac:dyDescent="0.25">
      <c r="I1189" s="48">
        <v>79379</v>
      </c>
      <c r="J1189" s="51">
        <v>7.8043076000000003E-2</v>
      </c>
    </row>
    <row r="1190" spans="9:10" x14ac:dyDescent="0.25">
      <c r="I1190" s="48">
        <v>79410</v>
      </c>
      <c r="J1190" s="51">
        <v>7.8036174999999999E-2</v>
      </c>
    </row>
    <row r="1191" spans="9:10" x14ac:dyDescent="0.25">
      <c r="I1191" s="48">
        <v>79440</v>
      </c>
      <c r="J1191" s="51">
        <v>7.8029506999999998E-2</v>
      </c>
    </row>
    <row r="1192" spans="9:10" x14ac:dyDescent="0.25">
      <c r="I1192" s="48">
        <v>79471</v>
      </c>
      <c r="J1192" s="51">
        <v>7.8022629999999996E-2</v>
      </c>
    </row>
    <row r="1193" spans="9:10" x14ac:dyDescent="0.25">
      <c r="I1193" s="48">
        <v>79502</v>
      </c>
      <c r="J1193" s="51">
        <v>7.8015764000000001E-2</v>
      </c>
    </row>
    <row r="1194" spans="9:10" x14ac:dyDescent="0.25">
      <c r="I1194" s="48">
        <v>79532</v>
      </c>
      <c r="J1194" s="51">
        <v>7.8009129999999996E-2</v>
      </c>
    </row>
    <row r="1195" spans="9:10" x14ac:dyDescent="0.25">
      <c r="I1195" s="48">
        <v>79563</v>
      </c>
      <c r="J1195" s="51">
        <v>7.8002287000000003E-2</v>
      </c>
    </row>
    <row r="1196" spans="9:10" x14ac:dyDescent="0.25">
      <c r="I1196" s="48">
        <v>79593</v>
      </c>
      <c r="J1196" s="51">
        <v>7.7995676E-2</v>
      </c>
    </row>
    <row r="1197" spans="9:10" x14ac:dyDescent="0.25">
      <c r="I1197" s="48">
        <v>79624</v>
      </c>
      <c r="J1197" s="51">
        <v>7.7988855999999995E-2</v>
      </c>
    </row>
    <row r="1198" spans="9:10" x14ac:dyDescent="0.25">
      <c r="I1198" s="48">
        <v>79655</v>
      </c>
      <c r="J1198" s="51">
        <v>7.7982047999999998E-2</v>
      </c>
    </row>
    <row r="1199" spans="9:10" x14ac:dyDescent="0.25">
      <c r="I1199" s="48">
        <v>79683</v>
      </c>
      <c r="J1199" s="51">
        <v>7.7975907999999997E-2</v>
      </c>
    </row>
    <row r="1200" spans="9:10" x14ac:dyDescent="0.25">
      <c r="I1200" s="48">
        <v>79714</v>
      </c>
      <c r="J1200" s="51">
        <v>7.7969122000000002E-2</v>
      </c>
    </row>
    <row r="1201" spans="9:10" x14ac:dyDescent="0.25">
      <c r="I1201" s="48">
        <v>79744</v>
      </c>
      <c r="J1201" s="51">
        <v>7.7962565999999997E-2</v>
      </c>
    </row>
    <row r="1202" spans="9:10" x14ac:dyDescent="0.25">
      <c r="I1202" s="48">
        <v>79775</v>
      </c>
      <c r="J1202" s="51">
        <v>7.7955802000000005E-2</v>
      </c>
    </row>
    <row r="1203" spans="9:10" x14ac:dyDescent="0.25">
      <c r="I1203" s="48">
        <v>79805</v>
      </c>
      <c r="J1203" s="51">
        <v>7.7949267000000003E-2</v>
      </c>
    </row>
    <row r="1204" spans="9:10" x14ac:dyDescent="0.25">
      <c r="I1204" s="48">
        <v>79836</v>
      </c>
      <c r="J1204" s="51">
        <v>7.7942525999999998E-2</v>
      </c>
    </row>
    <row r="1205" spans="9:10" x14ac:dyDescent="0.25">
      <c r="I1205" s="48">
        <v>79867</v>
      </c>
      <c r="J1205" s="51">
        <v>7.7935797000000001E-2</v>
      </c>
    </row>
    <row r="1206" spans="9:10" x14ac:dyDescent="0.25">
      <c r="I1206" s="48">
        <v>79897</v>
      </c>
      <c r="J1206" s="51">
        <v>7.7929294999999996E-2</v>
      </c>
    </row>
    <row r="1207" spans="9:10" x14ac:dyDescent="0.25">
      <c r="I1207" s="48">
        <v>79928</v>
      </c>
      <c r="J1207" s="51">
        <v>7.7922588000000001E-2</v>
      </c>
    </row>
    <row r="1208" spans="9:10" x14ac:dyDescent="0.25">
      <c r="I1208" s="48">
        <v>79958</v>
      </c>
      <c r="J1208" s="51">
        <v>7.7916106999999998E-2</v>
      </c>
    </row>
    <row r="1209" spans="9:10" x14ac:dyDescent="0.25">
      <c r="I1209" s="48">
        <v>79989</v>
      </c>
      <c r="J1209" s="51">
        <v>7.7909422000000006E-2</v>
      </c>
    </row>
    <row r="1210" spans="9:10" x14ac:dyDescent="0.25">
      <c r="I1210" s="48">
        <v>80020</v>
      </c>
      <c r="J1210" s="51">
        <v>7.7902748999999993E-2</v>
      </c>
    </row>
    <row r="1211" spans="9:10" x14ac:dyDescent="0.25">
      <c r="I1211" s="48">
        <v>80048</v>
      </c>
      <c r="J1211" s="51">
        <v>7.7896730999999997E-2</v>
      </c>
    </row>
    <row r="1212" spans="9:10" x14ac:dyDescent="0.25">
      <c r="I1212" s="48">
        <v>80079</v>
      </c>
      <c r="J1212" s="51">
        <v>7.7890078000000001E-2</v>
      </c>
    </row>
    <row r="1213" spans="9:10" x14ac:dyDescent="0.25">
      <c r="I1213" s="48">
        <v>80109</v>
      </c>
      <c r="J1213" s="51">
        <v>7.7883650999999998E-2</v>
      </c>
    </row>
    <row r="1214" spans="9:10" x14ac:dyDescent="0.25">
      <c r="I1214" s="48">
        <v>80140</v>
      </c>
      <c r="J1214" s="51">
        <v>7.7877021000000005E-2</v>
      </c>
    </row>
    <row r="1215" spans="9:10" x14ac:dyDescent="0.25">
      <c r="I1215" s="48">
        <v>80170</v>
      </c>
      <c r="J1215" s="51">
        <v>7.7870615000000004E-2</v>
      </c>
    </row>
    <row r="1216" spans="9:10" x14ac:dyDescent="0.25">
      <c r="I1216" s="48">
        <v>80201</v>
      </c>
      <c r="J1216" s="51">
        <v>7.7864006999999999E-2</v>
      </c>
    </row>
    <row r="1217" spans="9:10" x14ac:dyDescent="0.25">
      <c r="I1217" s="48">
        <v>80232</v>
      </c>
      <c r="J1217" s="51">
        <v>7.7857409000000002E-2</v>
      </c>
    </row>
    <row r="1218" spans="9:10" x14ac:dyDescent="0.25">
      <c r="I1218" s="48">
        <v>80262</v>
      </c>
      <c r="J1218" s="51">
        <v>7.7851034999999999E-2</v>
      </c>
    </row>
    <row r="1219" spans="9:10" x14ac:dyDescent="0.25">
      <c r="I1219" s="48">
        <v>80293</v>
      </c>
      <c r="J1219" s="51">
        <v>7.7844460000000004E-2</v>
      </c>
    </row>
    <row r="1220" spans="9:10" x14ac:dyDescent="0.25">
      <c r="I1220" s="48">
        <v>80323</v>
      </c>
      <c r="J1220" s="51">
        <v>7.7838107000000004E-2</v>
      </c>
    </row>
    <row r="1221" spans="9:10" x14ac:dyDescent="0.25">
      <c r="I1221" s="48">
        <v>80354</v>
      </c>
      <c r="J1221" s="51">
        <v>7.7831552999999998E-2</v>
      </c>
    </row>
    <row r="1222" spans="9:10" x14ac:dyDescent="0.25">
      <c r="I1222" s="48">
        <v>80385</v>
      </c>
      <c r="J1222" s="51">
        <v>7.782501E-2</v>
      </c>
    </row>
    <row r="1223" spans="9:10" x14ac:dyDescent="0.25">
      <c r="I1223" s="48">
        <v>80414</v>
      </c>
      <c r="J1223" s="51">
        <v>7.7818898999999997E-2</v>
      </c>
    </row>
    <row r="1224" spans="9:10" x14ac:dyDescent="0.25">
      <c r="I1224" s="48">
        <v>80445</v>
      </c>
      <c r="J1224" s="51">
        <v>7.7812377000000002E-2</v>
      </c>
    </row>
    <row r="1225" spans="9:10" x14ac:dyDescent="0.25">
      <c r="I1225" s="48">
        <v>80475</v>
      </c>
      <c r="J1225" s="51">
        <v>7.7806076000000002E-2</v>
      </c>
    </row>
    <row r="1226" spans="9:10" x14ac:dyDescent="0.25">
      <c r="I1226" s="48">
        <v>80506</v>
      </c>
      <c r="J1226" s="51">
        <v>7.7799574999999996E-2</v>
      </c>
    </row>
    <row r="1227" spans="9:10" x14ac:dyDescent="0.25">
      <c r="I1227" s="48">
        <v>80536</v>
      </c>
      <c r="J1227" s="51">
        <v>7.7793294999999998E-2</v>
      </c>
    </row>
    <row r="1228" spans="9:10" x14ac:dyDescent="0.25">
      <c r="I1228" s="48">
        <v>80567</v>
      </c>
      <c r="J1228" s="51">
        <v>7.7786814999999995E-2</v>
      </c>
    </row>
    <row r="1229" spans="9:10" x14ac:dyDescent="0.25">
      <c r="I1229" s="48">
        <v>80598</v>
      </c>
      <c r="J1229" s="51">
        <v>7.7780347E-2</v>
      </c>
    </row>
    <row r="1230" spans="9:10" x14ac:dyDescent="0.25">
      <c r="I1230" s="48">
        <v>80628</v>
      </c>
      <c r="J1230" s="51">
        <v>7.7774097E-2</v>
      </c>
    </row>
    <row r="1231" spans="9:10" x14ac:dyDescent="0.25">
      <c r="I1231" s="48">
        <v>80659</v>
      </c>
      <c r="J1231" s="51">
        <v>7.7767649999999994E-2</v>
      </c>
    </row>
    <row r="1232" spans="9:10" x14ac:dyDescent="0.25">
      <c r="I1232" s="48">
        <v>80689</v>
      </c>
      <c r="J1232" s="51">
        <v>7.7761420999999997E-2</v>
      </c>
    </row>
    <row r="1233" spans="9:10" x14ac:dyDescent="0.25">
      <c r="I1233" s="48">
        <v>80720</v>
      </c>
      <c r="J1233" s="51">
        <v>7.7754993999999994E-2</v>
      </c>
    </row>
    <row r="1234" spans="9:10" x14ac:dyDescent="0.25">
      <c r="I1234" s="48">
        <v>80751</v>
      </c>
      <c r="J1234" s="51">
        <v>7.7748578999999998E-2</v>
      </c>
    </row>
    <row r="1235" spans="9:10" x14ac:dyDescent="0.25">
      <c r="I1235" s="48">
        <v>80779</v>
      </c>
      <c r="J1235" s="51">
        <v>7.7742793000000004E-2</v>
      </c>
    </row>
    <row r="1236" spans="9:10" x14ac:dyDescent="0.25">
      <c r="I1236" s="48">
        <v>80810</v>
      </c>
      <c r="J1236" s="51">
        <v>7.7736396999999999E-2</v>
      </c>
    </row>
    <row r="1237" spans="9:10" x14ac:dyDescent="0.25">
      <c r="I1237" s="48">
        <v>80840</v>
      </c>
      <c r="J1237" s="51">
        <v>7.7730218000000004E-2</v>
      </c>
    </row>
    <row r="1238" spans="9:10" x14ac:dyDescent="0.25">
      <c r="I1238" s="48">
        <v>80871</v>
      </c>
      <c r="J1238" s="51">
        <v>7.7723843000000001E-2</v>
      </c>
    </row>
    <row r="1239" spans="9:10" x14ac:dyDescent="0.25">
      <c r="I1239" s="48">
        <v>80901</v>
      </c>
      <c r="J1239" s="51">
        <v>7.7717683999999995E-2</v>
      </c>
    </row>
    <row r="1240" spans="9:10" x14ac:dyDescent="0.25">
      <c r="I1240" s="48">
        <v>80932</v>
      </c>
      <c r="J1240" s="51">
        <v>7.7711329999999995E-2</v>
      </c>
    </row>
    <row r="1241" spans="9:10" x14ac:dyDescent="0.25">
      <c r="I1241" s="48">
        <v>80963</v>
      </c>
      <c r="J1241" s="51">
        <v>7.7704986000000004E-2</v>
      </c>
    </row>
    <row r="1242" spans="9:10" x14ac:dyDescent="0.25">
      <c r="I1242" s="48">
        <v>80993</v>
      </c>
      <c r="J1242" s="51">
        <v>7.7698856999999996E-2</v>
      </c>
    </row>
    <row r="1243" spans="9:10" x14ac:dyDescent="0.25">
      <c r="I1243" s="48">
        <v>81024</v>
      </c>
      <c r="J1243" s="51">
        <v>7.7692533999999994E-2</v>
      </c>
    </row>
    <row r="1244" spans="9:10" x14ac:dyDescent="0.25">
      <c r="I1244" s="48">
        <v>81054</v>
      </c>
      <c r="J1244" s="51">
        <v>7.7686424000000004E-2</v>
      </c>
    </row>
    <row r="1245" spans="9:10" x14ac:dyDescent="0.25">
      <c r="I1245" s="48">
        <v>81085</v>
      </c>
      <c r="J1245" s="51">
        <v>7.7680121000000005E-2</v>
      </c>
    </row>
    <row r="1246" spans="9:10" x14ac:dyDescent="0.25">
      <c r="I1246" s="48">
        <v>81116</v>
      </c>
      <c r="J1246" s="51">
        <v>7.7673829E-2</v>
      </c>
    </row>
    <row r="1247" spans="9:10" x14ac:dyDescent="0.25">
      <c r="I1247" s="48">
        <v>81144</v>
      </c>
      <c r="J1247" s="51">
        <v>7.7668154000000003E-2</v>
      </c>
    </row>
    <row r="1248" spans="9:10" x14ac:dyDescent="0.25">
      <c r="I1248" s="48">
        <v>81175</v>
      </c>
      <c r="J1248" s="51">
        <v>7.7661881000000002E-2</v>
      </c>
    </row>
    <row r="1249" spans="9:10" x14ac:dyDescent="0.25">
      <c r="I1249" s="48">
        <v>81205</v>
      </c>
      <c r="J1249" s="51">
        <v>7.765582E-2</v>
      </c>
    </row>
    <row r="1250" spans="9:10" x14ac:dyDescent="0.25">
      <c r="I1250" s="48">
        <v>81236</v>
      </c>
      <c r="J1250" s="51">
        <v>7.7649568000000002E-2</v>
      </c>
    </row>
    <row r="1251" spans="9:10" x14ac:dyDescent="0.25">
      <c r="I1251" s="48">
        <v>81266</v>
      </c>
      <c r="J1251" s="51">
        <v>7.7643526000000004E-2</v>
      </c>
    </row>
    <row r="1252" spans="9:10" x14ac:dyDescent="0.25">
      <c r="I1252" s="48">
        <v>81297</v>
      </c>
      <c r="J1252" s="51">
        <v>7.7637293999999996E-2</v>
      </c>
    </row>
    <row r="1253" spans="9:10" x14ac:dyDescent="0.25">
      <c r="I1253" s="48">
        <v>81328</v>
      </c>
      <c r="J1253" s="51">
        <v>7.7631070999999996E-2</v>
      </c>
    </row>
    <row r="1254" spans="9:10" x14ac:dyDescent="0.25">
      <c r="I1254" s="48">
        <v>81358</v>
      </c>
      <c r="J1254" s="51">
        <v>7.7625058999999996E-2</v>
      </c>
    </row>
    <row r="1255" spans="9:10" x14ac:dyDescent="0.25">
      <c r="I1255" s="48">
        <v>81389</v>
      </c>
      <c r="J1255" s="51">
        <v>7.7618856E-2</v>
      </c>
    </row>
    <row r="1256" spans="9:10" x14ac:dyDescent="0.25">
      <c r="I1256" s="48">
        <v>81419</v>
      </c>
      <c r="J1256" s="51">
        <v>7.7612863000000004E-2</v>
      </c>
    </row>
    <row r="1257" spans="9:10" x14ac:dyDescent="0.25">
      <c r="I1257" s="48">
        <v>81450</v>
      </c>
      <c r="J1257" s="51">
        <v>7.7606679999999997E-2</v>
      </c>
    </row>
    <row r="1258" spans="9:10" x14ac:dyDescent="0.25">
      <c r="I1258" s="48">
        <v>81481</v>
      </c>
      <c r="J1258" s="51">
        <v>7.7600507999999999E-2</v>
      </c>
    </row>
    <row r="1259" spans="9:10" x14ac:dyDescent="0.25">
      <c r="I1259" s="48">
        <v>81509</v>
      </c>
      <c r="J1259" s="51">
        <v>7.7594941000000001E-2</v>
      </c>
    </row>
    <row r="1260" spans="9:10" x14ac:dyDescent="0.25">
      <c r="I1260" s="48">
        <v>81540</v>
      </c>
      <c r="J1260" s="51">
        <v>7.7588787000000006E-2</v>
      </c>
    </row>
    <row r="1261" spans="9:10" x14ac:dyDescent="0.25">
      <c r="I1261" s="48">
        <v>81570</v>
      </c>
      <c r="J1261" s="51">
        <v>7.7582841E-2</v>
      </c>
    </row>
    <row r="1262" spans="9:10" x14ac:dyDescent="0.25">
      <c r="I1262" s="48">
        <v>81601</v>
      </c>
      <c r="J1262" s="51">
        <v>7.7576706999999995E-2</v>
      </c>
    </row>
    <row r="1263" spans="9:10" x14ac:dyDescent="0.25">
      <c r="I1263" s="48">
        <v>81631</v>
      </c>
      <c r="J1263" s="51">
        <v>7.7570780000000006E-2</v>
      </c>
    </row>
    <row r="1264" spans="9:10" x14ac:dyDescent="0.25">
      <c r="I1264" s="48">
        <v>81662</v>
      </c>
      <c r="J1264" s="51">
        <v>7.7564665000000005E-2</v>
      </c>
    </row>
    <row r="1265" spans="9:10" x14ac:dyDescent="0.25">
      <c r="I1265" s="48">
        <v>81693</v>
      </c>
      <c r="J1265" s="51">
        <v>7.7558560999999998E-2</v>
      </c>
    </row>
    <row r="1266" spans="9:10" x14ac:dyDescent="0.25">
      <c r="I1266" s="48">
        <v>81723</v>
      </c>
      <c r="J1266" s="51">
        <v>7.7552661999999994E-2</v>
      </c>
    </row>
    <row r="1267" spans="9:10" x14ac:dyDescent="0.25">
      <c r="I1267" s="48">
        <v>81754</v>
      </c>
      <c r="J1267" s="51">
        <v>7.7546577000000005E-2</v>
      </c>
    </row>
    <row r="1268" spans="9:10" x14ac:dyDescent="0.25">
      <c r="I1268" s="48">
        <v>81784</v>
      </c>
      <c r="J1268" s="51">
        <v>7.7540697000000006E-2</v>
      </c>
    </row>
    <row r="1269" spans="9:10" x14ac:dyDescent="0.25">
      <c r="I1269" s="48">
        <v>81815</v>
      </c>
      <c r="J1269" s="51">
        <v>7.7534631000000007E-2</v>
      </c>
    </row>
    <row r="1270" spans="9:10" x14ac:dyDescent="0.25">
      <c r="I1270" s="48">
        <v>81846</v>
      </c>
      <c r="J1270" s="51">
        <v>7.7528574000000003E-2</v>
      </c>
    </row>
    <row r="1271" spans="9:10" x14ac:dyDescent="0.25">
      <c r="I1271" s="48">
        <v>81875</v>
      </c>
      <c r="J1271" s="51">
        <v>7.7522916999999997E-2</v>
      </c>
    </row>
    <row r="1272" spans="9:10" x14ac:dyDescent="0.25">
      <c r="I1272" s="48">
        <v>81906</v>
      </c>
      <c r="J1272" s="51">
        <v>7.7516879999999996E-2</v>
      </c>
    </row>
    <row r="1273" spans="9:10" x14ac:dyDescent="0.25">
      <c r="I1273" s="48">
        <v>81936</v>
      </c>
      <c r="J1273" s="51">
        <v>7.7511046E-2</v>
      </c>
    </row>
    <row r="1274" spans="9:10" x14ac:dyDescent="0.25">
      <c r="I1274" s="48">
        <v>81967</v>
      </c>
      <c r="J1274" s="51">
        <v>7.7505027000000004E-2</v>
      </c>
    </row>
    <row r="1275" spans="9:10" x14ac:dyDescent="0.25">
      <c r="I1275" s="48">
        <v>81997</v>
      </c>
      <c r="J1275" s="51">
        <v>7.7499211999999998E-2</v>
      </c>
    </row>
    <row r="1276" spans="9:10" x14ac:dyDescent="0.25">
      <c r="I1276" s="48">
        <v>82028</v>
      </c>
      <c r="J1276" s="51">
        <v>7.7493212000000006E-2</v>
      </c>
    </row>
    <row r="1277" spans="9:10" x14ac:dyDescent="0.25">
      <c r="I1277" s="48">
        <v>82059</v>
      </c>
      <c r="J1277" s="51">
        <v>7.7487221999999994E-2</v>
      </c>
    </row>
    <row r="1278" spans="9:10" x14ac:dyDescent="0.25">
      <c r="I1278" s="48">
        <v>82089</v>
      </c>
      <c r="J1278" s="51">
        <v>7.7481434000000002E-2</v>
      </c>
    </row>
    <row r="1279" spans="9:10" x14ac:dyDescent="0.25">
      <c r="I1279" s="48">
        <v>82120</v>
      </c>
      <c r="J1279" s="51">
        <v>7.7475462999999994E-2</v>
      </c>
    </row>
    <row r="1280" spans="9:10" x14ac:dyDescent="0.25">
      <c r="I1280" s="48">
        <v>82150</v>
      </c>
      <c r="J1280" s="51">
        <v>7.7469694000000006E-2</v>
      </c>
    </row>
    <row r="1281" spans="9:10" x14ac:dyDescent="0.25">
      <c r="I1281" s="48">
        <v>82181</v>
      </c>
      <c r="J1281" s="51">
        <v>7.7463741000000003E-2</v>
      </c>
    </row>
    <row r="1282" spans="9:10" x14ac:dyDescent="0.25">
      <c r="I1282" s="48">
        <v>82212</v>
      </c>
      <c r="J1282" s="51">
        <v>7.7457797999999994E-2</v>
      </c>
    </row>
    <row r="1283" spans="9:10" x14ac:dyDescent="0.25">
      <c r="I1283" s="48">
        <v>82240</v>
      </c>
      <c r="J1283" s="51">
        <v>7.7452437999999998E-2</v>
      </c>
    </row>
    <row r="1284" spans="9:10" x14ac:dyDescent="0.25">
      <c r="I1284" s="48">
        <v>82271</v>
      </c>
      <c r="J1284" s="51">
        <v>7.7446512999999995E-2</v>
      </c>
    </row>
    <row r="1285" spans="9:10" x14ac:dyDescent="0.25">
      <c r="I1285" s="48">
        <v>82301</v>
      </c>
      <c r="J1285" s="51">
        <v>7.7440787999999997E-2</v>
      </c>
    </row>
    <row r="1286" spans="9:10" x14ac:dyDescent="0.25">
      <c r="I1286" s="48">
        <v>82332</v>
      </c>
      <c r="J1286" s="51">
        <v>7.7434880999999997E-2</v>
      </c>
    </row>
    <row r="1287" spans="9:10" x14ac:dyDescent="0.25">
      <c r="I1287" s="48">
        <v>82362</v>
      </c>
      <c r="J1287" s="51">
        <v>7.7429174000000003E-2</v>
      </c>
    </row>
    <row r="1288" spans="9:10" x14ac:dyDescent="0.25">
      <c r="I1288" s="48">
        <v>82393</v>
      </c>
      <c r="J1288" s="51">
        <v>7.7423285999999994E-2</v>
      </c>
    </row>
    <row r="1289" spans="9:10" x14ac:dyDescent="0.25">
      <c r="I1289" s="48">
        <v>82424</v>
      </c>
      <c r="J1289" s="51">
        <v>7.7417406999999994E-2</v>
      </c>
    </row>
    <row r="1290" spans="9:10" x14ac:dyDescent="0.25">
      <c r="I1290" s="48">
        <v>82454</v>
      </c>
      <c r="J1290" s="51">
        <v>7.7411727E-2</v>
      </c>
    </row>
    <row r="1291" spans="9:10" x14ac:dyDescent="0.25">
      <c r="I1291" s="48">
        <v>82485</v>
      </c>
      <c r="J1291" s="51">
        <v>7.7405866000000004E-2</v>
      </c>
    </row>
    <row r="1292" spans="9:10" x14ac:dyDescent="0.25">
      <c r="I1292" s="48">
        <v>82515</v>
      </c>
      <c r="J1292" s="51">
        <v>7.7400204E-2</v>
      </c>
    </row>
    <row r="1293" spans="9:10" x14ac:dyDescent="0.25">
      <c r="I1293" s="48">
        <v>82546</v>
      </c>
      <c r="J1293" s="51">
        <v>7.7394360999999995E-2</v>
      </c>
    </row>
    <row r="1294" spans="9:10" x14ac:dyDescent="0.25">
      <c r="I1294" s="48">
        <v>82577</v>
      </c>
      <c r="J1294" s="51">
        <v>7.7388527999999998E-2</v>
      </c>
    </row>
    <row r="1295" spans="9:10" x14ac:dyDescent="0.25">
      <c r="I1295" s="48">
        <v>82605</v>
      </c>
      <c r="J1295" s="51">
        <v>7.7383267000000006E-2</v>
      </c>
    </row>
    <row r="1296" spans="9:10" x14ac:dyDescent="0.25">
      <c r="I1296" s="48">
        <v>82636</v>
      </c>
      <c r="J1296" s="51">
        <v>7.7377451999999999E-2</v>
      </c>
    </row>
    <row r="1297" spans="9:10" x14ac:dyDescent="0.25">
      <c r="I1297" s="48">
        <v>82666</v>
      </c>
      <c r="J1297" s="51">
        <v>7.7371832000000001E-2</v>
      </c>
    </row>
    <row r="1298" spans="9:10" x14ac:dyDescent="0.25">
      <c r="I1298" s="48">
        <v>82697</v>
      </c>
      <c r="J1298" s="51">
        <v>7.7366035E-2</v>
      </c>
    </row>
    <row r="1299" spans="9:10" x14ac:dyDescent="0.25">
      <c r="I1299" s="48">
        <v>82727</v>
      </c>
      <c r="J1299" s="51">
        <v>7.7360433000000006E-2</v>
      </c>
    </row>
    <row r="1300" spans="9:10" x14ac:dyDescent="0.25">
      <c r="I1300" s="48">
        <v>82758</v>
      </c>
      <c r="J1300" s="51">
        <v>7.7354652999999995E-2</v>
      </c>
    </row>
    <row r="1301" spans="9:10" x14ac:dyDescent="0.25">
      <c r="I1301" s="48">
        <v>82789</v>
      </c>
      <c r="J1301" s="51">
        <v>7.7348881999999994E-2</v>
      </c>
    </row>
    <row r="1302" spans="9:10" x14ac:dyDescent="0.25">
      <c r="I1302" s="48">
        <v>82819</v>
      </c>
      <c r="J1302" s="51">
        <v>7.7343306000000001E-2</v>
      </c>
    </row>
    <row r="1303" spans="9:10" x14ac:dyDescent="0.25">
      <c r="I1303" s="48">
        <v>82850</v>
      </c>
      <c r="J1303" s="51">
        <v>7.7337553000000003E-2</v>
      </c>
    </row>
    <row r="1304" spans="9:10" x14ac:dyDescent="0.25">
      <c r="I1304" s="48">
        <v>82880</v>
      </c>
      <c r="J1304" s="51">
        <v>7.7331995000000001E-2</v>
      </c>
    </row>
    <row r="1305" spans="9:10" x14ac:dyDescent="0.25">
      <c r="I1305" s="48">
        <v>82911</v>
      </c>
      <c r="J1305" s="51">
        <v>7.7326258999999994E-2</v>
      </c>
    </row>
    <row r="1306" spans="9:10" x14ac:dyDescent="0.25">
      <c r="I1306" s="48">
        <v>82942</v>
      </c>
      <c r="J1306" s="51">
        <v>7.7320532999999997E-2</v>
      </c>
    </row>
    <row r="1307" spans="9:10" x14ac:dyDescent="0.25">
      <c r="I1307" s="48">
        <v>82970</v>
      </c>
      <c r="J1307" s="51">
        <v>7.7315368999999995E-2</v>
      </c>
    </row>
    <row r="1308" spans="9:10" x14ac:dyDescent="0.25">
      <c r="I1308" s="48">
        <v>83001</v>
      </c>
      <c r="J1308" s="51">
        <v>7.7309660000000002E-2</v>
      </c>
    </row>
    <row r="1309" spans="9:10" x14ac:dyDescent="0.25">
      <c r="I1309" s="48">
        <v>83031</v>
      </c>
      <c r="J1309" s="51">
        <v>7.7304143000000006E-2</v>
      </c>
    </row>
    <row r="1310" spans="9:10" x14ac:dyDescent="0.25">
      <c r="I1310" s="48">
        <v>83062</v>
      </c>
      <c r="J1310" s="51">
        <v>7.7298451000000004E-2</v>
      </c>
    </row>
    <row r="1311" spans="9:10" x14ac:dyDescent="0.25">
      <c r="I1311" s="48">
        <v>83092</v>
      </c>
      <c r="J1311" s="51">
        <v>7.7292951999999998E-2</v>
      </c>
    </row>
    <row r="1312" spans="9:10" x14ac:dyDescent="0.25">
      <c r="I1312" s="48">
        <v>83123</v>
      </c>
      <c r="J1312" s="51">
        <v>7.7287277000000001E-2</v>
      </c>
    </row>
    <row r="1313" spans="9:10" x14ac:dyDescent="0.25">
      <c r="I1313" s="48">
        <v>83154</v>
      </c>
      <c r="J1313" s="51">
        <v>7.7281612E-2</v>
      </c>
    </row>
    <row r="1314" spans="9:10" x14ac:dyDescent="0.25">
      <c r="I1314" s="48">
        <v>83184</v>
      </c>
      <c r="J1314" s="51">
        <v>7.7276136999999995E-2</v>
      </c>
    </row>
    <row r="1315" spans="9:10" x14ac:dyDescent="0.25">
      <c r="I1315" s="48">
        <v>83215</v>
      </c>
      <c r="J1315" s="51">
        <v>7.7270488999999998E-2</v>
      </c>
    </row>
    <row r="1316" spans="9:10" x14ac:dyDescent="0.25">
      <c r="I1316" s="48">
        <v>83245</v>
      </c>
      <c r="J1316" s="51">
        <v>7.7265031999999997E-2</v>
      </c>
    </row>
    <row r="1317" spans="9:10" x14ac:dyDescent="0.25">
      <c r="I1317" s="48">
        <v>83276</v>
      </c>
      <c r="J1317" s="51">
        <v>7.7259401000000005E-2</v>
      </c>
    </row>
    <row r="1318" spans="9:10" x14ac:dyDescent="0.25">
      <c r="I1318" s="48">
        <v>83307</v>
      </c>
      <c r="J1318" s="51">
        <v>7.7253777999999995E-2</v>
      </c>
    </row>
    <row r="1319" spans="9:10" x14ac:dyDescent="0.25">
      <c r="I1319" s="48">
        <v>83336</v>
      </c>
      <c r="J1319" s="51">
        <v>7.7248526999999997E-2</v>
      </c>
    </row>
    <row r="1320" spans="9:10" x14ac:dyDescent="0.25">
      <c r="I1320" s="48">
        <v>83367</v>
      </c>
      <c r="J1320" s="51">
        <v>7.7242921000000006E-2</v>
      </c>
    </row>
    <row r="1321" spans="9:10" x14ac:dyDescent="0.25">
      <c r="I1321" s="48">
        <v>83397</v>
      </c>
      <c r="J1321" s="51">
        <v>7.7237504999999998E-2</v>
      </c>
    </row>
    <row r="1322" spans="9:10" x14ac:dyDescent="0.25">
      <c r="I1322" s="48">
        <v>83428</v>
      </c>
      <c r="J1322" s="51">
        <v>7.7231916999999997E-2</v>
      </c>
    </row>
    <row r="1323" spans="9:10" x14ac:dyDescent="0.25">
      <c r="I1323" s="48">
        <v>83458</v>
      </c>
      <c r="J1323" s="51">
        <v>7.7226516999999995E-2</v>
      </c>
    </row>
    <row r="1324" spans="9:10" x14ac:dyDescent="0.25">
      <c r="I1324" s="48">
        <v>83489</v>
      </c>
      <c r="J1324" s="51">
        <v>7.7220944999999999E-2</v>
      </c>
    </row>
    <row r="1325" spans="9:10" x14ac:dyDescent="0.25">
      <c r="I1325" s="48">
        <v>83520</v>
      </c>
      <c r="J1325" s="51">
        <v>7.7215381999999999E-2</v>
      </c>
    </row>
    <row r="1326" spans="9:10" x14ac:dyDescent="0.25">
      <c r="I1326" s="48">
        <v>83550</v>
      </c>
      <c r="J1326" s="51">
        <v>7.7210006999999997E-2</v>
      </c>
    </row>
    <row r="1327" spans="9:10" x14ac:dyDescent="0.25">
      <c r="I1327" s="48">
        <v>83581</v>
      </c>
      <c r="J1327" s="51">
        <v>7.7204461000000002E-2</v>
      </c>
    </row>
    <row r="1328" spans="9:10" x14ac:dyDescent="0.25">
      <c r="I1328" s="48">
        <v>83611</v>
      </c>
      <c r="J1328" s="51">
        <v>7.7199102000000006E-2</v>
      </c>
    </row>
    <row r="1329" spans="9:10" x14ac:dyDescent="0.25">
      <c r="I1329" s="48">
        <v>83642</v>
      </c>
      <c r="J1329" s="51">
        <v>7.7193573000000001E-2</v>
      </c>
    </row>
    <row r="1330" spans="9:10" x14ac:dyDescent="0.25">
      <c r="I1330" s="48">
        <v>83673</v>
      </c>
      <c r="J1330" s="51">
        <v>7.7188051999999993E-2</v>
      </c>
    </row>
    <row r="1331" spans="9:10" x14ac:dyDescent="0.25">
      <c r="I1331" s="48">
        <v>83701</v>
      </c>
      <c r="J1331" s="51">
        <v>7.7183073000000005E-2</v>
      </c>
    </row>
    <row r="1332" spans="9:10" x14ac:dyDescent="0.25">
      <c r="I1332" s="48">
        <v>83732</v>
      </c>
      <c r="J1332" s="51">
        <v>7.7177568000000002E-2</v>
      </c>
    </row>
    <row r="1333" spans="9:10" x14ac:dyDescent="0.25">
      <c r="I1333" s="48">
        <v>83762</v>
      </c>
      <c r="J1333" s="51">
        <v>7.7172248999999998E-2</v>
      </c>
    </row>
    <row r="1334" spans="9:10" x14ac:dyDescent="0.25">
      <c r="I1334" s="48">
        <v>83793</v>
      </c>
      <c r="J1334" s="51">
        <v>7.7166761E-2</v>
      </c>
    </row>
    <row r="1335" spans="9:10" x14ac:dyDescent="0.25">
      <c r="I1335" s="48">
        <v>83823</v>
      </c>
      <c r="J1335" s="51">
        <v>7.7161458000000002E-2</v>
      </c>
    </row>
    <row r="1336" spans="9:10" x14ac:dyDescent="0.25">
      <c r="I1336" s="48">
        <v>83854</v>
      </c>
      <c r="J1336" s="51">
        <v>7.7155985999999996E-2</v>
      </c>
    </row>
    <row r="1337" spans="9:10" x14ac:dyDescent="0.25">
      <c r="I1337" s="48">
        <v>83885</v>
      </c>
      <c r="J1337" s="51">
        <v>7.7150522999999999E-2</v>
      </c>
    </row>
    <row r="1338" spans="9:10" x14ac:dyDescent="0.25">
      <c r="I1338" s="48">
        <v>83915</v>
      </c>
      <c r="J1338" s="51">
        <v>7.7145244000000002E-2</v>
      </c>
    </row>
    <row r="1339" spans="9:10" x14ac:dyDescent="0.25">
      <c r="I1339" s="48">
        <v>83946</v>
      </c>
      <c r="J1339" s="51">
        <v>7.7139796999999996E-2</v>
      </c>
    </row>
    <row r="1340" spans="9:10" x14ac:dyDescent="0.25">
      <c r="I1340" s="48">
        <v>83976</v>
      </c>
      <c r="J1340" s="51">
        <v>7.7134534000000005E-2</v>
      </c>
    </row>
    <row r="1341" spans="9:10" x14ac:dyDescent="0.25">
      <c r="I1341" s="48">
        <v>84007</v>
      </c>
      <c r="J1341" s="51">
        <v>7.7129103000000004E-2</v>
      </c>
    </row>
    <row r="1342" spans="9:10" x14ac:dyDescent="0.25">
      <c r="I1342" s="48">
        <v>84038</v>
      </c>
      <c r="J1342" s="51">
        <v>7.7123680999999999E-2</v>
      </c>
    </row>
    <row r="1343" spans="9:10" x14ac:dyDescent="0.25">
      <c r="I1343" s="48">
        <v>84066</v>
      </c>
      <c r="J1343" s="51">
        <v>7.7118790000000007E-2</v>
      </c>
    </row>
    <row r="1344" spans="9:10" x14ac:dyDescent="0.25">
      <c r="I1344" s="48">
        <v>84097</v>
      </c>
      <c r="J1344" s="51">
        <v>7.7113383999999993E-2</v>
      </c>
    </row>
    <row r="1345" spans="9:10" x14ac:dyDescent="0.25">
      <c r="I1345" s="48">
        <v>84127</v>
      </c>
      <c r="J1345" s="51">
        <v>7.7108158999999996E-2</v>
      </c>
    </row>
    <row r="1346" spans="9:10" x14ac:dyDescent="0.25">
      <c r="I1346" s="48">
        <v>84158</v>
      </c>
      <c r="J1346" s="51">
        <v>7.7102769000000002E-2</v>
      </c>
    </row>
    <row r="1347" spans="9:10" x14ac:dyDescent="0.25">
      <c r="I1347" s="48">
        <v>84188</v>
      </c>
      <c r="J1347" s="51">
        <v>7.7097559999999996E-2</v>
      </c>
    </row>
    <row r="1348" spans="9:10" x14ac:dyDescent="0.25">
      <c r="I1348" s="48">
        <v>84219</v>
      </c>
      <c r="J1348" s="51">
        <v>7.7092185999999993E-2</v>
      </c>
    </row>
    <row r="1349" spans="9:10" x14ac:dyDescent="0.25">
      <c r="I1349" s="48">
        <v>84250</v>
      </c>
      <c r="J1349" s="51">
        <v>7.7086819000000001E-2</v>
      </c>
    </row>
    <row r="1350" spans="9:10" x14ac:dyDescent="0.25">
      <c r="I1350" s="48">
        <v>84280</v>
      </c>
      <c r="J1350" s="51">
        <v>7.7081633999999996E-2</v>
      </c>
    </row>
    <row r="1351" spans="9:10" x14ac:dyDescent="0.25">
      <c r="I1351" s="48">
        <v>84311</v>
      </c>
      <c r="J1351" s="51">
        <v>7.7076283999999995E-2</v>
      </c>
    </row>
    <row r="1352" spans="9:10" x14ac:dyDescent="0.25">
      <c r="I1352" s="48">
        <v>84341</v>
      </c>
      <c r="J1352" s="51">
        <v>7.7071112999999997E-2</v>
      </c>
    </row>
    <row r="1353" spans="9:10" x14ac:dyDescent="0.25">
      <c r="I1353" s="48">
        <v>84372</v>
      </c>
      <c r="J1353" s="51">
        <v>7.7065779000000001E-2</v>
      </c>
    </row>
    <row r="1354" spans="9:10" x14ac:dyDescent="0.25">
      <c r="I1354" s="48">
        <v>84403</v>
      </c>
      <c r="J1354" s="51">
        <v>7.7060453000000001E-2</v>
      </c>
    </row>
    <row r="1355" spans="9:10" x14ac:dyDescent="0.25">
      <c r="I1355" s="48">
        <v>84431</v>
      </c>
      <c r="J1355" s="51">
        <v>7.7055648000000004E-2</v>
      </c>
    </row>
    <row r="1356" spans="9:10" x14ac:dyDescent="0.25">
      <c r="I1356" s="48">
        <v>84462</v>
      </c>
      <c r="J1356" s="51">
        <v>7.7050336999999997E-2</v>
      </c>
    </row>
    <row r="1357" spans="9:10" x14ac:dyDescent="0.25">
      <c r="I1357" s="48">
        <v>84492</v>
      </c>
      <c r="J1357" s="51">
        <v>7.7045205000000005E-2</v>
      </c>
    </row>
    <row r="1358" spans="9:10" x14ac:dyDescent="0.25">
      <c r="I1358" s="48">
        <v>84523</v>
      </c>
      <c r="J1358" s="51">
        <v>7.7039910000000003E-2</v>
      </c>
    </row>
    <row r="1359" spans="9:10" x14ac:dyDescent="0.25">
      <c r="I1359" s="48">
        <v>84553</v>
      </c>
      <c r="J1359" s="51">
        <v>7.7034792000000005E-2</v>
      </c>
    </row>
    <row r="1360" spans="9:10" x14ac:dyDescent="0.25">
      <c r="I1360" s="48">
        <v>84584</v>
      </c>
      <c r="J1360" s="51">
        <v>7.7029512999999994E-2</v>
      </c>
    </row>
    <row r="1361" spans="9:10" x14ac:dyDescent="0.25">
      <c r="I1361" s="48">
        <v>84615</v>
      </c>
      <c r="J1361" s="51">
        <v>7.7024240999999993E-2</v>
      </c>
    </row>
    <row r="1362" spans="9:10" x14ac:dyDescent="0.25">
      <c r="I1362" s="48">
        <v>84645</v>
      </c>
      <c r="J1362" s="51">
        <v>7.7019145999999997E-2</v>
      </c>
    </row>
    <row r="1363" spans="9:10" x14ac:dyDescent="0.25">
      <c r="I1363" s="48">
        <v>84676</v>
      </c>
      <c r="J1363" s="51">
        <v>7.7013890000000002E-2</v>
      </c>
    </row>
    <row r="1364" spans="9:10" x14ac:dyDescent="0.25">
      <c r="I1364" s="48">
        <v>84706</v>
      </c>
      <c r="J1364" s="51">
        <v>7.7008810999999996E-2</v>
      </c>
    </row>
    <row r="1365" spans="9:10" x14ac:dyDescent="0.25">
      <c r="I1365" s="48">
        <v>84737</v>
      </c>
      <c r="J1365" s="51">
        <v>7.7003569999999993E-2</v>
      </c>
    </row>
    <row r="1366" spans="9:10" x14ac:dyDescent="0.25">
      <c r="I1366" s="48">
        <v>84768</v>
      </c>
      <c r="J1366" s="51">
        <v>7.6998337E-2</v>
      </c>
    </row>
    <row r="1367" spans="9:10" x14ac:dyDescent="0.25">
      <c r="I1367" s="48">
        <v>84797</v>
      </c>
      <c r="J1367" s="51">
        <v>7.6993448000000006E-2</v>
      </c>
    </row>
    <row r="1368" spans="9:10" x14ac:dyDescent="0.25">
      <c r="I1368" s="48">
        <v>84828</v>
      </c>
      <c r="J1368" s="51">
        <v>7.6988230000000005E-2</v>
      </c>
    </row>
    <row r="1369" spans="9:10" x14ac:dyDescent="0.25">
      <c r="I1369" s="48">
        <v>84858</v>
      </c>
      <c r="J1369" s="51">
        <v>7.6983187999999994E-2</v>
      </c>
    </row>
    <row r="1370" spans="9:10" x14ac:dyDescent="0.25">
      <c r="I1370" s="48">
        <v>84889</v>
      </c>
      <c r="J1370" s="51">
        <v>7.6977984999999999E-2</v>
      </c>
    </row>
    <row r="1371" spans="9:10" x14ac:dyDescent="0.25">
      <c r="I1371" s="48">
        <v>84919</v>
      </c>
      <c r="J1371" s="51">
        <v>7.6972957999999994E-2</v>
      </c>
    </row>
    <row r="1372" spans="9:10" x14ac:dyDescent="0.25">
      <c r="I1372" s="48">
        <v>84950</v>
      </c>
      <c r="J1372" s="51">
        <v>7.6967770000000005E-2</v>
      </c>
    </row>
    <row r="1373" spans="9:10" x14ac:dyDescent="0.25">
      <c r="I1373" s="48">
        <v>84981</v>
      </c>
      <c r="J1373" s="51">
        <v>7.6962590999999997E-2</v>
      </c>
    </row>
    <row r="1374" spans="9:10" x14ac:dyDescent="0.25">
      <c r="I1374" s="48">
        <v>85011</v>
      </c>
      <c r="J1374" s="51">
        <v>7.6957584999999995E-2</v>
      </c>
    </row>
    <row r="1375" spans="9:10" x14ac:dyDescent="0.25">
      <c r="I1375" s="48">
        <v>85042</v>
      </c>
      <c r="J1375" s="51">
        <v>7.6952420999999993E-2</v>
      </c>
    </row>
    <row r="1376" spans="9:10" x14ac:dyDescent="0.25">
      <c r="I1376" s="48">
        <v>85072</v>
      </c>
      <c r="J1376" s="51">
        <v>7.6947429999999997E-2</v>
      </c>
    </row>
    <row r="1377" spans="9:10" x14ac:dyDescent="0.25">
      <c r="I1377" s="48">
        <v>85103</v>
      </c>
      <c r="J1377" s="51">
        <v>7.6942280000000002E-2</v>
      </c>
    </row>
    <row r="1378" spans="9:10" x14ac:dyDescent="0.25">
      <c r="I1378" s="48">
        <v>85134</v>
      </c>
      <c r="J1378" s="51">
        <v>7.6937138000000002E-2</v>
      </c>
    </row>
    <row r="1379" spans="9:10" x14ac:dyDescent="0.25">
      <c r="I1379" s="48">
        <v>85162</v>
      </c>
      <c r="J1379" s="51">
        <v>7.6932501E-2</v>
      </c>
    </row>
    <row r="1380" spans="9:10" x14ac:dyDescent="0.25">
      <c r="I1380" s="48">
        <v>85193</v>
      </c>
      <c r="J1380" s="51">
        <v>7.6927372999999993E-2</v>
      </c>
    </row>
    <row r="1381" spans="9:10" x14ac:dyDescent="0.25">
      <c r="I1381" s="48">
        <v>85223</v>
      </c>
      <c r="J1381" s="51">
        <v>7.6922418000000006E-2</v>
      </c>
    </row>
    <row r="1382" spans="9:10" x14ac:dyDescent="0.25">
      <c r="I1382" s="48">
        <v>85254</v>
      </c>
      <c r="J1382" s="51">
        <v>7.6917306000000005E-2</v>
      </c>
    </row>
    <row r="1383" spans="9:10" x14ac:dyDescent="0.25">
      <c r="I1383" s="48">
        <v>85284</v>
      </c>
      <c r="J1383" s="51">
        <v>7.6912364999999996E-2</v>
      </c>
    </row>
    <row r="1384" spans="9:10" x14ac:dyDescent="0.25">
      <c r="I1384" s="48">
        <v>85315</v>
      </c>
      <c r="J1384" s="51">
        <v>7.6907267000000001E-2</v>
      </c>
    </row>
    <row r="1385" spans="9:10" x14ac:dyDescent="0.25">
      <c r="I1385" s="48">
        <v>85346</v>
      </c>
      <c r="J1385" s="51">
        <v>7.6902177000000002E-2</v>
      </c>
    </row>
    <row r="1386" spans="9:10" x14ac:dyDescent="0.25">
      <c r="I1386" s="48">
        <v>85376</v>
      </c>
      <c r="J1386" s="51">
        <v>7.6897257999999996E-2</v>
      </c>
    </row>
    <row r="1387" spans="9:10" x14ac:dyDescent="0.25">
      <c r="I1387" s="48">
        <v>85407</v>
      </c>
      <c r="J1387" s="51">
        <v>7.6892183000000003E-2</v>
      </c>
    </row>
    <row r="1388" spans="9:10" x14ac:dyDescent="0.25">
      <c r="I1388" s="48">
        <v>85437</v>
      </c>
      <c r="J1388" s="51">
        <v>7.6887278000000003E-2</v>
      </c>
    </row>
    <row r="1389" spans="9:10" x14ac:dyDescent="0.25">
      <c r="I1389" s="48">
        <v>85468</v>
      </c>
      <c r="J1389" s="51">
        <v>7.6882217000000003E-2</v>
      </c>
    </row>
    <row r="1390" spans="9:10" x14ac:dyDescent="0.25">
      <c r="I1390" s="48">
        <v>85499</v>
      </c>
      <c r="J1390" s="51">
        <v>7.6877163999999998E-2</v>
      </c>
    </row>
    <row r="1391" spans="9:10" x14ac:dyDescent="0.25">
      <c r="I1391" s="48">
        <v>85527</v>
      </c>
      <c r="J1391" s="51">
        <v>7.6872605999999996E-2</v>
      </c>
    </row>
    <row r="1392" spans="9:10" x14ac:dyDescent="0.25">
      <c r="I1392" s="48">
        <v>85558</v>
      </c>
      <c r="J1392" s="51">
        <v>7.6867566999999998E-2</v>
      </c>
    </row>
    <row r="1393" spans="9:10" x14ac:dyDescent="0.25">
      <c r="I1393" s="48">
        <v>85588</v>
      </c>
      <c r="J1393" s="51">
        <v>7.6862696999999994E-2</v>
      </c>
    </row>
    <row r="1394" spans="9:10" x14ac:dyDescent="0.25">
      <c r="I1394" s="48">
        <v>85619</v>
      </c>
      <c r="J1394" s="51">
        <v>7.6857672000000002E-2</v>
      </c>
    </row>
    <row r="1395" spans="9:10" x14ac:dyDescent="0.25">
      <c r="I1395" s="48">
        <v>85649</v>
      </c>
      <c r="J1395" s="51">
        <v>7.6852817000000004E-2</v>
      </c>
    </row>
    <row r="1396" spans="9:10" x14ac:dyDescent="0.25">
      <c r="I1396" s="48">
        <v>85680</v>
      </c>
      <c r="J1396" s="51">
        <v>7.6847806000000005E-2</v>
      </c>
    </row>
    <row r="1397" spans="9:10" x14ac:dyDescent="0.25">
      <c r="I1397" s="48">
        <v>85711</v>
      </c>
      <c r="J1397" s="51">
        <v>7.6842803000000001E-2</v>
      </c>
    </row>
    <row r="1398" spans="9:10" x14ac:dyDescent="0.25">
      <c r="I1398" s="48">
        <v>85741</v>
      </c>
      <c r="J1398" s="51">
        <v>7.6837969000000006E-2</v>
      </c>
    </row>
    <row r="1399" spans="9:10" x14ac:dyDescent="0.25">
      <c r="I1399" s="48">
        <v>85772</v>
      </c>
      <c r="J1399" s="51">
        <v>7.6832979999999995E-2</v>
      </c>
    </row>
    <row r="1400" spans="9:10" x14ac:dyDescent="0.25">
      <c r="I1400" s="48">
        <v>85802</v>
      </c>
      <c r="J1400" s="51">
        <v>7.6828158999999993E-2</v>
      </c>
    </row>
    <row r="1401" spans="9:10" x14ac:dyDescent="0.25">
      <c r="I1401" s="48">
        <v>85833</v>
      </c>
      <c r="J1401" s="51">
        <v>7.6823185000000002E-2</v>
      </c>
    </row>
    <row r="1402" spans="9:10" x14ac:dyDescent="0.25">
      <c r="I1402" s="48">
        <v>85864</v>
      </c>
      <c r="J1402" s="51">
        <v>7.6818217999999994E-2</v>
      </c>
    </row>
    <row r="1403" spans="9:10" x14ac:dyDescent="0.25">
      <c r="I1403" s="48">
        <v>85892</v>
      </c>
      <c r="J1403" s="51">
        <v>7.6813738000000006E-2</v>
      </c>
    </row>
    <row r="1404" spans="9:10" x14ac:dyDescent="0.25">
      <c r="I1404" s="48">
        <v>85923</v>
      </c>
      <c r="J1404" s="51">
        <v>7.6808784000000005E-2</v>
      </c>
    </row>
    <row r="1405" spans="9:10" x14ac:dyDescent="0.25">
      <c r="I1405" s="48">
        <v>85953</v>
      </c>
      <c r="J1405" s="51">
        <v>7.6803997999999998E-2</v>
      </c>
    </row>
    <row r="1406" spans="9:10" x14ac:dyDescent="0.25">
      <c r="I1406" s="48">
        <v>85984</v>
      </c>
      <c r="J1406" s="51">
        <v>7.6799058000000003E-2</v>
      </c>
    </row>
    <row r="1407" spans="9:10" x14ac:dyDescent="0.25">
      <c r="I1407" s="48">
        <v>86014</v>
      </c>
      <c r="J1407" s="51">
        <v>7.6794285000000004E-2</v>
      </c>
    </row>
    <row r="1408" spans="9:10" x14ac:dyDescent="0.25">
      <c r="I1408" s="48">
        <v>86045</v>
      </c>
      <c r="J1408" s="51">
        <v>7.6789360000000001E-2</v>
      </c>
    </row>
    <row r="1409" spans="9:10" x14ac:dyDescent="0.25">
      <c r="I1409" s="48">
        <v>86076</v>
      </c>
      <c r="J1409" s="51">
        <v>7.6784441999999994E-2</v>
      </c>
    </row>
    <row r="1410" spans="9:10" x14ac:dyDescent="0.25">
      <c r="I1410" s="48">
        <v>86106</v>
      </c>
      <c r="J1410" s="51">
        <v>7.6779689999999998E-2</v>
      </c>
    </row>
    <row r="1411" spans="9:10" x14ac:dyDescent="0.25">
      <c r="I1411" s="48">
        <v>86137</v>
      </c>
      <c r="J1411" s="51">
        <v>7.6774785999999998E-2</v>
      </c>
    </row>
    <row r="1412" spans="9:10" x14ac:dyDescent="0.25">
      <c r="I1412" s="48">
        <v>86167</v>
      </c>
      <c r="J1412" s="51">
        <v>7.6770046999999994E-2</v>
      </c>
    </row>
    <row r="1413" spans="9:10" x14ac:dyDescent="0.25">
      <c r="I1413" s="48">
        <v>86198</v>
      </c>
      <c r="J1413" s="51">
        <v>7.6765157000000001E-2</v>
      </c>
    </row>
    <row r="1414" spans="9:10" x14ac:dyDescent="0.25">
      <c r="I1414" s="48">
        <v>86229</v>
      </c>
      <c r="J1414" s="51">
        <v>7.6760274000000003E-2</v>
      </c>
    </row>
    <row r="1415" spans="9:10" x14ac:dyDescent="0.25">
      <c r="I1415" s="48">
        <v>86258</v>
      </c>
      <c r="J1415" s="51">
        <v>7.6755712000000004E-2</v>
      </c>
    </row>
    <row r="1416" spans="9:10" x14ac:dyDescent="0.25">
      <c r="I1416" s="48">
        <v>86289</v>
      </c>
      <c r="J1416" s="51">
        <v>7.6750842999999999E-2</v>
      </c>
    </row>
    <row r="1417" spans="9:10" x14ac:dyDescent="0.25">
      <c r="I1417" s="48">
        <v>86319</v>
      </c>
      <c r="J1417" s="51">
        <v>7.6746137000000006E-2</v>
      </c>
    </row>
    <row r="1418" spans="9:10" x14ac:dyDescent="0.25">
      <c r="I1418" s="48">
        <v>86350</v>
      </c>
      <c r="J1418" s="51">
        <v>7.6741280999999995E-2</v>
      </c>
    </row>
    <row r="1419" spans="9:10" x14ac:dyDescent="0.25">
      <c r="I1419" s="48">
        <v>86380</v>
      </c>
      <c r="J1419" s="51">
        <v>7.6736588999999994E-2</v>
      </c>
    </row>
    <row r="1420" spans="9:10" x14ac:dyDescent="0.25">
      <c r="I1420" s="48">
        <v>86411</v>
      </c>
      <c r="J1420" s="51">
        <v>7.6731747000000003E-2</v>
      </c>
    </row>
    <row r="1421" spans="9:10" x14ac:dyDescent="0.25">
      <c r="I1421" s="48">
        <v>86442</v>
      </c>
      <c r="J1421" s="51">
        <v>7.6726911999999994E-2</v>
      </c>
    </row>
    <row r="1422" spans="9:10" x14ac:dyDescent="0.25">
      <c r="I1422" s="48">
        <v>86472</v>
      </c>
      <c r="J1422" s="51">
        <v>7.6722239999999997E-2</v>
      </c>
    </row>
    <row r="1423" spans="9:10" x14ac:dyDescent="0.25">
      <c r="I1423" s="48">
        <v>86503</v>
      </c>
      <c r="J1423" s="51">
        <v>7.6717418999999995E-2</v>
      </c>
    </row>
    <row r="1424" spans="9:10" x14ac:dyDescent="0.25">
      <c r="I1424" s="48">
        <v>86533</v>
      </c>
      <c r="J1424" s="51">
        <v>7.6712760000000005E-2</v>
      </c>
    </row>
    <row r="1425" spans="9:10" x14ac:dyDescent="0.25">
      <c r="I1425" s="48">
        <v>86564</v>
      </c>
      <c r="J1425" s="51">
        <v>7.6707951999999996E-2</v>
      </c>
    </row>
    <row r="1426" spans="9:10" x14ac:dyDescent="0.25">
      <c r="I1426" s="48">
        <v>86595</v>
      </c>
      <c r="J1426" s="51">
        <v>7.6703150999999997E-2</v>
      </c>
    </row>
    <row r="1427" spans="9:10" x14ac:dyDescent="0.25">
      <c r="I1427" s="48">
        <v>86623</v>
      </c>
      <c r="J1427" s="51">
        <v>7.6698821E-2</v>
      </c>
    </row>
    <row r="1428" spans="9:10" x14ac:dyDescent="0.25">
      <c r="I1428" s="48">
        <v>86654</v>
      </c>
      <c r="J1428" s="51">
        <v>7.6694032999999995E-2</v>
      </c>
    </row>
    <row r="1429" spans="9:10" x14ac:dyDescent="0.25">
      <c r="I1429" s="48">
        <v>86684</v>
      </c>
      <c r="J1429" s="51">
        <v>7.6689406000000002E-2</v>
      </c>
    </row>
    <row r="1430" spans="9:10" x14ac:dyDescent="0.25">
      <c r="I1430" s="48">
        <v>86715</v>
      </c>
      <c r="J1430" s="51">
        <v>7.6684632000000003E-2</v>
      </c>
    </row>
    <row r="1431" spans="9:10" x14ac:dyDescent="0.25">
      <c r="I1431" s="48">
        <v>86745</v>
      </c>
      <c r="J1431" s="51">
        <v>7.6680018000000003E-2</v>
      </c>
    </row>
    <row r="1432" spans="9:10" x14ac:dyDescent="0.25">
      <c r="I1432" s="48">
        <v>86776</v>
      </c>
      <c r="J1432" s="51">
        <v>7.6675256999999997E-2</v>
      </c>
    </row>
    <row r="1433" spans="9:10" x14ac:dyDescent="0.25">
      <c r="I1433" s="48">
        <v>86807</v>
      </c>
      <c r="J1433" s="51">
        <v>7.6670503000000001E-2</v>
      </c>
    </row>
    <row r="1434" spans="9:10" x14ac:dyDescent="0.25">
      <c r="I1434" s="48">
        <v>86837</v>
      </c>
      <c r="J1434" s="51">
        <v>7.6665909000000004E-2</v>
      </c>
    </row>
    <row r="1435" spans="9:10" x14ac:dyDescent="0.25">
      <c r="I1435" s="48">
        <v>86868</v>
      </c>
      <c r="J1435" s="51">
        <v>7.6661168000000002E-2</v>
      </c>
    </row>
    <row r="1436" spans="9:10" x14ac:dyDescent="0.25">
      <c r="I1436" s="48">
        <v>86898</v>
      </c>
      <c r="J1436" s="51">
        <v>7.6656585999999999E-2</v>
      </c>
    </row>
    <row r="1437" spans="9:10" x14ac:dyDescent="0.25">
      <c r="I1437" s="48">
        <v>86929</v>
      </c>
      <c r="J1437" s="51">
        <v>7.6651859000000003E-2</v>
      </c>
    </row>
    <row r="1438" spans="9:10" x14ac:dyDescent="0.25">
      <c r="I1438" s="48">
        <v>86960</v>
      </c>
      <c r="J1438" s="51">
        <v>7.6647138000000004E-2</v>
      </c>
    </row>
    <row r="1439" spans="9:10" x14ac:dyDescent="0.25">
      <c r="I1439" s="48">
        <v>86988</v>
      </c>
      <c r="J1439" s="51">
        <v>7.6642879999999997E-2</v>
      </c>
    </row>
    <row r="1440" spans="9:10" x14ac:dyDescent="0.25">
      <c r="I1440" s="48">
        <v>87019</v>
      </c>
      <c r="J1440" s="51">
        <v>7.6638172000000004E-2</v>
      </c>
    </row>
    <row r="1441" spans="9:10" x14ac:dyDescent="0.25">
      <c r="I1441" s="48">
        <v>87049</v>
      </c>
      <c r="J1441" s="51">
        <v>7.6633621999999998E-2</v>
      </c>
    </row>
    <row r="1442" spans="9:10" x14ac:dyDescent="0.25">
      <c r="I1442" s="48">
        <v>87080</v>
      </c>
      <c r="J1442" s="51">
        <v>7.6628926999999999E-2</v>
      </c>
    </row>
    <row r="1443" spans="9:10" x14ac:dyDescent="0.25">
      <c r="I1443" s="48">
        <v>87110</v>
      </c>
      <c r="J1443" s="51">
        <v>7.6624389000000001E-2</v>
      </c>
    </row>
    <row r="1444" spans="9:10" x14ac:dyDescent="0.25">
      <c r="I1444" s="48">
        <v>87141</v>
      </c>
      <c r="J1444" s="51">
        <v>7.6619706999999995E-2</v>
      </c>
    </row>
    <row r="1445" spans="9:10" x14ac:dyDescent="0.25">
      <c r="I1445" s="48">
        <v>87172</v>
      </c>
      <c r="J1445" s="51">
        <v>7.6615032E-2</v>
      </c>
    </row>
    <row r="1446" spans="9:10" x14ac:dyDescent="0.25">
      <c r="I1446" s="48">
        <v>87202</v>
      </c>
      <c r="J1446" s="51">
        <v>7.6610514000000005E-2</v>
      </c>
    </row>
    <row r="1447" spans="9:10" x14ac:dyDescent="0.25">
      <c r="I1447" s="48">
        <v>87233</v>
      </c>
      <c r="J1447" s="51">
        <v>7.6605851000000003E-2</v>
      </c>
    </row>
    <row r="1448" spans="9:10" x14ac:dyDescent="0.25">
      <c r="I1448" s="48">
        <v>87263</v>
      </c>
      <c r="J1448" s="51">
        <v>7.6601346000000001E-2</v>
      </c>
    </row>
    <row r="1449" spans="9:10" x14ac:dyDescent="0.25">
      <c r="I1449" s="48">
        <v>87294</v>
      </c>
      <c r="J1449" s="51">
        <v>7.6596696000000006E-2</v>
      </c>
    </row>
  </sheetData>
  <dataValidations count="1">
    <dataValidation type="custom" allowBlank="1" showInputMessage="1" showErrorMessage="1" sqref="AD1:AD3">
      <formula1>ROUND((EffDate-Date_of_Birth)/365,0)</formula1>
    </dataValidation>
  </dataValidations>
  <pageMargins left="0.7" right="0.7" top="0.75" bottom="0.75" header="0.3" footer="0.3"/>
  <customProperties>
    <customPr name="FOFXID" r:id="rId1"/>
    <customPr name="PopulatedCells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Inputs</vt:lpstr>
      <vt:lpstr>PV of CF</vt:lpstr>
      <vt:lpstr>Data</vt:lpstr>
      <vt:lpstr>Date_of_Birth</vt:lpstr>
      <vt:lpstr>EffDate</vt:lpstr>
      <vt:lpstr>Fees</vt:lpstr>
      <vt:lpstr>FirstIncrDate</vt:lpstr>
      <vt:lpstr>Foci</vt:lpstr>
      <vt:lpstr>Gender</vt:lpstr>
      <vt:lpstr>id</vt:lpstr>
      <vt:lpstr>Increase</vt:lpstr>
      <vt:lpstr>NextBirth</vt:lpstr>
      <vt:lpstr>NPV</vt:lpstr>
      <vt:lpstr>Pension</vt:lpstr>
      <vt:lpstr>StartAge</vt:lpstr>
      <vt:lpstr>TotalPV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Nina Prins</dc:creator>
  <cp:lastModifiedBy>Nina Prins</cp:lastModifiedBy>
  <dcterms:created xsi:type="dcterms:W3CDTF">2018-07-17T07:43:31Z</dcterms:created>
  <dcterms:modified xsi:type="dcterms:W3CDTF">2018-07-20T12:00:03Z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SettingsXml">
    <vt:lpwstr>&lt;Settings&gt;&lt;ForceRecalculate Value="null" /&gt;&lt;Formatting Value="null" /&gt;&lt;/Settings&gt;</vt:lpwstr>
  </property>
  <property fmtid="{D5CDD505-2E9C-101B-9397-08002B2CF9AE}" pid="3" name="FxVersion">
    <vt:lpwstr>1</vt:lpwstr>
  </property>
</Properties>
</file>